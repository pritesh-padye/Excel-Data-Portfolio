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xr:revisionPtr revIDLastSave="0" documentId="13_ncr:41000001_{E925ED45-504D-FD48-83E2-AC0ADF3201E7}" xr6:coauthVersionLast="47" xr6:coauthVersionMax="47" xr10:uidLastSave="{00000000-0000-0000-0000-000000000000}"/>
  <bookViews>
    <workbookView xWindow="-120" yWindow="-120" windowWidth="20730" windowHeight="11160" tabRatio="865" xr2:uid="{00000000-000D-0000-FFFF-FFFF00000000}"/>
  </bookViews>
  <sheets>
    <sheet name="Discount_Data" sheetId="1" r:id="rId1"/>
    <sheet name="Shipping_Cost_Data" sheetId="2" r:id="rId2"/>
    <sheet name="Order_Status_Data" sheetId="3" r:id="rId3"/>
    <sheet name="Discount_Allow_Products" sheetId="4" r:id="rId4"/>
    <sheet name="Order_Data" sheetId="5" r:id="rId5"/>
  </sheets>
  <definedNames>
    <definedName name="_xlnm._FilterDatabase" localSheetId="4" hidden="1">Order_Data!$A$1:$E$389</definedName>
    <definedName name="_xlnm._FilterDatabase" localSheetId="0" hidden="1">Discount_Data!$A$1:$F$81</definedName>
    <definedName name="_xlnm._FilterDatabase" localSheetId="2" hidden="1">Order_Status_Data!$A$3:$H$91</definedName>
    <definedName name="_xlnm._FilterDatabase" localSheetId="3" hidden="1">Discount_Allow_Products!$C$2:$C$95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_xlnm.Extract" localSheetId="3">Discount_Allow_Products!$I$2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3" i="4"/>
  <c r="F3" i="4"/>
  <c r="E4" i="4"/>
  <c r="F4" i="4"/>
  <c r="F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E3" i="2"/>
  <c r="E2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4" i="1"/>
  <c r="E5" i="1"/>
  <c r="E6" i="1"/>
  <c r="E7" i="1"/>
  <c r="E8" i="1"/>
  <c r="E3" i="1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G91" i="3"/>
  <c r="H91" i="3"/>
  <c r="G90" i="3"/>
  <c r="H90" i="3"/>
  <c r="G89" i="3"/>
  <c r="H89" i="3"/>
  <c r="G88" i="3"/>
  <c r="H88" i="3"/>
  <c r="G87" i="3"/>
  <c r="H87" i="3"/>
  <c r="G86" i="3"/>
  <c r="H86" i="3"/>
  <c r="G85" i="3"/>
  <c r="H85" i="3"/>
  <c r="G84" i="3"/>
  <c r="H84" i="3"/>
  <c r="G83" i="3"/>
  <c r="H83" i="3"/>
  <c r="G82" i="3"/>
  <c r="H82" i="3"/>
  <c r="G81" i="3"/>
  <c r="H81" i="3"/>
  <c r="G80" i="3"/>
  <c r="H80" i="3"/>
  <c r="G79" i="3"/>
  <c r="H79" i="3"/>
  <c r="G78" i="3"/>
  <c r="H78" i="3"/>
  <c r="G77" i="3"/>
  <c r="H77" i="3"/>
  <c r="G76" i="3"/>
  <c r="H76" i="3"/>
  <c r="G75" i="3"/>
  <c r="H75" i="3"/>
  <c r="G74" i="3"/>
  <c r="H74" i="3"/>
  <c r="G73" i="3"/>
  <c r="H73" i="3"/>
  <c r="G72" i="3"/>
  <c r="H72" i="3"/>
  <c r="G71" i="3"/>
  <c r="H71" i="3"/>
  <c r="G70" i="3"/>
  <c r="H70" i="3"/>
  <c r="G69" i="3"/>
  <c r="H69" i="3"/>
  <c r="G68" i="3"/>
  <c r="H68" i="3"/>
  <c r="G67" i="3"/>
  <c r="H67" i="3"/>
  <c r="G66" i="3"/>
  <c r="H66" i="3"/>
  <c r="G65" i="3"/>
  <c r="H65" i="3"/>
  <c r="G64" i="3"/>
  <c r="H64" i="3"/>
  <c r="G63" i="3"/>
  <c r="H63" i="3"/>
  <c r="G62" i="3"/>
  <c r="H62" i="3"/>
  <c r="G61" i="3"/>
  <c r="H61" i="3"/>
  <c r="G60" i="3"/>
  <c r="H60" i="3"/>
  <c r="G59" i="3"/>
  <c r="H59" i="3"/>
  <c r="G58" i="3"/>
  <c r="H58" i="3"/>
  <c r="G57" i="3"/>
  <c r="H57" i="3"/>
  <c r="G56" i="3"/>
  <c r="H56" i="3"/>
  <c r="G55" i="3"/>
  <c r="H55" i="3"/>
  <c r="G54" i="3"/>
  <c r="H54" i="3"/>
  <c r="G53" i="3"/>
  <c r="H53" i="3"/>
  <c r="G52" i="3"/>
  <c r="H52" i="3"/>
  <c r="G51" i="3"/>
  <c r="H51" i="3"/>
  <c r="G50" i="3"/>
  <c r="H50" i="3"/>
  <c r="G49" i="3"/>
  <c r="H49" i="3"/>
  <c r="G48" i="3"/>
  <c r="H48" i="3"/>
  <c r="G47" i="3"/>
  <c r="H47" i="3"/>
  <c r="G46" i="3"/>
  <c r="H46" i="3"/>
  <c r="G45" i="3"/>
  <c r="H45" i="3"/>
  <c r="G44" i="3"/>
  <c r="H44" i="3"/>
  <c r="G43" i="3"/>
  <c r="H43" i="3"/>
  <c r="G42" i="3"/>
  <c r="H42" i="3"/>
  <c r="G41" i="3"/>
  <c r="H41" i="3"/>
  <c r="G40" i="3"/>
  <c r="H40" i="3"/>
  <c r="G39" i="3"/>
  <c r="H39" i="3"/>
  <c r="G38" i="3"/>
  <c r="H38" i="3"/>
  <c r="G37" i="3"/>
  <c r="H37" i="3"/>
  <c r="G36" i="3"/>
  <c r="H36" i="3"/>
  <c r="G35" i="3"/>
  <c r="H35" i="3"/>
  <c r="G34" i="3"/>
  <c r="H34" i="3"/>
  <c r="G33" i="3"/>
  <c r="H33" i="3"/>
  <c r="G32" i="3"/>
  <c r="H32" i="3"/>
  <c r="G31" i="3"/>
  <c r="H31" i="3"/>
  <c r="G30" i="3"/>
  <c r="H30" i="3"/>
  <c r="G29" i="3"/>
  <c r="H29" i="3"/>
  <c r="G28" i="3"/>
  <c r="H28" i="3"/>
  <c r="G27" i="3"/>
  <c r="H27" i="3"/>
  <c r="G26" i="3"/>
  <c r="H26" i="3"/>
  <c r="G25" i="3"/>
  <c r="H25" i="3"/>
  <c r="G24" i="3"/>
  <c r="H24" i="3"/>
  <c r="G23" i="3"/>
  <c r="H23" i="3"/>
  <c r="G22" i="3"/>
  <c r="H22" i="3"/>
  <c r="G21" i="3"/>
  <c r="H21" i="3"/>
  <c r="G20" i="3"/>
  <c r="H20" i="3"/>
  <c r="G19" i="3"/>
  <c r="H19" i="3"/>
  <c r="G18" i="3"/>
  <c r="H18" i="3"/>
  <c r="G17" i="3"/>
  <c r="H17" i="3"/>
  <c r="G16" i="3"/>
  <c r="H16" i="3"/>
  <c r="G15" i="3"/>
  <c r="H15" i="3"/>
  <c r="G14" i="3"/>
  <c r="H14" i="3"/>
  <c r="G13" i="3"/>
  <c r="H13" i="3"/>
  <c r="G12" i="3"/>
  <c r="H12" i="3"/>
  <c r="G11" i="3"/>
  <c r="H11" i="3"/>
  <c r="G10" i="3"/>
  <c r="H10" i="3"/>
  <c r="G9" i="3"/>
  <c r="H9" i="3"/>
  <c r="G8" i="3"/>
  <c r="H8" i="3"/>
  <c r="G7" i="3"/>
  <c r="H7" i="3"/>
  <c r="G6" i="3"/>
  <c r="H6" i="3"/>
  <c r="G5" i="3"/>
  <c r="H5" i="3"/>
  <c r="G4" i="3"/>
  <c r="H4" i="3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1"/>
  <c r="F3" i="1"/>
  <c r="F4" i="1"/>
  <c r="F5" i="1"/>
  <c r="F6" i="1"/>
  <c r="F9" i="1"/>
  <c r="F10" i="1"/>
  <c r="F12" i="1"/>
  <c r="F13" i="1"/>
  <c r="F14" i="1"/>
  <c r="F15" i="1"/>
  <c r="F16" i="1"/>
  <c r="F19" i="1"/>
  <c r="F20" i="1"/>
  <c r="F22" i="1"/>
  <c r="F23" i="1"/>
  <c r="F24" i="1"/>
  <c r="F25" i="1"/>
  <c r="F26" i="1"/>
  <c r="F29" i="1"/>
  <c r="F30" i="1"/>
  <c r="F32" i="1"/>
  <c r="F33" i="1"/>
  <c r="F34" i="1"/>
  <c r="F35" i="1"/>
  <c r="F36" i="1"/>
  <c r="F39" i="1"/>
  <c r="F40" i="1"/>
  <c r="F42" i="1"/>
  <c r="F43" i="1"/>
  <c r="F44" i="1"/>
  <c r="F45" i="1"/>
  <c r="F46" i="1"/>
  <c r="F49" i="1"/>
  <c r="F50" i="1"/>
  <c r="F52" i="1"/>
  <c r="F53" i="1"/>
  <c r="F54" i="1"/>
  <c r="F55" i="1"/>
  <c r="F56" i="1"/>
  <c r="F59" i="1"/>
  <c r="F60" i="1"/>
  <c r="F62" i="1"/>
  <c r="F63" i="1"/>
  <c r="F64" i="1"/>
  <c r="F65" i="1"/>
  <c r="F66" i="1"/>
  <c r="F69" i="1"/>
  <c r="F70" i="1"/>
  <c r="F72" i="1"/>
  <c r="F73" i="1"/>
  <c r="F74" i="1"/>
  <c r="F75" i="1"/>
  <c r="F76" i="1"/>
  <c r="F79" i="1"/>
  <c r="F80" i="1"/>
  <c r="F7" i="1"/>
  <c r="F8" i="1"/>
  <c r="F81" i="1"/>
  <c r="F78" i="1"/>
  <c r="F77" i="1"/>
  <c r="F71" i="1"/>
  <c r="F68" i="1"/>
  <c r="F67" i="1"/>
  <c r="F61" i="1"/>
  <c r="F58" i="1"/>
  <c r="F57" i="1"/>
  <c r="F51" i="1"/>
  <c r="F48" i="1"/>
  <c r="F47" i="1"/>
  <c r="F41" i="1"/>
  <c r="F38" i="1"/>
  <c r="F37" i="1"/>
  <c r="F31" i="1"/>
  <c r="F28" i="1"/>
  <c r="F27" i="1"/>
  <c r="F21" i="1"/>
  <c r="F18" i="1"/>
  <c r="F17" i="1"/>
  <c r="F11" i="1"/>
</calcChain>
</file>

<file path=xl/sharedStrings.xml><?xml version="1.0" encoding="utf-8"?>
<sst xmlns="http://schemas.openxmlformats.org/spreadsheetml/2006/main" count="1723" uniqueCount="235">
  <si>
    <t>Customer Name</t>
  </si>
  <si>
    <t>Salil Jain</t>
  </si>
  <si>
    <t>Current</t>
  </si>
  <si>
    <t>Vikas Sharma</t>
  </si>
  <si>
    <t>Saving</t>
  </si>
  <si>
    <t>Vijay Kapoor</t>
  </si>
  <si>
    <t>Arjun Singh</t>
  </si>
  <si>
    <t>Manoj Kumar</t>
  </si>
  <si>
    <t>Vaibhav Sharma</t>
  </si>
  <si>
    <t>Gunjan Singh</t>
  </si>
  <si>
    <t>Manju Agarwal</t>
  </si>
  <si>
    <t>Yash Pal</t>
  </si>
  <si>
    <t>Sahil Singh</t>
  </si>
  <si>
    <t>Deepali Srivastava</t>
  </si>
  <si>
    <t xml:space="preserve">Rakhi </t>
  </si>
  <si>
    <t>Deepak Chandra Fulara</t>
  </si>
  <si>
    <t>Kavita Rawat</t>
  </si>
  <si>
    <t>Aakash Nagpal</t>
  </si>
  <si>
    <t>Ranit Chowdhury</t>
  </si>
  <si>
    <t>Priya Shaw</t>
  </si>
  <si>
    <t>Nikhita Jain</t>
  </si>
  <si>
    <t>Sreyashi Paul</t>
  </si>
  <si>
    <t>Ashu Dubey</t>
  </si>
  <si>
    <t>Prerna Tomar</t>
  </si>
  <si>
    <t>Ajay Kumar Mishra</t>
  </si>
  <si>
    <t xml:space="preserve">Jaishree </t>
  </si>
  <si>
    <t>Jatinder Singh</t>
  </si>
  <si>
    <t>Shashi Kumar</t>
  </si>
  <si>
    <t xml:space="preserve">Navdeep </t>
  </si>
  <si>
    <t>Sadhana Saini</t>
  </si>
  <si>
    <t>Manish Gupta</t>
  </si>
  <si>
    <t>Ritika Prasher</t>
  </si>
  <si>
    <t>Gurjinder Singh</t>
  </si>
  <si>
    <t>Sweety Gupta</t>
  </si>
  <si>
    <t>Radhe Prajapati</t>
  </si>
  <si>
    <t>Sandipa Sarkar</t>
  </si>
  <si>
    <t>Joydev Halder</t>
  </si>
  <si>
    <t>Sumanta Das</t>
  </si>
  <si>
    <t>Dipan Paul</t>
  </si>
  <si>
    <t>Biswajit Mahata</t>
  </si>
  <si>
    <t>Amit Samanta</t>
  </si>
  <si>
    <t>Raj Dutta</t>
  </si>
  <si>
    <t>Anshu Kumari</t>
  </si>
  <si>
    <t>Pallabi Guha</t>
  </si>
  <si>
    <t>Arup Kumar Banik</t>
  </si>
  <si>
    <t>Sayan Das Sarkar</t>
  </si>
  <si>
    <t>Chenithung J Kikon</t>
  </si>
  <si>
    <t>Pritam Singh Saha</t>
  </si>
  <si>
    <t>Hena Biswas</t>
  </si>
  <si>
    <t>Raeesah Tamboli</t>
  </si>
  <si>
    <t>Rupali Bhise</t>
  </si>
  <si>
    <t>Deepak Kumar Chaurasiya</t>
  </si>
  <si>
    <t>Pragati Sawant</t>
  </si>
  <si>
    <t>Savita Ghotane</t>
  </si>
  <si>
    <t>Sibaram Padhi</t>
  </si>
  <si>
    <t>Aparna Ghosh</t>
  </si>
  <si>
    <t>Akram Hossain</t>
  </si>
  <si>
    <t>Ramesh Chandra Das</t>
  </si>
  <si>
    <t>Puja Jana</t>
  </si>
  <si>
    <t>Abhijeet Agarwal</t>
  </si>
  <si>
    <t>Divya Bharti</t>
  </si>
  <si>
    <t>Amit Butola</t>
  </si>
  <si>
    <t>Mohit Singh</t>
  </si>
  <si>
    <t>Pramod Rawat</t>
  </si>
  <si>
    <t>Neeraj Upadhyay</t>
  </si>
  <si>
    <t>Ram Balak Sharma</t>
  </si>
  <si>
    <t>Amit Chauhan</t>
  </si>
  <si>
    <t>Pushkal Aggarwal</t>
  </si>
  <si>
    <t xml:space="preserve">Pooja </t>
  </si>
  <si>
    <t>Prabhjeet Kaur Sachdeva</t>
  </si>
  <si>
    <t>Roshni Gupta</t>
  </si>
  <si>
    <t>Sahil Husain Naik</t>
  </si>
  <si>
    <t>Trupti Parab</t>
  </si>
  <si>
    <t>Avijit Pratihar</t>
  </si>
  <si>
    <t>Nidhi Yadav</t>
  </si>
  <si>
    <t>Preet Baid</t>
  </si>
  <si>
    <t>Sudipta Pattanayak</t>
  </si>
  <si>
    <t>Pooja Pandey</t>
  </si>
  <si>
    <t>Akash Goel</t>
  </si>
  <si>
    <t>Kamini Barmecha</t>
  </si>
  <si>
    <t>Deblina Ghatak</t>
  </si>
  <si>
    <t>Souvik Brahma</t>
  </si>
  <si>
    <t>Sarbojit Mukherjee</t>
  </si>
  <si>
    <t>Sukanta Paramanik</t>
  </si>
  <si>
    <t>Jitendra Kumar Singh</t>
  </si>
  <si>
    <t>Rakesh Sharma</t>
  </si>
  <si>
    <t>Santu Ghosh</t>
  </si>
  <si>
    <t>Souvik Kumar Das</t>
  </si>
  <si>
    <t>Shubham Chhetri</t>
  </si>
  <si>
    <t>Amit Kumar Painuly</t>
  </si>
  <si>
    <t>Mukesh Singh</t>
  </si>
  <si>
    <t>Ved Kishor</t>
  </si>
  <si>
    <t>Harminder Singh</t>
  </si>
  <si>
    <t>Parveen Kumar</t>
  </si>
  <si>
    <t>Sudhir Rathee</t>
  </si>
  <si>
    <t>Region</t>
  </si>
  <si>
    <t>Salesman</t>
  </si>
  <si>
    <t>Item</t>
  </si>
  <si>
    <t>Quantity</t>
  </si>
  <si>
    <t>Price</t>
  </si>
  <si>
    <t>Discount</t>
  </si>
  <si>
    <t>Amount</t>
  </si>
  <si>
    <t>West</t>
  </si>
  <si>
    <t>Alok Das</t>
  </si>
  <si>
    <t>Hard Disk</t>
  </si>
  <si>
    <t>Anirbar Roy</t>
  </si>
  <si>
    <t>Mouse</t>
  </si>
  <si>
    <t>Nill</t>
  </si>
  <si>
    <t>Rishi Ghosh</t>
  </si>
  <si>
    <t>USB Cable</t>
  </si>
  <si>
    <t>South</t>
  </si>
  <si>
    <t>Praksh Raul</t>
  </si>
  <si>
    <t>Headphone</t>
  </si>
  <si>
    <t>East</t>
  </si>
  <si>
    <t>Srijan Kundu</t>
  </si>
  <si>
    <t>Uday Chaudhary</t>
  </si>
  <si>
    <t>Monitor</t>
  </si>
  <si>
    <t>Lalit Pradhan</t>
  </si>
  <si>
    <t>Priyam Basak</t>
  </si>
  <si>
    <t>Sumedh Goswami</t>
  </si>
  <si>
    <t>Dipak Das</t>
  </si>
  <si>
    <t>Product</t>
  </si>
  <si>
    <t>Category</t>
  </si>
  <si>
    <t>Department</t>
  </si>
  <si>
    <t>Sale Price</t>
  </si>
  <si>
    <t>Shipping Cost</t>
  </si>
  <si>
    <t>Total Sale Price</t>
  </si>
  <si>
    <t>Dry Tissues</t>
  </si>
  <si>
    <t>Cleaning Supplies</t>
  </si>
  <si>
    <t>Household</t>
  </si>
  <si>
    <t>Paper Towels</t>
  </si>
  <si>
    <t>Wet Wipes</t>
  </si>
  <si>
    <t>Chicken Dinner</t>
  </si>
  <si>
    <t>Frozen Foods</t>
  </si>
  <si>
    <t>Grocery</t>
  </si>
  <si>
    <t>Clear Refresher</t>
  </si>
  <si>
    <t>Soft Drinks</t>
  </si>
  <si>
    <t>Free</t>
  </si>
  <si>
    <t>Dried Grits</t>
  </si>
  <si>
    <t>Salty Snacks</t>
  </si>
  <si>
    <t>Extra Nougat</t>
  </si>
  <si>
    <t>Candy</t>
  </si>
  <si>
    <t>Athletic Drink</t>
  </si>
  <si>
    <t>Stew</t>
  </si>
  <si>
    <t>Jerky</t>
  </si>
  <si>
    <t>Order Id</t>
  </si>
  <si>
    <t>Zone</t>
  </si>
  <si>
    <t>Rate</t>
  </si>
  <si>
    <t>Total Price</t>
  </si>
  <si>
    <t>Order Status</t>
  </si>
  <si>
    <t>Arup Kundu</t>
  </si>
  <si>
    <t>CPU Case</t>
  </si>
  <si>
    <t>Nihar Das</t>
  </si>
  <si>
    <t>North</t>
  </si>
  <si>
    <t>Wireless Mouse</t>
  </si>
  <si>
    <t>Rupak Sharma</t>
  </si>
  <si>
    <t>LED Monitor</t>
  </si>
  <si>
    <t>Order Status will be yes, when Rate&gt;1500,Quantity&gt;8 and Total Price &gt;15000 else No order.</t>
  </si>
  <si>
    <t>Pallav Chaudhury</t>
  </si>
  <si>
    <t>Krishan Kumar</t>
  </si>
  <si>
    <t>Laser Printer</t>
  </si>
  <si>
    <t>Order Number</t>
  </si>
  <si>
    <t>Order Date</t>
  </si>
  <si>
    <t>Product Name</t>
  </si>
  <si>
    <t>Total Amount</t>
  </si>
  <si>
    <t>Mother Board</t>
  </si>
  <si>
    <t>Yes</t>
  </si>
  <si>
    <t>Keyboard</t>
  </si>
  <si>
    <t>CPU</t>
  </si>
  <si>
    <t>DVD</t>
  </si>
  <si>
    <t>Head Phone</t>
  </si>
  <si>
    <t>Discount allow for the selected products only, No discount for others( cell should be blank). Discount rate will be 2%</t>
  </si>
  <si>
    <t>4GB DDR3 RAM</t>
  </si>
  <si>
    <t>HP Laser Printer</t>
  </si>
  <si>
    <t>Arjun Khatri</t>
  </si>
  <si>
    <t>Deepak Ahuja</t>
  </si>
  <si>
    <t>Anuj Anand</t>
  </si>
  <si>
    <t>Devaang Patel</t>
  </si>
  <si>
    <t>Sunil Agarwal</t>
  </si>
  <si>
    <t>Alia Goel</t>
  </si>
  <si>
    <t>Mukesh Jain</t>
  </si>
  <si>
    <t>Ramakrishnana Reddy</t>
  </si>
  <si>
    <t>Divya Bakshi</t>
  </si>
  <si>
    <t>Keshav Babu</t>
  </si>
  <si>
    <t>Kunal Arya</t>
  </si>
  <si>
    <t>Vijya Balakrishnan</t>
  </si>
  <si>
    <t>Mukesh Banerjee</t>
  </si>
  <si>
    <t>Naveen Bhatt</t>
  </si>
  <si>
    <t>Rishi Kumar</t>
  </si>
  <si>
    <t>Baldev Kaushik</t>
  </si>
  <si>
    <t>Order Amount</t>
  </si>
  <si>
    <t>Discount Amount</t>
  </si>
  <si>
    <t>Hindol Sinha</t>
  </si>
  <si>
    <t>Dola Das</t>
  </si>
  <si>
    <t>Deepak Sharma</t>
  </si>
  <si>
    <t>Uma Nag</t>
  </si>
  <si>
    <t>Sayak Pal</t>
  </si>
  <si>
    <t>Srijan Das</t>
  </si>
  <si>
    <t>Srijita Agarwal</t>
  </si>
  <si>
    <t>Rina Karmakar</t>
  </si>
  <si>
    <t>Lily Roy</t>
  </si>
  <si>
    <t>Sonali Gupta</t>
  </si>
  <si>
    <t>Bikash Singh</t>
  </si>
  <si>
    <t>Sanjoy Kumar</t>
  </si>
  <si>
    <t>Rishik Sen</t>
  </si>
  <si>
    <t>Surajit dasAjit Roy</t>
  </si>
  <si>
    <t>Robert Peter</t>
  </si>
  <si>
    <t>Rahul Singh</t>
  </si>
  <si>
    <t>Debasish Dey</t>
  </si>
  <si>
    <t>Manoj Patra</t>
  </si>
  <si>
    <t>Supriyo Neogi</t>
  </si>
  <si>
    <t>Bijay Sharma</t>
  </si>
  <si>
    <t>Manshi Sharma</t>
  </si>
  <si>
    <t>Simran Kumari</t>
  </si>
  <si>
    <t>Bijan Gope</t>
  </si>
  <si>
    <t xml:space="preserve">Neha </t>
  </si>
  <si>
    <t>M Akila</t>
  </si>
  <si>
    <t>Barkha Lohani</t>
  </si>
  <si>
    <t>Renjith R  Krishnan</t>
  </si>
  <si>
    <t>Nor Bahadur Subba</t>
  </si>
  <si>
    <t>Sunanda Das</t>
  </si>
  <si>
    <t>Raj Kumar Sinha</t>
  </si>
  <si>
    <t>Shivani Chaturvedi</t>
  </si>
  <si>
    <t>Abilash Das</t>
  </si>
  <si>
    <t>Riya Banerjee</t>
  </si>
  <si>
    <t>Ambika Sinha</t>
  </si>
  <si>
    <t>Dipendu Kishore Das</t>
  </si>
  <si>
    <t>Surekha Yendhe</t>
  </si>
  <si>
    <t>Ankita Chadha</t>
  </si>
  <si>
    <t>Vivek Singh</t>
  </si>
  <si>
    <t>Discount %</t>
  </si>
  <si>
    <t xml:space="preserve">Order </t>
  </si>
  <si>
    <t>provide 13% discount where order amount &gt; 5000.</t>
  </si>
  <si>
    <t xml:space="preserve">North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</si>
</sst>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_);[Red]\(&quot;$&quot;#,##0.00\)"/>
    <numFmt numFmtId="166" formatCode="[$₹-4009]\ #,##0.00"/>
  </numFmts>
  <fonts count="13" x14ac:knownFonts="1">
    <font>
      <sz val="11"/>
      <name val="Calibri"/>
    </font>
    <font>
      <b/>
      <sz val="11"/>
      <color rgb="FF000000"/>
      <name val="Book Antiqua"/>
    </font>
    <font>
      <sz val="11"/>
      <color rgb="FF000000"/>
      <name val="Book Antiqua"/>
    </font>
    <font>
      <sz val="11"/>
      <color rgb="FF000000"/>
      <name val="Calibri"/>
    </font>
    <font>
      <b/>
      <sz val="15"/>
      <color rgb="FF1F4A7E"/>
      <name val="Calibri"/>
    </font>
    <font>
      <sz val="11"/>
      <color rgb="FF000000"/>
      <name val="Calibri"/>
    </font>
    <font>
      <sz val="11"/>
      <color rgb="FFFFFFFF"/>
      <name val="Calibri"/>
    </font>
    <font>
      <b/>
      <sz val="12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CACC6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5181BD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</borders>
  <cellStyleXfs count="4">
    <xf numFmtId="0" fontId="0" fillId="0" borderId="0">
      <alignment vertical="center"/>
    </xf>
    <xf numFmtId="9" fontId="5" fillId="0" borderId="0">
      <protection locked="0"/>
    </xf>
    <xf numFmtId="0" fontId="4" fillId="0" borderId="3">
      <protection locked="0"/>
    </xf>
    <xf numFmtId="0" fontId="6" fillId="5" borderId="0">
      <protection locked="0"/>
    </xf>
  </cellStyleXfs>
  <cellXfs count="35">
    <xf numFmtId="0" fontId="0" fillId="0" borderId="0" xfId="0">
      <alignment vertical="center"/>
    </xf>
    <xf numFmtId="0" fontId="1" fillId="4" borderId="0" xfId="0" applyFont="1" applyFill="1" applyAlignment="1"/>
    <xf numFmtId="9" fontId="2" fillId="4" borderId="0" xfId="0" applyNumberFormat="1" applyFont="1" applyFill="1" applyAlignment="1"/>
    <xf numFmtId="0" fontId="2" fillId="4" borderId="0" xfId="0" applyFont="1" applyFill="1" applyAlignment="1"/>
    <xf numFmtId="165" fontId="2" fillId="4" borderId="0" xfId="0" applyNumberFormat="1" applyFont="1" applyFill="1" applyAlignment="1"/>
    <xf numFmtId="0" fontId="2" fillId="0" borderId="0" xfId="0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/>
    <xf numFmtId="0" fontId="7" fillId="7" borderId="0" xfId="0" applyFont="1" applyFill="1">
      <alignment vertical="center"/>
    </xf>
    <xf numFmtId="166" fontId="0" fillId="0" borderId="0" xfId="0" applyNumberFormat="1">
      <alignment vertical="center"/>
    </xf>
    <xf numFmtId="0" fontId="8" fillId="2" borderId="1" xfId="0" applyFont="1" applyFill="1" applyBorder="1" applyAlignment="1">
      <alignment horizontal="center"/>
    </xf>
    <xf numFmtId="166" fontId="8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/>
    <xf numFmtId="166" fontId="9" fillId="0" borderId="1" xfId="0" applyNumberFormat="1" applyFont="1" applyBorder="1" applyAlignment="1"/>
    <xf numFmtId="166" fontId="9" fillId="6" borderId="1" xfId="0" applyNumberFormat="1" applyFont="1" applyFill="1" applyBorder="1" applyAlignment="1"/>
    <xf numFmtId="0" fontId="8" fillId="3" borderId="1" xfId="0" applyFont="1" applyFill="1" applyBorder="1" applyAlignment="1">
      <alignment horizontal="center"/>
    </xf>
    <xf numFmtId="166" fontId="8" fillId="3" borderId="1" xfId="0" applyNumberFormat="1" applyFont="1" applyFill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3" borderId="2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6" borderId="1" xfId="0" applyFont="1" applyFill="1" applyBorder="1" applyAlignment="1"/>
    <xf numFmtId="14" fontId="9" fillId="0" borderId="1" xfId="0" applyNumberFormat="1" applyFont="1" applyBorder="1" applyAlignment="1">
      <alignment horizontal="center"/>
    </xf>
    <xf numFmtId="166" fontId="9" fillId="0" borderId="1" xfId="1" applyNumberFormat="1" applyFont="1" applyFill="1" applyBorder="1" applyAlignment="1" applyProtection="1">
      <alignment horizontal="center"/>
    </xf>
    <xf numFmtId="0" fontId="10" fillId="3" borderId="1" xfId="0" applyFont="1" applyFill="1" applyBorder="1" applyAlignment="1"/>
    <xf numFmtId="166" fontId="10" fillId="3" borderId="1" xfId="0" applyNumberFormat="1" applyFont="1" applyFill="1" applyBorder="1" applyAlignment="1"/>
    <xf numFmtId="0" fontId="9" fillId="0" borderId="1" xfId="0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11" fillId="3" borderId="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4">
    <cellStyle name="Accent5" xfId="3" xr:uid="{00000000-0005-0000-0000-000003000000}"/>
    <cellStyle name="Heading 1" xfId="2" xr:uid="{00000000-0005-0000-0000-000002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www.wps.cn/officeDocument/2020/cellImage" Target="NUL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165283</xdr:colOff>
      <xdr:row>6</xdr:row>
      <xdr:rowOff>0</xdr:rowOff>
    </xdr:from>
    <xdr:to>
      <xdr:col>8</xdr:col>
      <xdr:colOff>674683</xdr:colOff>
      <xdr:row>7</xdr:row>
      <xdr:rowOff>139154</xdr:rowOff>
    </xdr:to>
    <xdr:sp macro="" textlink="">
      <xdr:nvSpPr>
        <xdr:cNvPr id="2" name="upArrow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629400" y="1409700"/>
          <a:ext cx="504825" cy="409575"/>
        </a:xfrm>
        <a:prstGeom prst="upArrow">
          <a:avLst/>
        </a:prstGeom>
        <a:solidFill>
          <a:srgbClr val="4F81BD"/>
        </a:solidFill>
        <a:ln w="9525" cap="flat" cmpd="sng">
          <a:solidFill>
            <a:srgbClr val="33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J81"/>
  <sheetViews>
    <sheetView showGridLines="0" tabSelected="1" zoomScale="69" workbookViewId="0">
      <selection activeCell="C87" sqref="C87"/>
    </sheetView>
  </sheetViews>
  <sheetFormatPr defaultColWidth="9.953125" defaultRowHeight="15" x14ac:dyDescent="0.2"/>
  <cols>
    <col min="1" max="1" width="7.93359375" bestFit="1" customWidth="1"/>
    <col min="2" max="2" width="18.6953125" bestFit="1" customWidth="1"/>
    <col min="3" max="3" width="12.10546875" bestFit="1" customWidth="1"/>
    <col min="4" max="4" width="13.85546875" style="9" customWidth="1"/>
    <col min="5" max="5" width="12.375" style="9" bestFit="1" customWidth="1"/>
    <col min="6" max="6" width="12.5078125" style="9" bestFit="1" customWidth="1"/>
    <col min="7" max="7" width="12.23828125" customWidth="1"/>
    <col min="10" max="10" width="13.31640625" customWidth="1"/>
  </cols>
  <sheetData>
    <row r="1" spans="1:10" x14ac:dyDescent="0.2">
      <c r="A1" s="10" t="s">
        <v>95</v>
      </c>
      <c r="B1" s="10" t="s">
        <v>96</v>
      </c>
      <c r="C1" s="10" t="s">
        <v>97</v>
      </c>
      <c r="D1" s="11" t="s">
        <v>99</v>
      </c>
      <c r="E1" s="11" t="s">
        <v>230</v>
      </c>
      <c r="F1" s="11" t="s">
        <v>101</v>
      </c>
    </row>
    <row r="2" spans="1:10" x14ac:dyDescent="0.2">
      <c r="A2" s="12" t="s">
        <v>102</v>
      </c>
      <c r="B2" s="12" t="s">
        <v>103</v>
      </c>
      <c r="C2" s="12" t="s">
        <v>104</v>
      </c>
      <c r="D2" s="13">
        <v>3800</v>
      </c>
      <c r="E2" s="14">
        <f>IF(D2&gt;6000,D2*5%,IF(D2&gt;5000,D2*4%,IF(D2&gt;4000,D2*3.5%,IF(D2&gt;3000,D2*3%,IF(D2&gt;2000,D2*2.5%,IF(D2&gt;1000,D2*2%,0))))))</f>
        <v>114</v>
      </c>
      <c r="F2" s="14">
        <f>D2-E2</f>
        <v>3686</v>
      </c>
      <c r="I2" s="10" t="s">
        <v>99</v>
      </c>
      <c r="J2" s="10" t="s">
        <v>100</v>
      </c>
    </row>
    <row r="3" spans="1:10" x14ac:dyDescent="0.2">
      <c r="A3" s="12" t="s">
        <v>233</v>
      </c>
      <c r="B3" s="12" t="s">
        <v>105</v>
      </c>
      <c r="C3" s="12" t="s">
        <v>106</v>
      </c>
      <c r="D3" s="13">
        <v>150</v>
      </c>
      <c r="E3" s="14">
        <f>IF(D3&gt;6000,D3*5%,IF(D3&gt;5000,D3*4%,IF(D3&gt;4000,D3*3.5%,IF(D3&gt;3000,D3*3%,IF(D3&gt;2000,D3*2.5%,IF(D3&gt;1000,D3*2%,0))))))</f>
        <v>0</v>
      </c>
      <c r="F3" s="13">
        <f>D3-E3</f>
        <v>150</v>
      </c>
      <c r="I3" s="12">
        <v>0</v>
      </c>
      <c r="J3" s="12" t="s">
        <v>107</v>
      </c>
    </row>
    <row r="4" spans="1:10" x14ac:dyDescent="0.2">
      <c r="A4" s="12" t="s">
        <v>102</v>
      </c>
      <c r="B4" s="12" t="s">
        <v>108</v>
      </c>
      <c r="C4" s="12" t="s">
        <v>109</v>
      </c>
      <c r="D4" s="13">
        <v>50</v>
      </c>
      <c r="E4" s="14">
        <f t="shared" ref="E4:E67" si="0">IF(D4&gt;6000,D4*5%,IF(D4&gt;5000,D4*4%,IF(D4&gt;4000,D4*3.5%,IF(D4&gt;3000,D4*3%,IF(D4&gt;2000,D4*2.5%,IF(D4&gt;1000,D4*2%,0))))))</f>
        <v>0</v>
      </c>
      <c r="F4" s="13">
        <f>D4-E4</f>
        <v>50</v>
      </c>
      <c r="I4" s="28">
        <v>1000</v>
      </c>
      <c r="J4" s="29">
        <v>0.02</v>
      </c>
    </row>
    <row r="5" spans="1:10" x14ac:dyDescent="0.2">
      <c r="A5" s="12" t="s">
        <v>110</v>
      </c>
      <c r="B5" s="12" t="s">
        <v>111</v>
      </c>
      <c r="C5" s="12" t="s">
        <v>112</v>
      </c>
      <c r="D5" s="13">
        <v>200</v>
      </c>
      <c r="E5" s="14">
        <f t="shared" si="0"/>
        <v>0</v>
      </c>
      <c r="F5" s="13">
        <f>D5-E5</f>
        <v>200</v>
      </c>
      <c r="I5" s="28">
        <v>2000</v>
      </c>
      <c r="J5" s="29">
        <v>2.5000000000000001E-2</v>
      </c>
    </row>
    <row r="6" spans="1:10" x14ac:dyDescent="0.2">
      <c r="A6" s="12" t="s">
        <v>113</v>
      </c>
      <c r="B6" s="12" t="s">
        <v>114</v>
      </c>
      <c r="C6" s="12" t="s">
        <v>112</v>
      </c>
      <c r="D6" s="13">
        <v>200</v>
      </c>
      <c r="E6" s="14">
        <f t="shared" si="0"/>
        <v>0</v>
      </c>
      <c r="F6" s="13">
        <f>D6-E6</f>
        <v>200</v>
      </c>
      <c r="I6" s="28">
        <v>3000</v>
      </c>
      <c r="J6" s="29">
        <v>0.03</v>
      </c>
    </row>
    <row r="7" spans="1:10" x14ac:dyDescent="0.2">
      <c r="A7" s="12" t="s">
        <v>233</v>
      </c>
      <c r="B7" s="12" t="s">
        <v>115</v>
      </c>
      <c r="C7" s="12" t="s">
        <v>116</v>
      </c>
      <c r="D7" s="13">
        <v>6580</v>
      </c>
      <c r="E7" s="14">
        <f t="shared" si="0"/>
        <v>329</v>
      </c>
      <c r="F7" s="13">
        <f>D7-E7</f>
        <v>6251</v>
      </c>
      <c r="I7" s="28">
        <v>4000</v>
      </c>
      <c r="J7" s="29">
        <v>3.5000000000000003E-2</v>
      </c>
    </row>
    <row r="8" spans="1:10" x14ac:dyDescent="0.2">
      <c r="A8" s="12" t="s">
        <v>113</v>
      </c>
      <c r="B8" s="12" t="s">
        <v>117</v>
      </c>
      <c r="C8" s="12" t="s">
        <v>116</v>
      </c>
      <c r="D8" s="13">
        <v>6580</v>
      </c>
      <c r="E8" s="14">
        <f t="shared" si="0"/>
        <v>329</v>
      </c>
      <c r="F8" s="14">
        <f>D8-E8</f>
        <v>6251</v>
      </c>
      <c r="I8" s="28">
        <v>5000</v>
      </c>
      <c r="J8" s="29">
        <v>0.04</v>
      </c>
    </row>
    <row r="9" spans="1:10" x14ac:dyDescent="0.2">
      <c r="A9" s="12" t="s">
        <v>110</v>
      </c>
      <c r="B9" s="12" t="s">
        <v>118</v>
      </c>
      <c r="C9" s="12" t="s">
        <v>109</v>
      </c>
      <c r="D9" s="13">
        <v>50</v>
      </c>
      <c r="E9" s="14">
        <f t="shared" si="0"/>
        <v>0</v>
      </c>
      <c r="F9" s="13">
        <f>D9-E9</f>
        <v>50</v>
      </c>
      <c r="I9" s="28">
        <v>6000</v>
      </c>
      <c r="J9" s="29">
        <v>0.05</v>
      </c>
    </row>
    <row r="10" spans="1:10" x14ac:dyDescent="0.2">
      <c r="A10" s="12" t="s">
        <v>102</v>
      </c>
      <c r="B10" s="12" t="s">
        <v>119</v>
      </c>
      <c r="C10" s="12" t="s">
        <v>109</v>
      </c>
      <c r="D10" s="13">
        <v>50</v>
      </c>
      <c r="E10" s="14">
        <f t="shared" si="0"/>
        <v>0</v>
      </c>
      <c r="F10" s="13">
        <f>D10-E10</f>
        <v>50</v>
      </c>
    </row>
    <row r="11" spans="1:10" x14ac:dyDescent="0.2">
      <c r="A11" s="12" t="s">
        <v>233</v>
      </c>
      <c r="B11" s="12" t="s">
        <v>120</v>
      </c>
      <c r="C11" s="12" t="s">
        <v>116</v>
      </c>
      <c r="D11" s="13">
        <v>6580</v>
      </c>
      <c r="E11" s="14">
        <f t="shared" si="0"/>
        <v>329</v>
      </c>
      <c r="F11" s="13">
        <f>D11-E11</f>
        <v>6251</v>
      </c>
    </row>
    <row r="12" spans="1:10" x14ac:dyDescent="0.2">
      <c r="A12" s="12" t="s">
        <v>102</v>
      </c>
      <c r="B12" s="12" t="s">
        <v>103</v>
      </c>
      <c r="C12" s="12" t="s">
        <v>104</v>
      </c>
      <c r="D12" s="13">
        <v>3800</v>
      </c>
      <c r="E12" s="14">
        <f t="shared" si="0"/>
        <v>114</v>
      </c>
      <c r="F12" s="13">
        <f>D12-E12</f>
        <v>3686</v>
      </c>
    </row>
    <row r="13" spans="1:10" x14ac:dyDescent="0.2">
      <c r="A13" s="12" t="s">
        <v>233</v>
      </c>
      <c r="B13" s="12" t="s">
        <v>105</v>
      </c>
      <c r="C13" s="12" t="s">
        <v>106</v>
      </c>
      <c r="D13" s="13">
        <v>150</v>
      </c>
      <c r="E13" s="14">
        <f t="shared" si="0"/>
        <v>0</v>
      </c>
      <c r="F13" s="13">
        <f>D13-E13</f>
        <v>150</v>
      </c>
    </row>
    <row r="14" spans="1:10" x14ac:dyDescent="0.2">
      <c r="A14" s="12" t="s">
        <v>102</v>
      </c>
      <c r="B14" s="12" t="s">
        <v>108</v>
      </c>
      <c r="C14" s="12" t="s">
        <v>109</v>
      </c>
      <c r="D14" s="13">
        <v>50</v>
      </c>
      <c r="E14" s="14">
        <f t="shared" si="0"/>
        <v>0</v>
      </c>
      <c r="F14" s="13">
        <f>D14-E14</f>
        <v>50</v>
      </c>
    </row>
    <row r="15" spans="1:10" x14ac:dyDescent="0.2">
      <c r="A15" s="12" t="s">
        <v>110</v>
      </c>
      <c r="B15" s="12" t="s">
        <v>111</v>
      </c>
      <c r="C15" s="12" t="s">
        <v>112</v>
      </c>
      <c r="D15" s="13">
        <v>200</v>
      </c>
      <c r="E15" s="14">
        <f t="shared" si="0"/>
        <v>0</v>
      </c>
      <c r="F15" s="13">
        <f>D15-E15</f>
        <v>200</v>
      </c>
    </row>
    <row r="16" spans="1:10" x14ac:dyDescent="0.2">
      <c r="A16" s="12" t="s">
        <v>113</v>
      </c>
      <c r="B16" s="12" t="s">
        <v>114</v>
      </c>
      <c r="C16" s="12" t="s">
        <v>112</v>
      </c>
      <c r="D16" s="13">
        <v>200</v>
      </c>
      <c r="E16" s="14">
        <f t="shared" si="0"/>
        <v>0</v>
      </c>
      <c r="F16" s="13">
        <f>D16-E16</f>
        <v>200</v>
      </c>
    </row>
    <row r="17" spans="1:6" x14ac:dyDescent="0.2">
      <c r="A17" s="12" t="s">
        <v>233</v>
      </c>
      <c r="B17" s="12" t="s">
        <v>115</v>
      </c>
      <c r="C17" s="12" t="s">
        <v>116</v>
      </c>
      <c r="D17" s="13">
        <v>6580</v>
      </c>
      <c r="E17" s="14">
        <f t="shared" si="0"/>
        <v>329</v>
      </c>
      <c r="F17" s="13">
        <f>D17-E17</f>
        <v>6251</v>
      </c>
    </row>
    <row r="18" spans="1:6" x14ac:dyDescent="0.2">
      <c r="A18" s="12" t="s">
        <v>113</v>
      </c>
      <c r="B18" s="12" t="s">
        <v>117</v>
      </c>
      <c r="C18" s="12" t="s">
        <v>116</v>
      </c>
      <c r="D18" s="13">
        <v>6580</v>
      </c>
      <c r="E18" s="14">
        <f t="shared" si="0"/>
        <v>329</v>
      </c>
      <c r="F18" s="13">
        <f>D18-E18</f>
        <v>6251</v>
      </c>
    </row>
    <row r="19" spans="1:6" x14ac:dyDescent="0.2">
      <c r="A19" s="12" t="s">
        <v>110</v>
      </c>
      <c r="B19" s="12" t="s">
        <v>118</v>
      </c>
      <c r="C19" s="12" t="s">
        <v>109</v>
      </c>
      <c r="D19" s="13">
        <v>50</v>
      </c>
      <c r="E19" s="14">
        <f t="shared" si="0"/>
        <v>0</v>
      </c>
      <c r="F19" s="13">
        <f>D19-E19</f>
        <v>50</v>
      </c>
    </row>
    <row r="20" spans="1:6" x14ac:dyDescent="0.2">
      <c r="A20" s="12" t="s">
        <v>102</v>
      </c>
      <c r="B20" s="12" t="s">
        <v>119</v>
      </c>
      <c r="C20" s="12" t="s">
        <v>109</v>
      </c>
      <c r="D20" s="13">
        <v>50</v>
      </c>
      <c r="E20" s="14">
        <f t="shared" si="0"/>
        <v>0</v>
      </c>
      <c r="F20" s="13">
        <f>D20-E20</f>
        <v>50</v>
      </c>
    </row>
    <row r="21" spans="1:6" x14ac:dyDescent="0.2">
      <c r="A21" s="12" t="s">
        <v>233</v>
      </c>
      <c r="B21" s="12" t="s">
        <v>120</v>
      </c>
      <c r="C21" s="12" t="s">
        <v>116</v>
      </c>
      <c r="D21" s="13">
        <v>6580</v>
      </c>
      <c r="E21" s="14">
        <f t="shared" si="0"/>
        <v>329</v>
      </c>
      <c r="F21" s="13">
        <f>D21-E21</f>
        <v>6251</v>
      </c>
    </row>
    <row r="22" spans="1:6" x14ac:dyDescent="0.2">
      <c r="A22" s="12" t="s">
        <v>102</v>
      </c>
      <c r="B22" s="12" t="s">
        <v>103</v>
      </c>
      <c r="C22" s="12" t="s">
        <v>104</v>
      </c>
      <c r="D22" s="13">
        <v>3800</v>
      </c>
      <c r="E22" s="14">
        <f>IF(D22&gt;6000,D22*5%,IF(D22&gt;5000,D22*4%,IF(D22&gt;4000,D22*3.5%,IF(D22&gt;3000,D22*3%,IF(D22&gt;2000,D22*2.5%,IF(D22&gt;1000,D22*2%,0))))))</f>
        <v>114</v>
      </c>
      <c r="F22" s="13">
        <f>D22-E22</f>
        <v>3686</v>
      </c>
    </row>
    <row r="23" spans="1:6" x14ac:dyDescent="0.2">
      <c r="A23" s="12" t="s">
        <v>233</v>
      </c>
      <c r="B23" s="12" t="s">
        <v>105</v>
      </c>
      <c r="C23" s="12" t="s">
        <v>106</v>
      </c>
      <c r="D23" s="13">
        <v>150</v>
      </c>
      <c r="E23" s="14">
        <f t="shared" si="0"/>
        <v>0</v>
      </c>
      <c r="F23" s="13">
        <f>D23-E23</f>
        <v>150</v>
      </c>
    </row>
    <row r="24" spans="1:6" x14ac:dyDescent="0.2">
      <c r="A24" s="12" t="s">
        <v>102</v>
      </c>
      <c r="B24" s="12" t="s">
        <v>108</v>
      </c>
      <c r="C24" s="12" t="s">
        <v>109</v>
      </c>
      <c r="D24" s="13">
        <v>50</v>
      </c>
      <c r="E24" s="14">
        <f t="shared" si="0"/>
        <v>0</v>
      </c>
      <c r="F24" s="13">
        <f>D24-E24</f>
        <v>50</v>
      </c>
    </row>
    <row r="25" spans="1:6" x14ac:dyDescent="0.2">
      <c r="A25" s="12" t="s">
        <v>110</v>
      </c>
      <c r="B25" s="12" t="s">
        <v>111</v>
      </c>
      <c r="C25" s="12" t="s">
        <v>112</v>
      </c>
      <c r="D25" s="13">
        <v>200</v>
      </c>
      <c r="E25" s="14">
        <f t="shared" si="0"/>
        <v>0</v>
      </c>
      <c r="F25" s="13">
        <f>D25-E25</f>
        <v>200</v>
      </c>
    </row>
    <row r="26" spans="1:6" x14ac:dyDescent="0.2">
      <c r="A26" s="12" t="s">
        <v>113</v>
      </c>
      <c r="B26" s="12" t="s">
        <v>114</v>
      </c>
      <c r="C26" s="12" t="s">
        <v>112</v>
      </c>
      <c r="D26" s="13">
        <v>200</v>
      </c>
      <c r="E26" s="14">
        <f t="shared" si="0"/>
        <v>0</v>
      </c>
      <c r="F26" s="13">
        <f>D26-E26</f>
        <v>200</v>
      </c>
    </row>
    <row r="27" spans="1:6" x14ac:dyDescent="0.2">
      <c r="A27" s="12" t="s">
        <v>233</v>
      </c>
      <c r="B27" s="12" t="s">
        <v>115</v>
      </c>
      <c r="C27" s="12" t="s">
        <v>116</v>
      </c>
      <c r="D27" s="13">
        <v>6580</v>
      </c>
      <c r="E27" s="14">
        <f t="shared" si="0"/>
        <v>329</v>
      </c>
      <c r="F27" s="13">
        <f>D27-E27</f>
        <v>6251</v>
      </c>
    </row>
    <row r="28" spans="1:6" x14ac:dyDescent="0.2">
      <c r="A28" s="12" t="s">
        <v>113</v>
      </c>
      <c r="B28" s="12" t="s">
        <v>117</v>
      </c>
      <c r="C28" s="12" t="s">
        <v>116</v>
      </c>
      <c r="D28" s="13">
        <v>6580</v>
      </c>
      <c r="E28" s="14">
        <f t="shared" si="0"/>
        <v>329</v>
      </c>
      <c r="F28" s="13">
        <f>D28-E28</f>
        <v>6251</v>
      </c>
    </row>
    <row r="29" spans="1:6" x14ac:dyDescent="0.2">
      <c r="A29" s="12" t="s">
        <v>110</v>
      </c>
      <c r="B29" s="12" t="s">
        <v>118</v>
      </c>
      <c r="C29" s="12" t="s">
        <v>109</v>
      </c>
      <c r="D29" s="13">
        <v>50</v>
      </c>
      <c r="E29" s="14">
        <f t="shared" si="0"/>
        <v>0</v>
      </c>
      <c r="F29" s="13">
        <f>D29-E29</f>
        <v>50</v>
      </c>
    </row>
    <row r="30" spans="1:6" x14ac:dyDescent="0.2">
      <c r="A30" s="12" t="s">
        <v>102</v>
      </c>
      <c r="B30" s="12" t="s">
        <v>119</v>
      </c>
      <c r="C30" s="12" t="s">
        <v>109</v>
      </c>
      <c r="D30" s="13">
        <v>50</v>
      </c>
      <c r="E30" s="14">
        <f t="shared" si="0"/>
        <v>0</v>
      </c>
      <c r="F30" s="13">
        <f>D30-E30</f>
        <v>50</v>
      </c>
    </row>
    <row r="31" spans="1:6" x14ac:dyDescent="0.2">
      <c r="A31" s="12" t="s">
        <v>233</v>
      </c>
      <c r="B31" s="12" t="s">
        <v>120</v>
      </c>
      <c r="C31" s="12" t="s">
        <v>116</v>
      </c>
      <c r="D31" s="13">
        <v>6580</v>
      </c>
      <c r="E31" s="14">
        <f t="shared" si="0"/>
        <v>329</v>
      </c>
      <c r="F31" s="13">
        <f>D31-E31</f>
        <v>6251</v>
      </c>
    </row>
    <row r="32" spans="1:6" x14ac:dyDescent="0.2">
      <c r="A32" s="12" t="s">
        <v>102</v>
      </c>
      <c r="B32" s="12" t="s">
        <v>103</v>
      </c>
      <c r="C32" s="12" t="s">
        <v>104</v>
      </c>
      <c r="D32" s="13">
        <v>3800</v>
      </c>
      <c r="E32" s="14">
        <f t="shared" si="0"/>
        <v>114</v>
      </c>
      <c r="F32" s="13">
        <f>D32-E32</f>
        <v>3686</v>
      </c>
    </row>
    <row r="33" spans="1:6" x14ac:dyDescent="0.2">
      <c r="A33" s="12" t="s">
        <v>233</v>
      </c>
      <c r="B33" s="12" t="s">
        <v>105</v>
      </c>
      <c r="C33" s="12" t="s">
        <v>106</v>
      </c>
      <c r="D33" s="13">
        <v>150</v>
      </c>
      <c r="E33" s="14">
        <f t="shared" si="0"/>
        <v>0</v>
      </c>
      <c r="F33" s="13">
        <f>D33-E33</f>
        <v>150</v>
      </c>
    </row>
    <row r="34" spans="1:6" x14ac:dyDescent="0.2">
      <c r="A34" s="12" t="s">
        <v>102</v>
      </c>
      <c r="B34" s="12" t="s">
        <v>108</v>
      </c>
      <c r="C34" s="12" t="s">
        <v>109</v>
      </c>
      <c r="D34" s="13">
        <v>50</v>
      </c>
      <c r="E34" s="14">
        <f t="shared" si="0"/>
        <v>0</v>
      </c>
      <c r="F34" s="13">
        <f>D34-E34</f>
        <v>50</v>
      </c>
    </row>
    <row r="35" spans="1:6" x14ac:dyDescent="0.2">
      <c r="A35" s="12" t="s">
        <v>110</v>
      </c>
      <c r="B35" s="12" t="s">
        <v>111</v>
      </c>
      <c r="C35" s="12" t="s">
        <v>112</v>
      </c>
      <c r="D35" s="13">
        <v>200</v>
      </c>
      <c r="E35" s="14">
        <f t="shared" si="0"/>
        <v>0</v>
      </c>
      <c r="F35" s="13">
        <f>D35-E35</f>
        <v>200</v>
      </c>
    </row>
    <row r="36" spans="1:6" x14ac:dyDescent="0.2">
      <c r="A36" s="12" t="s">
        <v>113</v>
      </c>
      <c r="B36" s="12" t="s">
        <v>114</v>
      </c>
      <c r="C36" s="12" t="s">
        <v>112</v>
      </c>
      <c r="D36" s="13">
        <v>200</v>
      </c>
      <c r="E36" s="14">
        <f t="shared" si="0"/>
        <v>0</v>
      </c>
      <c r="F36" s="13">
        <f>D36-E36</f>
        <v>200</v>
      </c>
    </row>
    <row r="37" spans="1:6" x14ac:dyDescent="0.2">
      <c r="A37" s="12" t="s">
        <v>233</v>
      </c>
      <c r="B37" s="12" t="s">
        <v>115</v>
      </c>
      <c r="C37" s="12" t="s">
        <v>116</v>
      </c>
      <c r="D37" s="13">
        <v>6580</v>
      </c>
      <c r="E37" s="14">
        <f t="shared" si="0"/>
        <v>329</v>
      </c>
      <c r="F37" s="13">
        <f>D37-E37</f>
        <v>6251</v>
      </c>
    </row>
    <row r="38" spans="1:6" x14ac:dyDescent="0.2">
      <c r="A38" s="12" t="s">
        <v>113</v>
      </c>
      <c r="B38" s="12" t="s">
        <v>117</v>
      </c>
      <c r="C38" s="12" t="s">
        <v>116</v>
      </c>
      <c r="D38" s="13">
        <v>6580</v>
      </c>
      <c r="E38" s="14">
        <f t="shared" si="0"/>
        <v>329</v>
      </c>
      <c r="F38" s="13">
        <f>D38-E38</f>
        <v>6251</v>
      </c>
    </row>
    <row r="39" spans="1:6" x14ac:dyDescent="0.2">
      <c r="A39" s="12" t="s">
        <v>110</v>
      </c>
      <c r="B39" s="12" t="s">
        <v>118</v>
      </c>
      <c r="C39" s="12" t="s">
        <v>109</v>
      </c>
      <c r="D39" s="13">
        <v>50</v>
      </c>
      <c r="E39" s="14">
        <f t="shared" si="0"/>
        <v>0</v>
      </c>
      <c r="F39" s="13">
        <f>D39-E39</f>
        <v>50</v>
      </c>
    </row>
    <row r="40" spans="1:6" x14ac:dyDescent="0.2">
      <c r="A40" s="12" t="s">
        <v>102</v>
      </c>
      <c r="B40" s="12" t="s">
        <v>119</v>
      </c>
      <c r="C40" s="12" t="s">
        <v>109</v>
      </c>
      <c r="D40" s="13">
        <v>50</v>
      </c>
      <c r="E40" s="14">
        <f t="shared" si="0"/>
        <v>0</v>
      </c>
      <c r="F40" s="13">
        <f>D40-E40</f>
        <v>50</v>
      </c>
    </row>
    <row r="41" spans="1:6" x14ac:dyDescent="0.2">
      <c r="A41" s="12" t="s">
        <v>233</v>
      </c>
      <c r="B41" s="12" t="s">
        <v>120</v>
      </c>
      <c r="C41" s="12" t="s">
        <v>116</v>
      </c>
      <c r="D41" s="13">
        <v>6580</v>
      </c>
      <c r="E41" s="14">
        <f t="shared" si="0"/>
        <v>329</v>
      </c>
      <c r="F41" s="13">
        <f>D41-E41</f>
        <v>6251</v>
      </c>
    </row>
    <row r="42" spans="1:6" x14ac:dyDescent="0.2">
      <c r="A42" s="12" t="s">
        <v>102</v>
      </c>
      <c r="B42" s="12" t="s">
        <v>103</v>
      </c>
      <c r="C42" s="12" t="s">
        <v>104</v>
      </c>
      <c r="D42" s="13">
        <v>3800</v>
      </c>
      <c r="E42" s="14">
        <f t="shared" si="0"/>
        <v>114</v>
      </c>
      <c r="F42" s="13">
        <f>D42-E42</f>
        <v>3686</v>
      </c>
    </row>
    <row r="43" spans="1:6" x14ac:dyDescent="0.2">
      <c r="A43" s="12" t="s">
        <v>233</v>
      </c>
      <c r="B43" s="12" t="s">
        <v>105</v>
      </c>
      <c r="C43" s="12" t="s">
        <v>106</v>
      </c>
      <c r="D43" s="13">
        <v>150</v>
      </c>
      <c r="E43" s="14">
        <f t="shared" si="0"/>
        <v>0</v>
      </c>
      <c r="F43" s="13">
        <f>D43-E43</f>
        <v>150</v>
      </c>
    </row>
    <row r="44" spans="1:6" x14ac:dyDescent="0.2">
      <c r="A44" s="12" t="s">
        <v>102</v>
      </c>
      <c r="B44" s="12" t="s">
        <v>108</v>
      </c>
      <c r="C44" s="12" t="s">
        <v>109</v>
      </c>
      <c r="D44" s="13">
        <v>50</v>
      </c>
      <c r="E44" s="14">
        <f t="shared" si="0"/>
        <v>0</v>
      </c>
      <c r="F44" s="13">
        <f>D44-E44</f>
        <v>50</v>
      </c>
    </row>
    <row r="45" spans="1:6" x14ac:dyDescent="0.2">
      <c r="A45" s="12" t="s">
        <v>110</v>
      </c>
      <c r="B45" s="12" t="s">
        <v>111</v>
      </c>
      <c r="C45" s="12" t="s">
        <v>112</v>
      </c>
      <c r="D45" s="13">
        <v>200</v>
      </c>
      <c r="E45" s="14">
        <f t="shared" si="0"/>
        <v>0</v>
      </c>
      <c r="F45" s="13">
        <f>D45-E45</f>
        <v>200</v>
      </c>
    </row>
    <row r="46" spans="1:6" x14ac:dyDescent="0.2">
      <c r="A46" s="12" t="s">
        <v>113</v>
      </c>
      <c r="B46" s="12" t="s">
        <v>114</v>
      </c>
      <c r="C46" s="12" t="s">
        <v>112</v>
      </c>
      <c r="D46" s="13">
        <v>200</v>
      </c>
      <c r="E46" s="14">
        <f t="shared" si="0"/>
        <v>0</v>
      </c>
      <c r="F46" s="13">
        <f>D46-E46</f>
        <v>200</v>
      </c>
    </row>
    <row r="47" spans="1:6" x14ac:dyDescent="0.2">
      <c r="A47" s="12" t="s">
        <v>233</v>
      </c>
      <c r="B47" s="12" t="s">
        <v>115</v>
      </c>
      <c r="C47" s="12" t="s">
        <v>116</v>
      </c>
      <c r="D47" s="13">
        <v>6580</v>
      </c>
      <c r="E47" s="14">
        <f t="shared" si="0"/>
        <v>329</v>
      </c>
      <c r="F47" s="13">
        <f>D47-E47</f>
        <v>6251</v>
      </c>
    </row>
    <row r="48" spans="1:6" x14ac:dyDescent="0.2">
      <c r="A48" s="12" t="s">
        <v>113</v>
      </c>
      <c r="B48" s="12" t="s">
        <v>117</v>
      </c>
      <c r="C48" s="12" t="s">
        <v>116</v>
      </c>
      <c r="D48" s="13">
        <v>6580</v>
      </c>
      <c r="E48" s="14">
        <f t="shared" si="0"/>
        <v>329</v>
      </c>
      <c r="F48" s="13">
        <f>D48-E48</f>
        <v>6251</v>
      </c>
    </row>
    <row r="49" spans="1:6" x14ac:dyDescent="0.2">
      <c r="A49" s="12" t="s">
        <v>110</v>
      </c>
      <c r="B49" s="12" t="s">
        <v>118</v>
      </c>
      <c r="C49" s="12" t="s">
        <v>109</v>
      </c>
      <c r="D49" s="13">
        <v>50</v>
      </c>
      <c r="E49" s="14">
        <f t="shared" si="0"/>
        <v>0</v>
      </c>
      <c r="F49" s="13">
        <f>D49-E49</f>
        <v>50</v>
      </c>
    </row>
    <row r="50" spans="1:6" x14ac:dyDescent="0.2">
      <c r="A50" s="12" t="s">
        <v>102</v>
      </c>
      <c r="B50" s="12" t="s">
        <v>119</v>
      </c>
      <c r="C50" s="12" t="s">
        <v>109</v>
      </c>
      <c r="D50" s="13">
        <v>50</v>
      </c>
      <c r="E50" s="14">
        <f t="shared" si="0"/>
        <v>0</v>
      </c>
      <c r="F50" s="13">
        <f>D50-E50</f>
        <v>50</v>
      </c>
    </row>
    <row r="51" spans="1:6" x14ac:dyDescent="0.2">
      <c r="A51" s="12" t="s">
        <v>233</v>
      </c>
      <c r="B51" s="12" t="s">
        <v>120</v>
      </c>
      <c r="C51" s="12" t="s">
        <v>116</v>
      </c>
      <c r="D51" s="13">
        <v>6580</v>
      </c>
      <c r="E51" s="14">
        <f t="shared" si="0"/>
        <v>329</v>
      </c>
      <c r="F51" s="13">
        <f>D51-E51</f>
        <v>6251</v>
      </c>
    </row>
    <row r="52" spans="1:6" x14ac:dyDescent="0.2">
      <c r="A52" s="12" t="s">
        <v>102</v>
      </c>
      <c r="B52" s="12" t="s">
        <v>103</v>
      </c>
      <c r="C52" s="12" t="s">
        <v>104</v>
      </c>
      <c r="D52" s="13">
        <v>3800</v>
      </c>
      <c r="E52" s="14">
        <f t="shared" si="0"/>
        <v>114</v>
      </c>
      <c r="F52" s="13">
        <f>D52-E52</f>
        <v>3686</v>
      </c>
    </row>
    <row r="53" spans="1:6" x14ac:dyDescent="0.2">
      <c r="A53" s="12" t="s">
        <v>233</v>
      </c>
      <c r="B53" s="12" t="s">
        <v>105</v>
      </c>
      <c r="C53" s="12" t="s">
        <v>106</v>
      </c>
      <c r="D53" s="13">
        <v>150</v>
      </c>
      <c r="E53" s="14">
        <f t="shared" si="0"/>
        <v>0</v>
      </c>
      <c r="F53" s="13">
        <f>D53-E53</f>
        <v>150</v>
      </c>
    </row>
    <row r="54" spans="1:6" x14ac:dyDescent="0.2">
      <c r="A54" s="12" t="s">
        <v>102</v>
      </c>
      <c r="B54" s="12" t="s">
        <v>108</v>
      </c>
      <c r="C54" s="12" t="s">
        <v>109</v>
      </c>
      <c r="D54" s="13">
        <v>50</v>
      </c>
      <c r="E54" s="14">
        <f t="shared" si="0"/>
        <v>0</v>
      </c>
      <c r="F54" s="13">
        <f>D54-E54</f>
        <v>50</v>
      </c>
    </row>
    <row r="55" spans="1:6" x14ac:dyDescent="0.2">
      <c r="A55" s="12" t="s">
        <v>110</v>
      </c>
      <c r="B55" s="12" t="s">
        <v>111</v>
      </c>
      <c r="C55" s="12" t="s">
        <v>112</v>
      </c>
      <c r="D55" s="13">
        <v>200</v>
      </c>
      <c r="E55" s="14">
        <f t="shared" si="0"/>
        <v>0</v>
      </c>
      <c r="F55" s="13">
        <f>D55-E55</f>
        <v>200</v>
      </c>
    </row>
    <row r="56" spans="1:6" x14ac:dyDescent="0.2">
      <c r="A56" s="12" t="s">
        <v>113</v>
      </c>
      <c r="B56" s="12" t="s">
        <v>114</v>
      </c>
      <c r="C56" s="12" t="s">
        <v>112</v>
      </c>
      <c r="D56" s="13">
        <v>200</v>
      </c>
      <c r="E56" s="14">
        <f t="shared" si="0"/>
        <v>0</v>
      </c>
      <c r="F56" s="13">
        <f>D56-E56</f>
        <v>200</v>
      </c>
    </row>
    <row r="57" spans="1:6" x14ac:dyDescent="0.2">
      <c r="A57" s="12" t="s">
        <v>233</v>
      </c>
      <c r="B57" s="12" t="s">
        <v>115</v>
      </c>
      <c r="C57" s="12" t="s">
        <v>116</v>
      </c>
      <c r="D57" s="13">
        <v>6580</v>
      </c>
      <c r="E57" s="14">
        <f t="shared" si="0"/>
        <v>329</v>
      </c>
      <c r="F57" s="13">
        <f>D57-E57</f>
        <v>6251</v>
      </c>
    </row>
    <row r="58" spans="1:6" x14ac:dyDescent="0.2">
      <c r="A58" s="12" t="s">
        <v>113</v>
      </c>
      <c r="B58" s="12" t="s">
        <v>117</v>
      </c>
      <c r="C58" s="12" t="s">
        <v>116</v>
      </c>
      <c r="D58" s="13">
        <v>6580</v>
      </c>
      <c r="E58" s="14">
        <f t="shared" si="0"/>
        <v>329</v>
      </c>
      <c r="F58" s="13">
        <f>D58-E58</f>
        <v>6251</v>
      </c>
    </row>
    <row r="59" spans="1:6" x14ac:dyDescent="0.2">
      <c r="A59" s="12" t="s">
        <v>110</v>
      </c>
      <c r="B59" s="12" t="s">
        <v>118</v>
      </c>
      <c r="C59" s="12" t="s">
        <v>109</v>
      </c>
      <c r="D59" s="13">
        <v>50</v>
      </c>
      <c r="E59" s="14">
        <f t="shared" si="0"/>
        <v>0</v>
      </c>
      <c r="F59" s="13">
        <f>D59-E59</f>
        <v>50</v>
      </c>
    </row>
    <row r="60" spans="1:6" x14ac:dyDescent="0.2">
      <c r="A60" s="12" t="s">
        <v>102</v>
      </c>
      <c r="B60" s="12" t="s">
        <v>119</v>
      </c>
      <c r="C60" s="12" t="s">
        <v>109</v>
      </c>
      <c r="D60" s="13">
        <v>50</v>
      </c>
      <c r="E60" s="14">
        <f t="shared" si="0"/>
        <v>0</v>
      </c>
      <c r="F60" s="13">
        <f>D60-E60</f>
        <v>50</v>
      </c>
    </row>
    <row r="61" spans="1:6" x14ac:dyDescent="0.2">
      <c r="A61" s="12" t="s">
        <v>233</v>
      </c>
      <c r="B61" s="12" t="s">
        <v>120</v>
      </c>
      <c r="C61" s="12" t="s">
        <v>116</v>
      </c>
      <c r="D61" s="13">
        <v>6580</v>
      </c>
      <c r="E61" s="14">
        <f t="shared" si="0"/>
        <v>329</v>
      </c>
      <c r="F61" s="13">
        <f>D61-E61</f>
        <v>6251</v>
      </c>
    </row>
    <row r="62" spans="1:6" x14ac:dyDescent="0.2">
      <c r="A62" s="12" t="s">
        <v>102</v>
      </c>
      <c r="B62" s="12" t="s">
        <v>103</v>
      </c>
      <c r="C62" s="12" t="s">
        <v>104</v>
      </c>
      <c r="D62" s="13">
        <v>3800</v>
      </c>
      <c r="E62" s="14">
        <f t="shared" si="0"/>
        <v>114</v>
      </c>
      <c r="F62" s="13">
        <f>D62-E62</f>
        <v>3686</v>
      </c>
    </row>
    <row r="63" spans="1:6" x14ac:dyDescent="0.2">
      <c r="A63" s="12" t="s">
        <v>233</v>
      </c>
      <c r="B63" s="12" t="s">
        <v>105</v>
      </c>
      <c r="C63" s="12" t="s">
        <v>106</v>
      </c>
      <c r="D63" s="13">
        <v>150</v>
      </c>
      <c r="E63" s="14">
        <f t="shared" si="0"/>
        <v>0</v>
      </c>
      <c r="F63" s="13">
        <f>D63-E63</f>
        <v>150</v>
      </c>
    </row>
    <row r="64" spans="1:6" x14ac:dyDescent="0.2">
      <c r="A64" s="12" t="s">
        <v>102</v>
      </c>
      <c r="B64" s="12" t="s">
        <v>108</v>
      </c>
      <c r="C64" s="12" t="s">
        <v>109</v>
      </c>
      <c r="D64" s="13">
        <v>50</v>
      </c>
      <c r="E64" s="14">
        <f t="shared" si="0"/>
        <v>0</v>
      </c>
      <c r="F64" s="13">
        <f>D64-E64</f>
        <v>50</v>
      </c>
    </row>
    <row r="65" spans="1:6" x14ac:dyDescent="0.2">
      <c r="A65" s="12" t="s">
        <v>110</v>
      </c>
      <c r="B65" s="12" t="s">
        <v>111</v>
      </c>
      <c r="C65" s="12" t="s">
        <v>112</v>
      </c>
      <c r="D65" s="13">
        <v>200</v>
      </c>
      <c r="E65" s="14">
        <f t="shared" si="0"/>
        <v>0</v>
      </c>
      <c r="F65" s="13">
        <f>D65-E65</f>
        <v>200</v>
      </c>
    </row>
    <row r="66" spans="1:6" x14ac:dyDescent="0.2">
      <c r="A66" s="12" t="s">
        <v>113</v>
      </c>
      <c r="B66" s="12" t="s">
        <v>114</v>
      </c>
      <c r="C66" s="12" t="s">
        <v>112</v>
      </c>
      <c r="D66" s="13">
        <v>200</v>
      </c>
      <c r="E66" s="14">
        <f t="shared" si="0"/>
        <v>0</v>
      </c>
      <c r="F66" s="13">
        <f>D66-E66</f>
        <v>200</v>
      </c>
    </row>
    <row r="67" spans="1:6" x14ac:dyDescent="0.2">
      <c r="A67" s="12" t="s">
        <v>233</v>
      </c>
      <c r="B67" s="12" t="s">
        <v>115</v>
      </c>
      <c r="C67" s="12" t="s">
        <v>116</v>
      </c>
      <c r="D67" s="13">
        <v>6580</v>
      </c>
      <c r="E67" s="14">
        <f t="shared" si="0"/>
        <v>329</v>
      </c>
      <c r="F67" s="13">
        <f>D67-E67</f>
        <v>6251</v>
      </c>
    </row>
    <row r="68" spans="1:6" x14ac:dyDescent="0.2">
      <c r="A68" s="12" t="s">
        <v>113</v>
      </c>
      <c r="B68" s="12" t="s">
        <v>117</v>
      </c>
      <c r="C68" s="12" t="s">
        <v>116</v>
      </c>
      <c r="D68" s="13">
        <v>6580</v>
      </c>
      <c r="E68" s="14">
        <f t="shared" ref="E68:E81" si="1">IF(D68&gt;6000,D68*5%,IF(D68&gt;5000,D68*4%,IF(D68&gt;4000,D68*3.5%,IF(D68&gt;3000,D68*3%,IF(D68&gt;2000,D68*2.5%,IF(D68&gt;1000,D68*2%,0))))))</f>
        <v>329</v>
      </c>
      <c r="F68" s="13">
        <f>D68-E68</f>
        <v>6251</v>
      </c>
    </row>
    <row r="69" spans="1:6" x14ac:dyDescent="0.2">
      <c r="A69" s="12" t="s">
        <v>110</v>
      </c>
      <c r="B69" s="12" t="s">
        <v>118</v>
      </c>
      <c r="C69" s="12" t="s">
        <v>109</v>
      </c>
      <c r="D69" s="13">
        <v>50</v>
      </c>
      <c r="E69" s="14">
        <f t="shared" si="1"/>
        <v>0</v>
      </c>
      <c r="F69" s="13">
        <f>D69-E69</f>
        <v>50</v>
      </c>
    </row>
    <row r="70" spans="1:6" x14ac:dyDescent="0.2">
      <c r="A70" s="12" t="s">
        <v>102</v>
      </c>
      <c r="B70" s="12" t="s">
        <v>119</v>
      </c>
      <c r="C70" s="12" t="s">
        <v>109</v>
      </c>
      <c r="D70" s="13">
        <v>50</v>
      </c>
      <c r="E70" s="14">
        <f t="shared" si="1"/>
        <v>0</v>
      </c>
      <c r="F70" s="13">
        <f>D70-E70</f>
        <v>50</v>
      </c>
    </row>
    <row r="71" spans="1:6" x14ac:dyDescent="0.2">
      <c r="A71" s="12" t="s">
        <v>233</v>
      </c>
      <c r="B71" s="12" t="s">
        <v>120</v>
      </c>
      <c r="C71" s="12" t="s">
        <v>116</v>
      </c>
      <c r="D71" s="13">
        <v>6580</v>
      </c>
      <c r="E71" s="14">
        <f t="shared" si="1"/>
        <v>329</v>
      </c>
      <c r="F71" s="13">
        <f>D71-E71</f>
        <v>6251</v>
      </c>
    </row>
    <row r="72" spans="1:6" x14ac:dyDescent="0.2">
      <c r="A72" s="12" t="s">
        <v>102</v>
      </c>
      <c r="B72" s="12" t="s">
        <v>103</v>
      </c>
      <c r="C72" s="12" t="s">
        <v>104</v>
      </c>
      <c r="D72" s="13">
        <v>3800</v>
      </c>
      <c r="E72" s="14">
        <f t="shared" si="1"/>
        <v>114</v>
      </c>
      <c r="F72" s="13">
        <f>D72-E72</f>
        <v>3686</v>
      </c>
    </row>
    <row r="73" spans="1:6" x14ac:dyDescent="0.2">
      <c r="A73" s="12" t="s">
        <v>233</v>
      </c>
      <c r="B73" s="12" t="s">
        <v>105</v>
      </c>
      <c r="C73" s="12" t="s">
        <v>106</v>
      </c>
      <c r="D73" s="13">
        <v>150</v>
      </c>
      <c r="E73" s="14">
        <f t="shared" si="1"/>
        <v>0</v>
      </c>
      <c r="F73" s="13">
        <f>D73-E73</f>
        <v>150</v>
      </c>
    </row>
    <row r="74" spans="1:6" x14ac:dyDescent="0.2">
      <c r="A74" s="12" t="s">
        <v>102</v>
      </c>
      <c r="B74" s="12" t="s">
        <v>108</v>
      </c>
      <c r="C74" s="12" t="s">
        <v>109</v>
      </c>
      <c r="D74" s="13">
        <v>50</v>
      </c>
      <c r="E74" s="14">
        <f t="shared" si="1"/>
        <v>0</v>
      </c>
      <c r="F74" s="13">
        <f>D74-E74</f>
        <v>50</v>
      </c>
    </row>
    <row r="75" spans="1:6" x14ac:dyDescent="0.2">
      <c r="A75" s="12" t="s">
        <v>110</v>
      </c>
      <c r="B75" s="12" t="s">
        <v>111</v>
      </c>
      <c r="C75" s="12" t="s">
        <v>112</v>
      </c>
      <c r="D75" s="13">
        <v>200</v>
      </c>
      <c r="E75" s="14">
        <f t="shared" si="1"/>
        <v>0</v>
      </c>
      <c r="F75" s="13">
        <f>D75-E75</f>
        <v>200</v>
      </c>
    </row>
    <row r="76" spans="1:6" x14ac:dyDescent="0.2">
      <c r="A76" s="12" t="s">
        <v>113</v>
      </c>
      <c r="B76" s="12" t="s">
        <v>114</v>
      </c>
      <c r="C76" s="12" t="s">
        <v>112</v>
      </c>
      <c r="D76" s="13">
        <v>200</v>
      </c>
      <c r="E76" s="14">
        <f t="shared" si="1"/>
        <v>0</v>
      </c>
      <c r="F76" s="13">
        <f>D76-E76</f>
        <v>200</v>
      </c>
    </row>
    <row r="77" spans="1:6" x14ac:dyDescent="0.2">
      <c r="A77" s="12" t="s">
        <v>233</v>
      </c>
      <c r="B77" s="12" t="s">
        <v>115</v>
      </c>
      <c r="C77" s="12" t="s">
        <v>116</v>
      </c>
      <c r="D77" s="13">
        <v>6580</v>
      </c>
      <c r="E77" s="14">
        <f t="shared" si="1"/>
        <v>329</v>
      </c>
      <c r="F77" s="13">
        <f>D77-E77</f>
        <v>6251</v>
      </c>
    </row>
    <row r="78" spans="1:6" x14ac:dyDescent="0.2">
      <c r="A78" s="12" t="s">
        <v>113</v>
      </c>
      <c r="B78" s="12" t="s">
        <v>117</v>
      </c>
      <c r="C78" s="12" t="s">
        <v>116</v>
      </c>
      <c r="D78" s="13">
        <v>6580</v>
      </c>
      <c r="E78" s="14">
        <f t="shared" si="1"/>
        <v>329</v>
      </c>
      <c r="F78" s="13">
        <f>D78-E78</f>
        <v>6251</v>
      </c>
    </row>
    <row r="79" spans="1:6" x14ac:dyDescent="0.2">
      <c r="A79" s="12" t="s">
        <v>110</v>
      </c>
      <c r="B79" s="12" t="s">
        <v>118</v>
      </c>
      <c r="C79" s="12" t="s">
        <v>109</v>
      </c>
      <c r="D79" s="13">
        <v>50</v>
      </c>
      <c r="E79" s="14">
        <f t="shared" si="1"/>
        <v>0</v>
      </c>
      <c r="F79" s="13">
        <f>D79-E79</f>
        <v>50</v>
      </c>
    </row>
    <row r="80" spans="1:6" x14ac:dyDescent="0.2">
      <c r="A80" s="12" t="s">
        <v>102</v>
      </c>
      <c r="B80" s="12" t="s">
        <v>119</v>
      </c>
      <c r="C80" s="12" t="s">
        <v>109</v>
      </c>
      <c r="D80" s="13">
        <v>50</v>
      </c>
      <c r="E80" s="14">
        <f t="shared" si="1"/>
        <v>0</v>
      </c>
      <c r="F80" s="13">
        <f>D80-E80</f>
        <v>50</v>
      </c>
    </row>
    <row r="81" spans="1:6" x14ac:dyDescent="0.2">
      <c r="A81" s="12" t="s">
        <v>233</v>
      </c>
      <c r="B81" s="12" t="s">
        <v>120</v>
      </c>
      <c r="C81" s="12" t="s">
        <v>116</v>
      </c>
      <c r="D81" s="13">
        <v>6580</v>
      </c>
      <c r="E81" s="14">
        <f t="shared" si="1"/>
        <v>329</v>
      </c>
      <c r="F81" s="13">
        <f>D81-E81</f>
        <v>6251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J101"/>
  <sheetViews>
    <sheetView showGridLines="0" zoomScale="57" workbookViewId="0">
      <selection activeCell="J16" sqref="J16"/>
    </sheetView>
  </sheetViews>
  <sheetFormatPr defaultColWidth="9.953125" defaultRowHeight="15" x14ac:dyDescent="0.2"/>
  <cols>
    <col min="1" max="1" width="16.27734375" bestFit="1" customWidth="1"/>
    <col min="2" max="2" width="18.4296875" bestFit="1" customWidth="1"/>
    <col min="3" max="3" width="13.1796875" bestFit="1" customWidth="1"/>
    <col min="4" max="4" width="15.73828125" style="9" bestFit="1" customWidth="1"/>
    <col min="5" max="5" width="15.19921875" style="9" bestFit="1" customWidth="1"/>
    <col min="6" max="6" width="16.6796875" style="9" bestFit="1" customWidth="1"/>
    <col min="7" max="7" width="9.68359375" customWidth="1"/>
    <col min="8" max="8" width="11.296875" customWidth="1"/>
    <col min="9" max="9" width="12.9140625" bestFit="1" customWidth="1"/>
    <col min="10" max="10" width="13.1796875" bestFit="1" customWidth="1"/>
  </cols>
  <sheetData>
    <row r="1" spans="1:10" x14ac:dyDescent="0.2">
      <c r="A1" s="15" t="s">
        <v>121</v>
      </c>
      <c r="B1" s="15" t="s">
        <v>122</v>
      </c>
      <c r="C1" s="15" t="s">
        <v>123</v>
      </c>
      <c r="D1" s="16" t="s">
        <v>124</v>
      </c>
      <c r="E1" s="16" t="s">
        <v>125</v>
      </c>
      <c r="F1" s="16" t="s">
        <v>126</v>
      </c>
      <c r="I1" s="30" t="s">
        <v>124</v>
      </c>
      <c r="J1" s="30" t="s">
        <v>125</v>
      </c>
    </row>
    <row r="2" spans="1:10" x14ac:dyDescent="0.2">
      <c r="A2" s="12" t="s">
        <v>127</v>
      </c>
      <c r="B2" s="12" t="s">
        <v>128</v>
      </c>
      <c r="C2" s="12" t="s">
        <v>129</v>
      </c>
      <c r="D2" s="17">
        <v>120</v>
      </c>
      <c r="E2" s="17">
        <f>IF(D2=190,0,IF(D2&gt;160,25,IF(D2&gt;130,40,IF(D2&gt;105,60,80))))</f>
        <v>60</v>
      </c>
      <c r="F2" s="17">
        <f>D2+E2</f>
        <v>180</v>
      </c>
      <c r="I2" s="22">
        <v>0</v>
      </c>
      <c r="J2" s="22">
        <v>80</v>
      </c>
    </row>
    <row r="3" spans="1:10" x14ac:dyDescent="0.2">
      <c r="A3" s="12" t="s">
        <v>130</v>
      </c>
      <c r="B3" s="12" t="s">
        <v>128</v>
      </c>
      <c r="C3" s="12" t="s">
        <v>129</v>
      </c>
      <c r="D3" s="17">
        <v>125</v>
      </c>
      <c r="E3" s="17">
        <f>IF(D3=190,0,IF(D3&gt;160,25,IF(D3&gt;130,40,IF(D3&gt;105,60,80))))</f>
        <v>60</v>
      </c>
      <c r="F3" s="17">
        <f>D3+E3</f>
        <v>185</v>
      </c>
      <c r="I3" s="22">
        <v>105</v>
      </c>
      <c r="J3" s="22">
        <v>60</v>
      </c>
    </row>
    <row r="4" spans="1:10" x14ac:dyDescent="0.2">
      <c r="A4" s="12" t="s">
        <v>131</v>
      </c>
      <c r="B4" s="12" t="s">
        <v>128</v>
      </c>
      <c r="C4" s="12" t="s">
        <v>129</v>
      </c>
      <c r="D4" s="17">
        <v>120</v>
      </c>
      <c r="E4" s="17">
        <f t="shared" ref="E4:E67" si="0">IF(D4=190,0,IF(D4&gt;160,25,IF(D4&gt;130,40,IF(D4&gt;105,60,80))))</f>
        <v>60</v>
      </c>
      <c r="F4" s="17">
        <f>D4+E4</f>
        <v>180</v>
      </c>
      <c r="I4" s="22">
        <v>130</v>
      </c>
      <c r="J4" s="22">
        <v>40</v>
      </c>
    </row>
    <row r="5" spans="1:10" x14ac:dyDescent="0.2">
      <c r="A5" s="12" t="s">
        <v>132</v>
      </c>
      <c r="B5" s="12" t="s">
        <v>133</v>
      </c>
      <c r="C5" s="12" t="s">
        <v>134</v>
      </c>
      <c r="D5" s="17">
        <v>80</v>
      </c>
      <c r="E5" s="17">
        <f t="shared" si="0"/>
        <v>80</v>
      </c>
      <c r="F5" s="17">
        <f>D5+E5</f>
        <v>160</v>
      </c>
      <c r="I5" s="22">
        <v>160</v>
      </c>
      <c r="J5" s="22">
        <v>25</v>
      </c>
    </row>
    <row r="6" spans="1:10" x14ac:dyDescent="0.2">
      <c r="A6" s="12" t="s">
        <v>135</v>
      </c>
      <c r="B6" s="12" t="s">
        <v>136</v>
      </c>
      <c r="C6" s="12" t="s">
        <v>134</v>
      </c>
      <c r="D6" s="17">
        <v>165</v>
      </c>
      <c r="E6" s="17">
        <f t="shared" si="0"/>
        <v>25</v>
      </c>
      <c r="F6" s="17">
        <f>D6+E6</f>
        <v>190</v>
      </c>
      <c r="I6" s="22">
        <v>190</v>
      </c>
      <c r="J6" s="22" t="s">
        <v>137</v>
      </c>
    </row>
    <row r="7" spans="1:10" x14ac:dyDescent="0.2">
      <c r="A7" s="12" t="s">
        <v>138</v>
      </c>
      <c r="B7" s="12" t="s">
        <v>139</v>
      </c>
      <c r="C7" s="12" t="s">
        <v>134</v>
      </c>
      <c r="D7" s="17">
        <v>180</v>
      </c>
      <c r="E7" s="17">
        <f t="shared" si="0"/>
        <v>25</v>
      </c>
      <c r="F7" s="17">
        <f>D7+E7</f>
        <v>205</v>
      </c>
    </row>
    <row r="8" spans="1:10" x14ac:dyDescent="0.2">
      <c r="A8" s="12" t="s">
        <v>140</v>
      </c>
      <c r="B8" s="12" t="s">
        <v>141</v>
      </c>
      <c r="C8" s="12" t="s">
        <v>134</v>
      </c>
      <c r="D8" s="17">
        <v>145</v>
      </c>
      <c r="E8" s="17">
        <f t="shared" si="0"/>
        <v>40</v>
      </c>
      <c r="F8" s="17">
        <f>D8+E8</f>
        <v>185</v>
      </c>
      <c r="I8" s="1"/>
      <c r="J8" s="2"/>
    </row>
    <row r="9" spans="1:10" x14ac:dyDescent="0.2">
      <c r="A9" s="12" t="s">
        <v>142</v>
      </c>
      <c r="B9" s="12" t="s">
        <v>136</v>
      </c>
      <c r="C9" s="12" t="s">
        <v>134</v>
      </c>
      <c r="D9" s="17">
        <v>75</v>
      </c>
      <c r="E9" s="17">
        <f t="shared" si="0"/>
        <v>80</v>
      </c>
      <c r="F9" s="17">
        <f>D9+E9</f>
        <v>155</v>
      </c>
      <c r="I9" s="1"/>
      <c r="J9" s="3"/>
    </row>
    <row r="10" spans="1:10" x14ac:dyDescent="0.2">
      <c r="A10" s="12" t="s">
        <v>143</v>
      </c>
      <c r="B10" s="12" t="s">
        <v>133</v>
      </c>
      <c r="C10" s="12" t="s">
        <v>134</v>
      </c>
      <c r="D10" s="17">
        <v>80</v>
      </c>
      <c r="E10" s="17">
        <f t="shared" si="0"/>
        <v>80</v>
      </c>
      <c r="F10" s="17">
        <f>D10+E10</f>
        <v>160</v>
      </c>
      <c r="I10" s="1"/>
      <c r="J10" s="3"/>
    </row>
    <row r="11" spans="1:10" x14ac:dyDescent="0.2">
      <c r="A11" s="12" t="s">
        <v>144</v>
      </c>
      <c r="B11" s="12" t="s">
        <v>139</v>
      </c>
      <c r="C11" s="12" t="s">
        <v>134</v>
      </c>
      <c r="D11" s="17">
        <v>160</v>
      </c>
      <c r="E11" s="17">
        <f t="shared" si="0"/>
        <v>40</v>
      </c>
      <c r="F11" s="17">
        <f>D11+E11</f>
        <v>200</v>
      </c>
      <c r="I11" s="1"/>
      <c r="J11" s="4"/>
    </row>
    <row r="12" spans="1:10" x14ac:dyDescent="0.2">
      <c r="A12" s="12" t="s">
        <v>127</v>
      </c>
      <c r="B12" s="12" t="s">
        <v>128</v>
      </c>
      <c r="C12" s="12" t="s">
        <v>129</v>
      </c>
      <c r="D12" s="17">
        <v>168</v>
      </c>
      <c r="E12" s="17">
        <f t="shared" si="0"/>
        <v>25</v>
      </c>
      <c r="F12" s="17">
        <f>D12+E12</f>
        <v>193</v>
      </c>
    </row>
    <row r="13" spans="1:10" x14ac:dyDescent="0.2">
      <c r="A13" s="12" t="s">
        <v>130</v>
      </c>
      <c r="B13" s="12" t="s">
        <v>128</v>
      </c>
      <c r="C13" s="12" t="s">
        <v>129</v>
      </c>
      <c r="D13" s="17">
        <v>90</v>
      </c>
      <c r="E13" s="17">
        <f t="shared" si="0"/>
        <v>80</v>
      </c>
      <c r="F13" s="17">
        <f>D13+E13</f>
        <v>170</v>
      </c>
    </row>
    <row r="14" spans="1:10" x14ac:dyDescent="0.2">
      <c r="A14" s="12" t="s">
        <v>131</v>
      </c>
      <c r="B14" s="12" t="s">
        <v>128</v>
      </c>
      <c r="C14" s="12" t="s">
        <v>129</v>
      </c>
      <c r="D14" s="17">
        <v>120</v>
      </c>
      <c r="E14" s="17">
        <f t="shared" si="0"/>
        <v>60</v>
      </c>
      <c r="F14" s="17">
        <f>D14+E14</f>
        <v>180</v>
      </c>
    </row>
    <row r="15" spans="1:10" x14ac:dyDescent="0.2">
      <c r="A15" s="12" t="s">
        <v>132</v>
      </c>
      <c r="B15" s="12" t="s">
        <v>133</v>
      </c>
      <c r="C15" s="12" t="s">
        <v>134</v>
      </c>
      <c r="D15" s="17">
        <v>80</v>
      </c>
      <c r="E15" s="17">
        <f t="shared" si="0"/>
        <v>80</v>
      </c>
      <c r="F15" s="17">
        <f>D15+E15</f>
        <v>160</v>
      </c>
    </row>
    <row r="16" spans="1:10" x14ac:dyDescent="0.2">
      <c r="A16" s="12" t="s">
        <v>135</v>
      </c>
      <c r="B16" s="12" t="s">
        <v>136</v>
      </c>
      <c r="C16" s="12" t="s">
        <v>134</v>
      </c>
      <c r="D16" s="17">
        <v>165</v>
      </c>
      <c r="E16" s="17">
        <f t="shared" si="0"/>
        <v>25</v>
      </c>
      <c r="F16" s="17">
        <f>D16+E16</f>
        <v>190</v>
      </c>
    </row>
    <row r="17" spans="1:6" x14ac:dyDescent="0.2">
      <c r="A17" s="12" t="s">
        <v>138</v>
      </c>
      <c r="B17" s="12" t="s">
        <v>139</v>
      </c>
      <c r="C17" s="12" t="s">
        <v>134</v>
      </c>
      <c r="D17" s="17">
        <v>180</v>
      </c>
      <c r="E17" s="17">
        <f t="shared" si="0"/>
        <v>25</v>
      </c>
      <c r="F17" s="17">
        <f>D17+E17</f>
        <v>205</v>
      </c>
    </row>
    <row r="18" spans="1:6" x14ac:dyDescent="0.2">
      <c r="A18" s="12" t="s">
        <v>140</v>
      </c>
      <c r="B18" s="12" t="s">
        <v>141</v>
      </c>
      <c r="C18" s="12" t="s">
        <v>134</v>
      </c>
      <c r="D18" s="17">
        <v>145</v>
      </c>
      <c r="E18" s="17">
        <f t="shared" si="0"/>
        <v>40</v>
      </c>
      <c r="F18" s="17">
        <f>D18+E18</f>
        <v>185</v>
      </c>
    </row>
    <row r="19" spans="1:6" x14ac:dyDescent="0.2">
      <c r="A19" s="12" t="s">
        <v>142</v>
      </c>
      <c r="B19" s="12" t="s">
        <v>136</v>
      </c>
      <c r="C19" s="12" t="s">
        <v>134</v>
      </c>
      <c r="D19" s="17">
        <v>175</v>
      </c>
      <c r="E19" s="17">
        <f t="shared" si="0"/>
        <v>25</v>
      </c>
      <c r="F19" s="17">
        <f>D19+E19</f>
        <v>200</v>
      </c>
    </row>
    <row r="20" spans="1:6" x14ac:dyDescent="0.2">
      <c r="A20" s="12" t="s">
        <v>143</v>
      </c>
      <c r="B20" s="12" t="s">
        <v>133</v>
      </c>
      <c r="C20" s="12" t="s">
        <v>134</v>
      </c>
      <c r="D20" s="17">
        <v>80</v>
      </c>
      <c r="E20" s="17">
        <f t="shared" si="0"/>
        <v>80</v>
      </c>
      <c r="F20" s="17">
        <f>D20+E20</f>
        <v>160</v>
      </c>
    </row>
    <row r="21" spans="1:6" x14ac:dyDescent="0.2">
      <c r="A21" s="12" t="s">
        <v>144</v>
      </c>
      <c r="B21" s="12" t="s">
        <v>139</v>
      </c>
      <c r="C21" s="12" t="s">
        <v>134</v>
      </c>
      <c r="D21" s="17">
        <v>160</v>
      </c>
      <c r="E21" s="17">
        <f t="shared" si="0"/>
        <v>40</v>
      </c>
      <c r="F21" s="17">
        <f>D21+E21</f>
        <v>200</v>
      </c>
    </row>
    <row r="22" spans="1:6" x14ac:dyDescent="0.2">
      <c r="A22" s="12" t="s">
        <v>127</v>
      </c>
      <c r="B22" s="12" t="s">
        <v>128</v>
      </c>
      <c r="C22" s="12" t="s">
        <v>129</v>
      </c>
      <c r="D22" s="17">
        <v>159</v>
      </c>
      <c r="E22" s="17">
        <f t="shared" si="0"/>
        <v>40</v>
      </c>
      <c r="F22" s="17">
        <f>D22+E22</f>
        <v>199</v>
      </c>
    </row>
    <row r="23" spans="1:6" x14ac:dyDescent="0.2">
      <c r="A23" s="12" t="s">
        <v>130</v>
      </c>
      <c r="B23" s="12" t="s">
        <v>128</v>
      </c>
      <c r="C23" s="12" t="s">
        <v>129</v>
      </c>
      <c r="D23" s="17">
        <v>168</v>
      </c>
      <c r="E23" s="17">
        <f t="shared" si="0"/>
        <v>25</v>
      </c>
      <c r="F23" s="17">
        <f>D23+E23</f>
        <v>193</v>
      </c>
    </row>
    <row r="24" spans="1:6" x14ac:dyDescent="0.2">
      <c r="A24" s="12" t="s">
        <v>131</v>
      </c>
      <c r="B24" s="12" t="s">
        <v>128</v>
      </c>
      <c r="C24" s="12" t="s">
        <v>129</v>
      </c>
      <c r="D24" s="17">
        <v>120</v>
      </c>
      <c r="E24" s="17">
        <f t="shared" si="0"/>
        <v>60</v>
      </c>
      <c r="F24" s="17">
        <f>D24+E24</f>
        <v>180</v>
      </c>
    </row>
    <row r="25" spans="1:6" x14ac:dyDescent="0.2">
      <c r="A25" s="12" t="s">
        <v>132</v>
      </c>
      <c r="B25" s="12" t="s">
        <v>133</v>
      </c>
      <c r="C25" s="12" t="s">
        <v>134</v>
      </c>
      <c r="D25" s="17">
        <v>80</v>
      </c>
      <c r="E25" s="17">
        <f t="shared" si="0"/>
        <v>80</v>
      </c>
      <c r="F25" s="17">
        <f>D25+E25</f>
        <v>160</v>
      </c>
    </row>
    <row r="26" spans="1:6" x14ac:dyDescent="0.2">
      <c r="A26" s="12" t="s">
        <v>135</v>
      </c>
      <c r="B26" s="12" t="s">
        <v>136</v>
      </c>
      <c r="C26" s="12" t="s">
        <v>134</v>
      </c>
      <c r="D26" s="17">
        <v>165</v>
      </c>
      <c r="E26" s="17">
        <f t="shared" si="0"/>
        <v>25</v>
      </c>
      <c r="F26" s="17">
        <f>D26+E26</f>
        <v>190</v>
      </c>
    </row>
    <row r="27" spans="1:6" x14ac:dyDescent="0.2">
      <c r="A27" s="12" t="s">
        <v>138</v>
      </c>
      <c r="B27" s="12" t="s">
        <v>139</v>
      </c>
      <c r="C27" s="12" t="s">
        <v>134</v>
      </c>
      <c r="D27" s="17">
        <v>180</v>
      </c>
      <c r="E27" s="17">
        <f t="shared" si="0"/>
        <v>25</v>
      </c>
      <c r="F27" s="17">
        <f>D27+E27</f>
        <v>205</v>
      </c>
    </row>
    <row r="28" spans="1:6" x14ac:dyDescent="0.2">
      <c r="A28" s="12" t="s">
        <v>140</v>
      </c>
      <c r="B28" s="12" t="s">
        <v>141</v>
      </c>
      <c r="C28" s="12" t="s">
        <v>134</v>
      </c>
      <c r="D28" s="17">
        <v>145</v>
      </c>
      <c r="E28" s="17">
        <f t="shared" si="0"/>
        <v>40</v>
      </c>
      <c r="F28" s="17">
        <f>D28+E28</f>
        <v>185</v>
      </c>
    </row>
    <row r="29" spans="1:6" x14ac:dyDescent="0.2">
      <c r="A29" s="12" t="s">
        <v>142</v>
      </c>
      <c r="B29" s="12" t="s">
        <v>136</v>
      </c>
      <c r="C29" s="12" t="s">
        <v>134</v>
      </c>
      <c r="D29" s="17">
        <v>75</v>
      </c>
      <c r="E29" s="17">
        <f t="shared" si="0"/>
        <v>80</v>
      </c>
      <c r="F29" s="17">
        <f>D29+E29</f>
        <v>155</v>
      </c>
    </row>
    <row r="30" spans="1:6" x14ac:dyDescent="0.2">
      <c r="A30" s="12" t="s">
        <v>143</v>
      </c>
      <c r="B30" s="12" t="s">
        <v>133</v>
      </c>
      <c r="C30" s="12" t="s">
        <v>134</v>
      </c>
      <c r="D30" s="17">
        <v>80</v>
      </c>
      <c r="E30" s="17">
        <f t="shared" si="0"/>
        <v>80</v>
      </c>
      <c r="F30" s="17">
        <f>D30+E30</f>
        <v>160</v>
      </c>
    </row>
    <row r="31" spans="1:6" x14ac:dyDescent="0.2">
      <c r="A31" s="12" t="s">
        <v>144</v>
      </c>
      <c r="B31" s="12" t="s">
        <v>139</v>
      </c>
      <c r="C31" s="12" t="s">
        <v>134</v>
      </c>
      <c r="D31" s="17">
        <v>160</v>
      </c>
      <c r="E31" s="17">
        <f t="shared" si="0"/>
        <v>40</v>
      </c>
      <c r="F31" s="17">
        <f>D31+E31</f>
        <v>200</v>
      </c>
    </row>
    <row r="32" spans="1:6" x14ac:dyDescent="0.2">
      <c r="A32" s="12" t="s">
        <v>127</v>
      </c>
      <c r="B32" s="12" t="s">
        <v>128</v>
      </c>
      <c r="C32" s="12" t="s">
        <v>129</v>
      </c>
      <c r="D32" s="17">
        <v>125</v>
      </c>
      <c r="E32" s="17">
        <f t="shared" si="0"/>
        <v>60</v>
      </c>
      <c r="F32" s="17">
        <f>D32+E32</f>
        <v>185</v>
      </c>
    </row>
    <row r="33" spans="1:6" x14ac:dyDescent="0.2">
      <c r="A33" s="12" t="s">
        <v>130</v>
      </c>
      <c r="B33" s="12" t="s">
        <v>128</v>
      </c>
      <c r="C33" s="12" t="s">
        <v>129</v>
      </c>
      <c r="D33" s="17">
        <v>189</v>
      </c>
      <c r="E33" s="17">
        <f t="shared" si="0"/>
        <v>25</v>
      </c>
      <c r="F33" s="17">
        <f>D33+E33</f>
        <v>214</v>
      </c>
    </row>
    <row r="34" spans="1:6" x14ac:dyDescent="0.2">
      <c r="A34" s="12" t="s">
        <v>131</v>
      </c>
      <c r="B34" s="12" t="s">
        <v>128</v>
      </c>
      <c r="C34" s="12" t="s">
        <v>129</v>
      </c>
      <c r="D34" s="17">
        <v>120</v>
      </c>
      <c r="E34" s="17">
        <f t="shared" si="0"/>
        <v>60</v>
      </c>
      <c r="F34" s="17">
        <f>D34+E34</f>
        <v>180</v>
      </c>
    </row>
    <row r="35" spans="1:6" x14ac:dyDescent="0.2">
      <c r="A35" s="12" t="s">
        <v>132</v>
      </c>
      <c r="B35" s="12" t="s">
        <v>133</v>
      </c>
      <c r="C35" s="12" t="s">
        <v>134</v>
      </c>
      <c r="D35" s="17">
        <v>80</v>
      </c>
      <c r="E35" s="17">
        <f t="shared" si="0"/>
        <v>80</v>
      </c>
      <c r="F35" s="17">
        <f>D35+E35</f>
        <v>160</v>
      </c>
    </row>
    <row r="36" spans="1:6" x14ac:dyDescent="0.2">
      <c r="A36" s="12" t="s">
        <v>135</v>
      </c>
      <c r="B36" s="12" t="s">
        <v>136</v>
      </c>
      <c r="C36" s="12" t="s">
        <v>134</v>
      </c>
      <c r="D36" s="17">
        <v>165</v>
      </c>
      <c r="E36" s="17">
        <f t="shared" si="0"/>
        <v>25</v>
      </c>
      <c r="F36" s="17">
        <f>D36+E36</f>
        <v>190</v>
      </c>
    </row>
    <row r="37" spans="1:6" x14ac:dyDescent="0.2">
      <c r="A37" s="12" t="s">
        <v>138</v>
      </c>
      <c r="B37" s="12" t="s">
        <v>139</v>
      </c>
      <c r="C37" s="12" t="s">
        <v>134</v>
      </c>
      <c r="D37" s="17">
        <v>180</v>
      </c>
      <c r="E37" s="17">
        <f t="shared" si="0"/>
        <v>25</v>
      </c>
      <c r="F37" s="17">
        <f>D37+E37</f>
        <v>205</v>
      </c>
    </row>
    <row r="38" spans="1:6" x14ac:dyDescent="0.2">
      <c r="A38" s="12" t="s">
        <v>140</v>
      </c>
      <c r="B38" s="12" t="s">
        <v>141</v>
      </c>
      <c r="C38" s="12" t="s">
        <v>134</v>
      </c>
      <c r="D38" s="17">
        <v>145</v>
      </c>
      <c r="E38" s="17">
        <f t="shared" si="0"/>
        <v>40</v>
      </c>
      <c r="F38" s="17">
        <f>D38+E38</f>
        <v>185</v>
      </c>
    </row>
    <row r="39" spans="1:6" x14ac:dyDescent="0.2">
      <c r="A39" s="12" t="s">
        <v>142</v>
      </c>
      <c r="B39" s="12" t="s">
        <v>136</v>
      </c>
      <c r="C39" s="12" t="s">
        <v>134</v>
      </c>
      <c r="D39" s="17">
        <v>159</v>
      </c>
      <c r="E39" s="17">
        <f t="shared" si="0"/>
        <v>40</v>
      </c>
      <c r="F39" s="17">
        <f>D39+E39</f>
        <v>199</v>
      </c>
    </row>
    <row r="40" spans="1:6" x14ac:dyDescent="0.2">
      <c r="A40" s="12" t="s">
        <v>143</v>
      </c>
      <c r="B40" s="12" t="s">
        <v>133</v>
      </c>
      <c r="C40" s="12" t="s">
        <v>134</v>
      </c>
      <c r="D40" s="17">
        <v>80</v>
      </c>
      <c r="E40" s="17">
        <f t="shared" si="0"/>
        <v>80</v>
      </c>
      <c r="F40" s="17">
        <f>D40+E40</f>
        <v>160</v>
      </c>
    </row>
    <row r="41" spans="1:6" x14ac:dyDescent="0.2">
      <c r="A41" s="12" t="s">
        <v>144</v>
      </c>
      <c r="B41" s="12" t="s">
        <v>139</v>
      </c>
      <c r="C41" s="12" t="s">
        <v>134</v>
      </c>
      <c r="D41" s="17">
        <v>160</v>
      </c>
      <c r="E41" s="17">
        <f t="shared" si="0"/>
        <v>40</v>
      </c>
      <c r="F41" s="17">
        <f>D41+E41</f>
        <v>200</v>
      </c>
    </row>
    <row r="42" spans="1:6" x14ac:dyDescent="0.2">
      <c r="A42" s="12" t="s">
        <v>127</v>
      </c>
      <c r="B42" s="12" t="s">
        <v>128</v>
      </c>
      <c r="C42" s="12" t="s">
        <v>129</v>
      </c>
      <c r="D42" s="17">
        <v>180</v>
      </c>
      <c r="E42" s="17">
        <f t="shared" si="0"/>
        <v>25</v>
      </c>
      <c r="F42" s="17">
        <f>D42+E42</f>
        <v>205</v>
      </c>
    </row>
    <row r="43" spans="1:6" x14ac:dyDescent="0.2">
      <c r="A43" s="12" t="s">
        <v>130</v>
      </c>
      <c r="B43" s="12" t="s">
        <v>128</v>
      </c>
      <c r="C43" s="12" t="s">
        <v>129</v>
      </c>
      <c r="D43" s="17">
        <v>190</v>
      </c>
      <c r="E43" s="17">
        <f t="shared" si="0"/>
        <v>0</v>
      </c>
      <c r="F43" s="17">
        <f>D43+E43</f>
        <v>190</v>
      </c>
    </row>
    <row r="44" spans="1:6" x14ac:dyDescent="0.2">
      <c r="A44" s="12" t="s">
        <v>131</v>
      </c>
      <c r="B44" s="12" t="s">
        <v>128</v>
      </c>
      <c r="C44" s="12" t="s">
        <v>129</v>
      </c>
      <c r="D44" s="17">
        <v>120</v>
      </c>
      <c r="E44" s="17">
        <f t="shared" si="0"/>
        <v>60</v>
      </c>
      <c r="F44" s="17">
        <f>D44+E44</f>
        <v>180</v>
      </c>
    </row>
    <row r="45" spans="1:6" x14ac:dyDescent="0.2">
      <c r="A45" s="12" t="s">
        <v>132</v>
      </c>
      <c r="B45" s="12" t="s">
        <v>133</v>
      </c>
      <c r="C45" s="12" t="s">
        <v>134</v>
      </c>
      <c r="D45" s="17">
        <v>80</v>
      </c>
      <c r="E45" s="17">
        <f t="shared" si="0"/>
        <v>80</v>
      </c>
      <c r="F45" s="17">
        <f>D45+E45</f>
        <v>160</v>
      </c>
    </row>
    <row r="46" spans="1:6" x14ac:dyDescent="0.2">
      <c r="A46" s="12" t="s">
        <v>135</v>
      </c>
      <c r="B46" s="12" t="s">
        <v>136</v>
      </c>
      <c r="C46" s="12" t="s">
        <v>134</v>
      </c>
      <c r="D46" s="17">
        <v>165</v>
      </c>
      <c r="E46" s="17">
        <f t="shared" si="0"/>
        <v>25</v>
      </c>
      <c r="F46" s="17">
        <f>D46+E46</f>
        <v>190</v>
      </c>
    </row>
    <row r="47" spans="1:6" x14ac:dyDescent="0.2">
      <c r="A47" s="12" t="s">
        <v>138</v>
      </c>
      <c r="B47" s="12" t="s">
        <v>139</v>
      </c>
      <c r="C47" s="12" t="s">
        <v>134</v>
      </c>
      <c r="D47" s="17">
        <v>180</v>
      </c>
      <c r="E47" s="17">
        <f t="shared" si="0"/>
        <v>25</v>
      </c>
      <c r="F47" s="17">
        <f>D47+E47</f>
        <v>205</v>
      </c>
    </row>
    <row r="48" spans="1:6" x14ac:dyDescent="0.2">
      <c r="A48" s="12" t="s">
        <v>140</v>
      </c>
      <c r="B48" s="12" t="s">
        <v>141</v>
      </c>
      <c r="C48" s="12" t="s">
        <v>134</v>
      </c>
      <c r="D48" s="17">
        <v>145</v>
      </c>
      <c r="E48" s="17">
        <f t="shared" si="0"/>
        <v>40</v>
      </c>
      <c r="F48" s="17">
        <f>D48+E48</f>
        <v>185</v>
      </c>
    </row>
    <row r="49" spans="1:6" x14ac:dyDescent="0.2">
      <c r="A49" s="12" t="s">
        <v>142</v>
      </c>
      <c r="B49" s="12" t="s">
        <v>136</v>
      </c>
      <c r="C49" s="12" t="s">
        <v>134</v>
      </c>
      <c r="D49" s="17">
        <v>170</v>
      </c>
      <c r="E49" s="17">
        <f t="shared" si="0"/>
        <v>25</v>
      </c>
      <c r="F49" s="17">
        <f>D49+E49</f>
        <v>195</v>
      </c>
    </row>
    <row r="50" spans="1:6" x14ac:dyDescent="0.2">
      <c r="A50" s="12" t="s">
        <v>143</v>
      </c>
      <c r="B50" s="12" t="s">
        <v>133</v>
      </c>
      <c r="C50" s="12" t="s">
        <v>134</v>
      </c>
      <c r="D50" s="17">
        <v>80</v>
      </c>
      <c r="E50" s="17">
        <f t="shared" si="0"/>
        <v>80</v>
      </c>
      <c r="F50" s="17">
        <f>D50+E50</f>
        <v>160</v>
      </c>
    </row>
    <row r="51" spans="1:6" x14ac:dyDescent="0.2">
      <c r="A51" s="12" t="s">
        <v>144</v>
      </c>
      <c r="B51" s="12" t="s">
        <v>139</v>
      </c>
      <c r="C51" s="12" t="s">
        <v>134</v>
      </c>
      <c r="D51" s="17">
        <v>160</v>
      </c>
      <c r="E51" s="17">
        <f t="shared" si="0"/>
        <v>40</v>
      </c>
      <c r="F51" s="17">
        <f>D51+E51</f>
        <v>200</v>
      </c>
    </row>
    <row r="52" spans="1:6" x14ac:dyDescent="0.2">
      <c r="A52" s="12" t="s">
        <v>127</v>
      </c>
      <c r="B52" s="12" t="s">
        <v>128</v>
      </c>
      <c r="C52" s="12" t="s">
        <v>129</v>
      </c>
      <c r="D52" s="17">
        <v>180</v>
      </c>
      <c r="E52" s="17">
        <f t="shared" si="0"/>
        <v>25</v>
      </c>
      <c r="F52" s="17">
        <f>D52+E52</f>
        <v>205</v>
      </c>
    </row>
    <row r="53" spans="1:6" x14ac:dyDescent="0.2">
      <c r="A53" s="12" t="s">
        <v>130</v>
      </c>
      <c r="B53" s="12" t="s">
        <v>128</v>
      </c>
      <c r="C53" s="12" t="s">
        <v>129</v>
      </c>
      <c r="D53" s="17">
        <v>190</v>
      </c>
      <c r="E53" s="17">
        <f t="shared" si="0"/>
        <v>0</v>
      </c>
      <c r="F53" s="17">
        <f>D53+E53</f>
        <v>190</v>
      </c>
    </row>
    <row r="54" spans="1:6" x14ac:dyDescent="0.2">
      <c r="A54" s="12" t="s">
        <v>131</v>
      </c>
      <c r="B54" s="12" t="s">
        <v>128</v>
      </c>
      <c r="C54" s="12" t="s">
        <v>129</v>
      </c>
      <c r="D54" s="17">
        <v>120</v>
      </c>
      <c r="E54" s="17">
        <f t="shared" si="0"/>
        <v>60</v>
      </c>
      <c r="F54" s="17">
        <f>D54+E54</f>
        <v>180</v>
      </c>
    </row>
    <row r="55" spans="1:6" x14ac:dyDescent="0.2">
      <c r="A55" s="12" t="s">
        <v>132</v>
      </c>
      <c r="B55" s="12" t="s">
        <v>133</v>
      </c>
      <c r="C55" s="12" t="s">
        <v>134</v>
      </c>
      <c r="D55" s="17">
        <v>80</v>
      </c>
      <c r="E55" s="17">
        <f t="shared" si="0"/>
        <v>80</v>
      </c>
      <c r="F55" s="17">
        <f>D55+E55</f>
        <v>160</v>
      </c>
    </row>
    <row r="56" spans="1:6" x14ac:dyDescent="0.2">
      <c r="A56" s="12" t="s">
        <v>135</v>
      </c>
      <c r="B56" s="12" t="s">
        <v>136</v>
      </c>
      <c r="C56" s="12" t="s">
        <v>134</v>
      </c>
      <c r="D56" s="17">
        <v>165</v>
      </c>
      <c r="E56" s="17">
        <f t="shared" si="0"/>
        <v>25</v>
      </c>
      <c r="F56" s="17">
        <f>D56+E56</f>
        <v>190</v>
      </c>
    </row>
    <row r="57" spans="1:6" x14ac:dyDescent="0.2">
      <c r="A57" s="12" t="s">
        <v>138</v>
      </c>
      <c r="B57" s="12" t="s">
        <v>139</v>
      </c>
      <c r="C57" s="12" t="s">
        <v>134</v>
      </c>
      <c r="D57" s="17">
        <v>180</v>
      </c>
      <c r="E57" s="17">
        <f t="shared" si="0"/>
        <v>25</v>
      </c>
      <c r="F57" s="17">
        <f>D57+E57</f>
        <v>205</v>
      </c>
    </row>
    <row r="58" spans="1:6" x14ac:dyDescent="0.2">
      <c r="A58" s="12" t="s">
        <v>140</v>
      </c>
      <c r="B58" s="12" t="s">
        <v>141</v>
      </c>
      <c r="C58" s="12" t="s">
        <v>134</v>
      </c>
      <c r="D58" s="17">
        <v>145</v>
      </c>
      <c r="E58" s="17">
        <f t="shared" si="0"/>
        <v>40</v>
      </c>
      <c r="F58" s="17">
        <f>D58+E58</f>
        <v>185</v>
      </c>
    </row>
    <row r="59" spans="1:6" x14ac:dyDescent="0.2">
      <c r="A59" s="12" t="s">
        <v>142</v>
      </c>
      <c r="B59" s="12" t="s">
        <v>136</v>
      </c>
      <c r="C59" s="12" t="s">
        <v>134</v>
      </c>
      <c r="D59" s="17">
        <v>175</v>
      </c>
      <c r="E59" s="17">
        <f t="shared" si="0"/>
        <v>25</v>
      </c>
      <c r="F59" s="17">
        <f>D59+E59</f>
        <v>200</v>
      </c>
    </row>
    <row r="60" spans="1:6" x14ac:dyDescent="0.2">
      <c r="A60" s="12" t="s">
        <v>143</v>
      </c>
      <c r="B60" s="12" t="s">
        <v>133</v>
      </c>
      <c r="C60" s="12" t="s">
        <v>134</v>
      </c>
      <c r="D60" s="17">
        <v>80</v>
      </c>
      <c r="E60" s="17">
        <f t="shared" si="0"/>
        <v>80</v>
      </c>
      <c r="F60" s="17">
        <f>D60+E60</f>
        <v>160</v>
      </c>
    </row>
    <row r="61" spans="1:6" x14ac:dyDescent="0.2">
      <c r="A61" s="12" t="s">
        <v>144</v>
      </c>
      <c r="B61" s="12" t="s">
        <v>139</v>
      </c>
      <c r="C61" s="12" t="s">
        <v>134</v>
      </c>
      <c r="D61" s="17">
        <v>160</v>
      </c>
      <c r="E61" s="17">
        <f t="shared" si="0"/>
        <v>40</v>
      </c>
      <c r="F61" s="17">
        <f>D61+E61</f>
        <v>200</v>
      </c>
    </row>
    <row r="62" spans="1:6" x14ac:dyDescent="0.2">
      <c r="A62" s="12" t="s">
        <v>127</v>
      </c>
      <c r="B62" s="12" t="s">
        <v>128</v>
      </c>
      <c r="C62" s="12" t="s">
        <v>129</v>
      </c>
      <c r="D62" s="17">
        <v>160</v>
      </c>
      <c r="E62" s="17">
        <f t="shared" si="0"/>
        <v>40</v>
      </c>
      <c r="F62" s="17">
        <f>D62+E62</f>
        <v>200</v>
      </c>
    </row>
    <row r="63" spans="1:6" x14ac:dyDescent="0.2">
      <c r="A63" s="12" t="s">
        <v>130</v>
      </c>
      <c r="B63" s="12" t="s">
        <v>128</v>
      </c>
      <c r="C63" s="12" t="s">
        <v>129</v>
      </c>
      <c r="D63" s="17">
        <v>190</v>
      </c>
      <c r="E63" s="17">
        <f t="shared" si="0"/>
        <v>0</v>
      </c>
      <c r="F63" s="17">
        <f>D63+E63</f>
        <v>190</v>
      </c>
    </row>
    <row r="64" spans="1:6" x14ac:dyDescent="0.2">
      <c r="A64" s="12" t="s">
        <v>131</v>
      </c>
      <c r="B64" s="12" t="s">
        <v>128</v>
      </c>
      <c r="C64" s="12" t="s">
        <v>129</v>
      </c>
      <c r="D64" s="17">
        <v>120</v>
      </c>
      <c r="E64" s="17">
        <f t="shared" si="0"/>
        <v>60</v>
      </c>
      <c r="F64" s="17">
        <f>D64+E64</f>
        <v>180</v>
      </c>
    </row>
    <row r="65" spans="1:6" x14ac:dyDescent="0.2">
      <c r="A65" s="12" t="s">
        <v>132</v>
      </c>
      <c r="B65" s="12" t="s">
        <v>133</v>
      </c>
      <c r="C65" s="12" t="s">
        <v>134</v>
      </c>
      <c r="D65" s="17">
        <v>80</v>
      </c>
      <c r="E65" s="17">
        <f t="shared" si="0"/>
        <v>80</v>
      </c>
      <c r="F65" s="17">
        <f>D65+E65</f>
        <v>160</v>
      </c>
    </row>
    <row r="66" spans="1:6" x14ac:dyDescent="0.2">
      <c r="A66" s="12" t="s">
        <v>135</v>
      </c>
      <c r="B66" s="12" t="s">
        <v>136</v>
      </c>
      <c r="C66" s="12" t="s">
        <v>134</v>
      </c>
      <c r="D66" s="17">
        <v>165</v>
      </c>
      <c r="E66" s="17">
        <f t="shared" si="0"/>
        <v>25</v>
      </c>
      <c r="F66" s="17">
        <f>D66+E66</f>
        <v>190</v>
      </c>
    </row>
    <row r="67" spans="1:6" x14ac:dyDescent="0.2">
      <c r="A67" s="12" t="s">
        <v>138</v>
      </c>
      <c r="B67" s="12" t="s">
        <v>139</v>
      </c>
      <c r="C67" s="12" t="s">
        <v>134</v>
      </c>
      <c r="D67" s="17">
        <v>180</v>
      </c>
      <c r="E67" s="17">
        <f t="shared" si="0"/>
        <v>25</v>
      </c>
      <c r="F67" s="17">
        <f>D67+E67</f>
        <v>205</v>
      </c>
    </row>
    <row r="68" spans="1:6" x14ac:dyDescent="0.2">
      <c r="A68" s="12" t="s">
        <v>140</v>
      </c>
      <c r="B68" s="12" t="s">
        <v>141</v>
      </c>
      <c r="C68" s="12" t="s">
        <v>134</v>
      </c>
      <c r="D68" s="17">
        <v>145</v>
      </c>
      <c r="E68" s="17">
        <f t="shared" ref="E68:E101" si="1">IF(D68=190,0,IF(D68&gt;160,25,IF(D68&gt;130,40,IF(D68&gt;105,60,80))))</f>
        <v>40</v>
      </c>
      <c r="F68" s="17">
        <f>D68+E68</f>
        <v>185</v>
      </c>
    </row>
    <row r="69" spans="1:6" x14ac:dyDescent="0.2">
      <c r="A69" s="12" t="s">
        <v>142</v>
      </c>
      <c r="B69" s="12" t="s">
        <v>136</v>
      </c>
      <c r="C69" s="12" t="s">
        <v>134</v>
      </c>
      <c r="D69" s="17">
        <v>175</v>
      </c>
      <c r="E69" s="17">
        <f t="shared" si="1"/>
        <v>25</v>
      </c>
      <c r="F69" s="17">
        <f>D69+E69</f>
        <v>200</v>
      </c>
    </row>
    <row r="70" spans="1:6" x14ac:dyDescent="0.2">
      <c r="A70" s="12" t="s">
        <v>143</v>
      </c>
      <c r="B70" s="12" t="s">
        <v>133</v>
      </c>
      <c r="C70" s="12" t="s">
        <v>134</v>
      </c>
      <c r="D70" s="17">
        <v>80</v>
      </c>
      <c r="E70" s="17">
        <f t="shared" si="1"/>
        <v>80</v>
      </c>
      <c r="F70" s="17">
        <f>D70+E70</f>
        <v>160</v>
      </c>
    </row>
    <row r="71" spans="1:6" x14ac:dyDescent="0.2">
      <c r="A71" s="12" t="s">
        <v>144</v>
      </c>
      <c r="B71" s="12" t="s">
        <v>139</v>
      </c>
      <c r="C71" s="12" t="s">
        <v>134</v>
      </c>
      <c r="D71" s="17">
        <v>160</v>
      </c>
      <c r="E71" s="17">
        <f t="shared" si="1"/>
        <v>40</v>
      </c>
      <c r="F71" s="17">
        <f>D71+E71</f>
        <v>200</v>
      </c>
    </row>
    <row r="72" spans="1:6" x14ac:dyDescent="0.2">
      <c r="A72" s="12" t="s">
        <v>127</v>
      </c>
      <c r="B72" s="12" t="s">
        <v>128</v>
      </c>
      <c r="C72" s="12" t="s">
        <v>129</v>
      </c>
      <c r="D72" s="17">
        <v>160</v>
      </c>
      <c r="E72" s="17">
        <f t="shared" si="1"/>
        <v>40</v>
      </c>
      <c r="F72" s="17">
        <f>D72+E72</f>
        <v>200</v>
      </c>
    </row>
    <row r="73" spans="1:6" x14ac:dyDescent="0.2">
      <c r="A73" s="12" t="s">
        <v>130</v>
      </c>
      <c r="B73" s="12" t="s">
        <v>128</v>
      </c>
      <c r="C73" s="12" t="s">
        <v>129</v>
      </c>
      <c r="D73" s="17">
        <v>190</v>
      </c>
      <c r="E73" s="17">
        <f t="shared" si="1"/>
        <v>0</v>
      </c>
      <c r="F73" s="17">
        <f>D73+E73</f>
        <v>190</v>
      </c>
    </row>
    <row r="74" spans="1:6" x14ac:dyDescent="0.2">
      <c r="A74" s="12" t="s">
        <v>131</v>
      </c>
      <c r="B74" s="12" t="s">
        <v>128</v>
      </c>
      <c r="C74" s="12" t="s">
        <v>129</v>
      </c>
      <c r="D74" s="17">
        <v>120</v>
      </c>
      <c r="E74" s="17">
        <f t="shared" si="1"/>
        <v>60</v>
      </c>
      <c r="F74" s="17">
        <f>D74+E74</f>
        <v>180</v>
      </c>
    </row>
    <row r="75" spans="1:6" x14ac:dyDescent="0.2">
      <c r="A75" s="12" t="s">
        <v>132</v>
      </c>
      <c r="B75" s="12" t="s">
        <v>133</v>
      </c>
      <c r="C75" s="12" t="s">
        <v>134</v>
      </c>
      <c r="D75" s="17">
        <v>80</v>
      </c>
      <c r="E75" s="17">
        <f t="shared" si="1"/>
        <v>80</v>
      </c>
      <c r="F75" s="17">
        <f>D75+E75</f>
        <v>160</v>
      </c>
    </row>
    <row r="76" spans="1:6" x14ac:dyDescent="0.2">
      <c r="A76" s="12" t="s">
        <v>135</v>
      </c>
      <c r="B76" s="12" t="s">
        <v>136</v>
      </c>
      <c r="C76" s="12" t="s">
        <v>134</v>
      </c>
      <c r="D76" s="17">
        <v>165</v>
      </c>
      <c r="E76" s="17">
        <f t="shared" si="1"/>
        <v>25</v>
      </c>
      <c r="F76" s="17">
        <f>D76+E76</f>
        <v>190</v>
      </c>
    </row>
    <row r="77" spans="1:6" x14ac:dyDescent="0.2">
      <c r="A77" s="12" t="s">
        <v>138</v>
      </c>
      <c r="B77" s="12" t="s">
        <v>139</v>
      </c>
      <c r="C77" s="12" t="s">
        <v>134</v>
      </c>
      <c r="D77" s="17">
        <v>180</v>
      </c>
      <c r="E77" s="17">
        <f t="shared" si="1"/>
        <v>25</v>
      </c>
      <c r="F77" s="17">
        <f>D77+E77</f>
        <v>205</v>
      </c>
    </row>
    <row r="78" spans="1:6" x14ac:dyDescent="0.2">
      <c r="A78" s="12" t="s">
        <v>140</v>
      </c>
      <c r="B78" s="12" t="s">
        <v>141</v>
      </c>
      <c r="C78" s="12" t="s">
        <v>134</v>
      </c>
      <c r="D78" s="17">
        <v>145</v>
      </c>
      <c r="E78" s="17">
        <f t="shared" si="1"/>
        <v>40</v>
      </c>
      <c r="F78" s="17">
        <f>D78+E78</f>
        <v>185</v>
      </c>
    </row>
    <row r="79" spans="1:6" x14ac:dyDescent="0.2">
      <c r="A79" s="12" t="s">
        <v>142</v>
      </c>
      <c r="B79" s="12" t="s">
        <v>136</v>
      </c>
      <c r="C79" s="12" t="s">
        <v>134</v>
      </c>
      <c r="D79" s="17">
        <v>175</v>
      </c>
      <c r="E79" s="17">
        <f t="shared" si="1"/>
        <v>25</v>
      </c>
      <c r="F79" s="17">
        <f>D79+E79</f>
        <v>200</v>
      </c>
    </row>
    <row r="80" spans="1:6" x14ac:dyDescent="0.2">
      <c r="A80" s="12" t="s">
        <v>143</v>
      </c>
      <c r="B80" s="12" t="s">
        <v>133</v>
      </c>
      <c r="C80" s="12" t="s">
        <v>134</v>
      </c>
      <c r="D80" s="17">
        <v>80</v>
      </c>
      <c r="E80" s="17">
        <f t="shared" si="1"/>
        <v>80</v>
      </c>
      <c r="F80" s="17">
        <f>D80+E80</f>
        <v>160</v>
      </c>
    </row>
    <row r="81" spans="1:6" x14ac:dyDescent="0.2">
      <c r="A81" s="12" t="s">
        <v>144</v>
      </c>
      <c r="B81" s="12" t="s">
        <v>139</v>
      </c>
      <c r="C81" s="12" t="s">
        <v>134</v>
      </c>
      <c r="D81" s="17">
        <v>160</v>
      </c>
      <c r="E81" s="17">
        <f t="shared" si="1"/>
        <v>40</v>
      </c>
      <c r="F81" s="17">
        <f>D81+E81</f>
        <v>200</v>
      </c>
    </row>
    <row r="82" spans="1:6" x14ac:dyDescent="0.2">
      <c r="A82" s="12" t="s">
        <v>127</v>
      </c>
      <c r="B82" s="12" t="s">
        <v>128</v>
      </c>
      <c r="C82" s="12" t="s">
        <v>129</v>
      </c>
      <c r="D82" s="17">
        <v>160</v>
      </c>
      <c r="E82" s="17">
        <f t="shared" si="1"/>
        <v>40</v>
      </c>
      <c r="F82" s="17">
        <f>D82+E82</f>
        <v>200</v>
      </c>
    </row>
    <row r="83" spans="1:6" x14ac:dyDescent="0.2">
      <c r="A83" s="12" t="s">
        <v>130</v>
      </c>
      <c r="B83" s="12" t="s">
        <v>128</v>
      </c>
      <c r="C83" s="12" t="s">
        <v>129</v>
      </c>
      <c r="D83" s="17">
        <v>190</v>
      </c>
      <c r="E83" s="17">
        <f t="shared" si="1"/>
        <v>0</v>
      </c>
      <c r="F83" s="17">
        <f>D83+E83</f>
        <v>190</v>
      </c>
    </row>
    <row r="84" spans="1:6" x14ac:dyDescent="0.2">
      <c r="A84" s="12" t="s">
        <v>131</v>
      </c>
      <c r="B84" s="12" t="s">
        <v>128</v>
      </c>
      <c r="C84" s="12" t="s">
        <v>129</v>
      </c>
      <c r="D84" s="17">
        <v>120</v>
      </c>
      <c r="E84" s="17">
        <f t="shared" si="1"/>
        <v>60</v>
      </c>
      <c r="F84" s="17">
        <f>D84+E84</f>
        <v>180</v>
      </c>
    </row>
    <row r="85" spans="1:6" x14ac:dyDescent="0.2">
      <c r="A85" s="12" t="s">
        <v>132</v>
      </c>
      <c r="B85" s="12" t="s">
        <v>133</v>
      </c>
      <c r="C85" s="12" t="s">
        <v>134</v>
      </c>
      <c r="D85" s="17">
        <v>80</v>
      </c>
      <c r="E85" s="17">
        <f t="shared" si="1"/>
        <v>80</v>
      </c>
      <c r="F85" s="17">
        <f>D85+E85</f>
        <v>160</v>
      </c>
    </row>
    <row r="86" spans="1:6" x14ac:dyDescent="0.2">
      <c r="A86" s="12" t="s">
        <v>135</v>
      </c>
      <c r="B86" s="12" t="s">
        <v>136</v>
      </c>
      <c r="C86" s="12" t="s">
        <v>134</v>
      </c>
      <c r="D86" s="17">
        <v>165</v>
      </c>
      <c r="E86" s="17">
        <f t="shared" si="1"/>
        <v>25</v>
      </c>
      <c r="F86" s="17">
        <f>D86+E86</f>
        <v>190</v>
      </c>
    </row>
    <row r="87" spans="1:6" x14ac:dyDescent="0.2">
      <c r="A87" s="12" t="s">
        <v>138</v>
      </c>
      <c r="B87" s="12" t="s">
        <v>139</v>
      </c>
      <c r="C87" s="12" t="s">
        <v>134</v>
      </c>
      <c r="D87" s="17">
        <v>180</v>
      </c>
      <c r="E87" s="17">
        <f t="shared" si="1"/>
        <v>25</v>
      </c>
      <c r="F87" s="17">
        <f>D87+E87</f>
        <v>205</v>
      </c>
    </row>
    <row r="88" spans="1:6" x14ac:dyDescent="0.2">
      <c r="A88" s="12" t="s">
        <v>140</v>
      </c>
      <c r="B88" s="12" t="s">
        <v>141</v>
      </c>
      <c r="C88" s="12" t="s">
        <v>134</v>
      </c>
      <c r="D88" s="17">
        <v>145</v>
      </c>
      <c r="E88" s="17">
        <f t="shared" si="1"/>
        <v>40</v>
      </c>
      <c r="F88" s="17">
        <f>D88+E88</f>
        <v>185</v>
      </c>
    </row>
    <row r="89" spans="1:6" x14ac:dyDescent="0.2">
      <c r="A89" s="12" t="s">
        <v>142</v>
      </c>
      <c r="B89" s="12" t="s">
        <v>136</v>
      </c>
      <c r="C89" s="12" t="s">
        <v>134</v>
      </c>
      <c r="D89" s="17">
        <v>175</v>
      </c>
      <c r="E89" s="17">
        <f t="shared" si="1"/>
        <v>25</v>
      </c>
      <c r="F89" s="17">
        <f>D89+E89</f>
        <v>200</v>
      </c>
    </row>
    <row r="90" spans="1:6" x14ac:dyDescent="0.2">
      <c r="A90" s="12" t="s">
        <v>143</v>
      </c>
      <c r="B90" s="12" t="s">
        <v>133</v>
      </c>
      <c r="C90" s="12" t="s">
        <v>134</v>
      </c>
      <c r="D90" s="17">
        <v>80</v>
      </c>
      <c r="E90" s="17">
        <f t="shared" si="1"/>
        <v>80</v>
      </c>
      <c r="F90" s="17">
        <f>D90+E90</f>
        <v>160</v>
      </c>
    </row>
    <row r="91" spans="1:6" x14ac:dyDescent="0.2">
      <c r="A91" s="12" t="s">
        <v>144</v>
      </c>
      <c r="B91" s="12" t="s">
        <v>139</v>
      </c>
      <c r="C91" s="12" t="s">
        <v>134</v>
      </c>
      <c r="D91" s="17">
        <v>160</v>
      </c>
      <c r="E91" s="17">
        <f t="shared" si="1"/>
        <v>40</v>
      </c>
      <c r="F91" s="17">
        <f>D91+E91</f>
        <v>200</v>
      </c>
    </row>
    <row r="92" spans="1:6" x14ac:dyDescent="0.2">
      <c r="A92" s="12" t="s">
        <v>127</v>
      </c>
      <c r="B92" s="12" t="s">
        <v>128</v>
      </c>
      <c r="C92" s="12" t="s">
        <v>129</v>
      </c>
      <c r="D92" s="17">
        <v>160</v>
      </c>
      <c r="E92" s="17">
        <f t="shared" si="1"/>
        <v>40</v>
      </c>
      <c r="F92" s="17">
        <f>D92+E92</f>
        <v>200</v>
      </c>
    </row>
    <row r="93" spans="1:6" x14ac:dyDescent="0.2">
      <c r="A93" s="12" t="s">
        <v>130</v>
      </c>
      <c r="B93" s="12" t="s">
        <v>128</v>
      </c>
      <c r="C93" s="12" t="s">
        <v>129</v>
      </c>
      <c r="D93" s="17">
        <v>190</v>
      </c>
      <c r="E93" s="17">
        <f t="shared" si="1"/>
        <v>0</v>
      </c>
      <c r="F93" s="17">
        <f>D93+E93</f>
        <v>190</v>
      </c>
    </row>
    <row r="94" spans="1:6" x14ac:dyDescent="0.2">
      <c r="A94" s="12" t="s">
        <v>131</v>
      </c>
      <c r="B94" s="12" t="s">
        <v>128</v>
      </c>
      <c r="C94" s="12" t="s">
        <v>129</v>
      </c>
      <c r="D94" s="17">
        <v>120</v>
      </c>
      <c r="E94" s="17">
        <f t="shared" si="1"/>
        <v>60</v>
      </c>
      <c r="F94" s="17">
        <f>D94+E94</f>
        <v>180</v>
      </c>
    </row>
    <row r="95" spans="1:6" x14ac:dyDescent="0.2">
      <c r="A95" s="12" t="s">
        <v>132</v>
      </c>
      <c r="B95" s="12" t="s">
        <v>133</v>
      </c>
      <c r="C95" s="12" t="s">
        <v>134</v>
      </c>
      <c r="D95" s="17">
        <v>80</v>
      </c>
      <c r="E95" s="17">
        <f t="shared" si="1"/>
        <v>80</v>
      </c>
      <c r="F95" s="17">
        <f>D95+E95</f>
        <v>160</v>
      </c>
    </row>
    <row r="96" spans="1:6" x14ac:dyDescent="0.2">
      <c r="A96" s="12" t="s">
        <v>135</v>
      </c>
      <c r="B96" s="12" t="s">
        <v>136</v>
      </c>
      <c r="C96" s="12" t="s">
        <v>134</v>
      </c>
      <c r="D96" s="17">
        <v>165</v>
      </c>
      <c r="E96" s="17">
        <f t="shared" si="1"/>
        <v>25</v>
      </c>
      <c r="F96" s="17">
        <f>D96+E96</f>
        <v>190</v>
      </c>
    </row>
    <row r="97" spans="1:6" x14ac:dyDescent="0.2">
      <c r="A97" s="12" t="s">
        <v>138</v>
      </c>
      <c r="B97" s="12" t="s">
        <v>139</v>
      </c>
      <c r="C97" s="12" t="s">
        <v>134</v>
      </c>
      <c r="D97" s="17">
        <v>180</v>
      </c>
      <c r="E97" s="17">
        <f t="shared" si="1"/>
        <v>25</v>
      </c>
      <c r="F97" s="17">
        <f>D97+E97</f>
        <v>205</v>
      </c>
    </row>
    <row r="98" spans="1:6" x14ac:dyDescent="0.2">
      <c r="A98" s="12" t="s">
        <v>140</v>
      </c>
      <c r="B98" s="12" t="s">
        <v>141</v>
      </c>
      <c r="C98" s="12" t="s">
        <v>134</v>
      </c>
      <c r="D98" s="17">
        <v>145</v>
      </c>
      <c r="E98" s="17">
        <f t="shared" si="1"/>
        <v>40</v>
      </c>
      <c r="F98" s="17">
        <f>D98+E98</f>
        <v>185</v>
      </c>
    </row>
    <row r="99" spans="1:6" x14ac:dyDescent="0.2">
      <c r="A99" s="12" t="s">
        <v>142</v>
      </c>
      <c r="B99" s="12" t="s">
        <v>136</v>
      </c>
      <c r="C99" s="12" t="s">
        <v>134</v>
      </c>
      <c r="D99" s="17">
        <v>175</v>
      </c>
      <c r="E99" s="17">
        <f t="shared" si="1"/>
        <v>25</v>
      </c>
      <c r="F99" s="17">
        <f>D99+E99</f>
        <v>200</v>
      </c>
    </row>
    <row r="100" spans="1:6" x14ac:dyDescent="0.2">
      <c r="A100" s="12" t="s">
        <v>143</v>
      </c>
      <c r="B100" s="12" t="s">
        <v>133</v>
      </c>
      <c r="C100" s="12" t="s">
        <v>134</v>
      </c>
      <c r="D100" s="17">
        <v>80</v>
      </c>
      <c r="E100" s="17">
        <f t="shared" si="1"/>
        <v>80</v>
      </c>
      <c r="F100" s="17">
        <f>D100+E100</f>
        <v>160</v>
      </c>
    </row>
    <row r="101" spans="1:6" x14ac:dyDescent="0.2">
      <c r="A101" s="12" t="s">
        <v>144</v>
      </c>
      <c r="B101" s="12" t="s">
        <v>139</v>
      </c>
      <c r="C101" s="12" t="s">
        <v>134</v>
      </c>
      <c r="D101" s="17">
        <v>160</v>
      </c>
      <c r="E101" s="17">
        <f t="shared" si="1"/>
        <v>40</v>
      </c>
      <c r="F101" s="17">
        <f>D101+E101</f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3:R91"/>
  <sheetViews>
    <sheetView showGridLines="0" workbookViewId="0">
      <selection activeCell="O29" sqref="O29"/>
    </sheetView>
  </sheetViews>
  <sheetFormatPr defaultColWidth="9.953125" defaultRowHeight="15" x14ac:dyDescent="0.2"/>
  <cols>
    <col min="1" max="1" width="10.625" customWidth="1"/>
    <col min="2" max="2" width="18.83203125" bestFit="1" customWidth="1"/>
    <col min="3" max="3" width="9.953125" customWidth="1"/>
    <col min="4" max="4" width="15.87109375" bestFit="1" customWidth="1"/>
    <col min="5" max="5" width="13.85546875" style="9" customWidth="1"/>
    <col min="6" max="6" width="9.81640625" bestFit="1" customWidth="1"/>
    <col min="7" max="7" width="13.5859375" style="9" customWidth="1"/>
    <col min="8" max="8" width="13.85546875" bestFit="1" customWidth="1"/>
    <col min="9" max="9" width="26.90234375" customWidth="1"/>
  </cols>
  <sheetData>
    <row r="3" spans="1:18" ht="28.5" customHeight="1" x14ac:dyDescent="0.2">
      <c r="A3" s="18" t="s">
        <v>145</v>
      </c>
      <c r="B3" s="18" t="s">
        <v>96</v>
      </c>
      <c r="C3" s="18" t="s">
        <v>146</v>
      </c>
      <c r="D3" s="18" t="s">
        <v>121</v>
      </c>
      <c r="E3" s="19" t="s">
        <v>147</v>
      </c>
      <c r="F3" s="18" t="s">
        <v>98</v>
      </c>
      <c r="G3" s="20" t="s">
        <v>148</v>
      </c>
      <c r="H3" s="21" t="s">
        <v>149</v>
      </c>
    </row>
    <row r="4" spans="1:18" x14ac:dyDescent="0.2">
      <c r="A4" s="12">
        <v>5402</v>
      </c>
      <c r="B4" s="12" t="s">
        <v>150</v>
      </c>
      <c r="C4" s="12" t="s">
        <v>113</v>
      </c>
      <c r="D4" s="12" t="s">
        <v>151</v>
      </c>
      <c r="E4" s="13">
        <v>1931</v>
      </c>
      <c r="F4" s="22">
        <v>10</v>
      </c>
      <c r="G4" s="13">
        <f>E4*F4</f>
        <v>19310</v>
      </c>
      <c r="H4" s="23" t="str">
        <f>IF(AND(E4&gt;1500,F4&gt;8,G4&gt;15000),"Yes","No Order")</f>
        <v>Yes</v>
      </c>
    </row>
    <row r="5" spans="1:18" x14ac:dyDescent="0.2">
      <c r="A5" s="12">
        <v>6582</v>
      </c>
      <c r="B5" s="12" t="s">
        <v>152</v>
      </c>
      <c r="C5" s="12" t="s">
        <v>153</v>
      </c>
      <c r="D5" s="12" t="s">
        <v>154</v>
      </c>
      <c r="E5" s="13">
        <v>1903</v>
      </c>
      <c r="F5" s="22">
        <v>6</v>
      </c>
      <c r="G5" s="13">
        <f t="shared" ref="G5:G68" si="0">E5*F5</f>
        <v>11418</v>
      </c>
      <c r="H5" s="12" t="str">
        <f>IF(AND(E5&gt;1500,F5&gt;8,G5&gt;15000),"yes","No order")</f>
        <v>No order</v>
      </c>
    </row>
    <row r="6" spans="1:18" ht="16.5" customHeight="1" x14ac:dyDescent="0.2">
      <c r="A6" s="12">
        <v>4950</v>
      </c>
      <c r="B6" s="12" t="s">
        <v>155</v>
      </c>
      <c r="C6" s="12" t="s">
        <v>113</v>
      </c>
      <c r="D6" s="12" t="s">
        <v>156</v>
      </c>
      <c r="E6" s="13">
        <v>1258</v>
      </c>
      <c r="F6" s="22">
        <v>8</v>
      </c>
      <c r="G6" s="13">
        <f t="shared" si="0"/>
        <v>10064</v>
      </c>
      <c r="H6" s="12" t="str">
        <f t="shared" ref="H6:H69" si="1">IF(AND(E6&gt;1500,F6&gt;8,G6&gt;15000),"yes","No order")</f>
        <v>No order</v>
      </c>
      <c r="J6" s="33" t="s">
        <v>157</v>
      </c>
      <c r="K6" s="33"/>
      <c r="L6" s="33"/>
      <c r="M6" s="33"/>
      <c r="N6" s="33"/>
      <c r="O6" s="33"/>
      <c r="P6" s="33"/>
      <c r="Q6" s="33"/>
      <c r="R6" s="33"/>
    </row>
    <row r="7" spans="1:18" x14ac:dyDescent="0.2">
      <c r="A7" s="12">
        <v>6230</v>
      </c>
      <c r="B7" s="12" t="s">
        <v>150</v>
      </c>
      <c r="C7" s="12" t="s">
        <v>110</v>
      </c>
      <c r="D7" s="12" t="s">
        <v>151</v>
      </c>
      <c r="E7" s="13">
        <v>1311</v>
      </c>
      <c r="F7" s="22">
        <v>4</v>
      </c>
      <c r="G7" s="13">
        <f t="shared" si="0"/>
        <v>5244</v>
      </c>
      <c r="H7" s="12" t="str">
        <f t="shared" si="1"/>
        <v>No order</v>
      </c>
      <c r="J7" s="33"/>
      <c r="K7" s="33"/>
      <c r="L7" s="33"/>
      <c r="M7" s="33"/>
      <c r="N7" s="33"/>
      <c r="O7" s="33"/>
      <c r="P7" s="33"/>
      <c r="Q7" s="33"/>
      <c r="R7" s="33"/>
    </row>
    <row r="8" spans="1:18" x14ac:dyDescent="0.2">
      <c r="A8" s="12">
        <v>4582</v>
      </c>
      <c r="B8" s="12" t="s">
        <v>158</v>
      </c>
      <c r="C8" s="12" t="s">
        <v>153</v>
      </c>
      <c r="D8" s="12" t="s">
        <v>112</v>
      </c>
      <c r="E8" s="13">
        <v>1134</v>
      </c>
      <c r="F8" s="22">
        <v>9</v>
      </c>
      <c r="G8" s="13">
        <f t="shared" si="0"/>
        <v>10206</v>
      </c>
      <c r="H8" s="12" t="str">
        <f t="shared" si="1"/>
        <v>No order</v>
      </c>
      <c r="J8" s="33"/>
      <c r="K8" s="33"/>
      <c r="L8" s="33"/>
      <c r="M8" s="33"/>
      <c r="N8" s="33"/>
      <c r="O8" s="33"/>
      <c r="P8" s="33"/>
      <c r="Q8" s="33"/>
      <c r="R8" s="33"/>
    </row>
    <row r="9" spans="1:18" x14ac:dyDescent="0.2">
      <c r="A9" s="12">
        <v>5650</v>
      </c>
      <c r="B9" s="12" t="s">
        <v>159</v>
      </c>
      <c r="C9" s="12" t="s">
        <v>113</v>
      </c>
      <c r="D9" s="12" t="s">
        <v>160</v>
      </c>
      <c r="E9" s="13">
        <v>1200</v>
      </c>
      <c r="F9" s="22">
        <v>15</v>
      </c>
      <c r="G9" s="13">
        <f t="shared" si="0"/>
        <v>18000</v>
      </c>
      <c r="H9" s="12" t="str">
        <f t="shared" si="1"/>
        <v>No order</v>
      </c>
    </row>
    <row r="10" spans="1:18" x14ac:dyDescent="0.2">
      <c r="A10" s="12">
        <v>6520</v>
      </c>
      <c r="B10" s="12" t="s">
        <v>159</v>
      </c>
      <c r="C10" s="12" t="s">
        <v>113</v>
      </c>
      <c r="D10" s="12" t="s">
        <v>160</v>
      </c>
      <c r="E10" s="13">
        <v>1152</v>
      </c>
      <c r="F10" s="22">
        <v>5</v>
      </c>
      <c r="G10" s="13">
        <f t="shared" si="0"/>
        <v>5760</v>
      </c>
      <c r="H10" s="12" t="str">
        <f t="shared" si="1"/>
        <v>No order</v>
      </c>
    </row>
    <row r="11" spans="1:18" x14ac:dyDescent="0.2">
      <c r="A11" s="12">
        <v>4485</v>
      </c>
      <c r="B11" s="12" t="s">
        <v>158</v>
      </c>
      <c r="C11" s="12" t="s">
        <v>153</v>
      </c>
      <c r="D11" s="12" t="s">
        <v>112</v>
      </c>
      <c r="E11" s="13">
        <v>1042</v>
      </c>
      <c r="F11" s="22">
        <v>6</v>
      </c>
      <c r="G11" s="13">
        <f t="shared" si="0"/>
        <v>6252</v>
      </c>
      <c r="H11" s="12" t="str">
        <f t="shared" si="1"/>
        <v>No order</v>
      </c>
    </row>
    <row r="12" spans="1:18" x14ac:dyDescent="0.2">
      <c r="A12" s="12">
        <v>8880</v>
      </c>
      <c r="B12" s="12" t="s">
        <v>155</v>
      </c>
      <c r="C12" s="12" t="s">
        <v>113</v>
      </c>
      <c r="D12" s="12" t="s">
        <v>156</v>
      </c>
      <c r="E12" s="13">
        <v>1985</v>
      </c>
      <c r="F12" s="22">
        <v>3</v>
      </c>
      <c r="G12" s="13">
        <f t="shared" si="0"/>
        <v>5955</v>
      </c>
      <c r="H12" s="12" t="str">
        <f t="shared" si="1"/>
        <v>No order</v>
      </c>
    </row>
    <row r="13" spans="1:18" x14ac:dyDescent="0.2">
      <c r="A13" s="12">
        <v>9560</v>
      </c>
      <c r="B13" s="12" t="s">
        <v>155</v>
      </c>
      <c r="C13" s="12" t="s">
        <v>113</v>
      </c>
      <c r="D13" s="12" t="s">
        <v>156</v>
      </c>
      <c r="E13" s="13">
        <v>1738</v>
      </c>
      <c r="F13" s="22">
        <v>8</v>
      </c>
      <c r="G13" s="13">
        <f t="shared" si="0"/>
        <v>13904</v>
      </c>
      <c r="H13" s="12" t="str">
        <f t="shared" si="1"/>
        <v>No order</v>
      </c>
    </row>
    <row r="14" spans="1:18" x14ac:dyDescent="0.2">
      <c r="A14" s="12">
        <v>1078</v>
      </c>
      <c r="B14" s="12" t="s">
        <v>150</v>
      </c>
      <c r="C14" s="12" t="s">
        <v>113</v>
      </c>
      <c r="D14" s="12" t="s">
        <v>151</v>
      </c>
      <c r="E14" s="13">
        <v>1903</v>
      </c>
      <c r="F14" s="22">
        <v>10</v>
      </c>
      <c r="G14" s="13">
        <f t="shared" si="0"/>
        <v>19030</v>
      </c>
      <c r="H14" s="12" t="str">
        <f t="shared" si="1"/>
        <v>yes</v>
      </c>
    </row>
    <row r="15" spans="1:18" x14ac:dyDescent="0.2">
      <c r="A15" s="12">
        <v>5630</v>
      </c>
      <c r="B15" s="12" t="s">
        <v>152</v>
      </c>
      <c r="C15" s="12" t="s">
        <v>153</v>
      </c>
      <c r="D15" s="12" t="s">
        <v>154</v>
      </c>
      <c r="E15" s="13">
        <v>1344</v>
      </c>
      <c r="F15" s="22">
        <v>6</v>
      </c>
      <c r="G15" s="13">
        <f t="shared" si="0"/>
        <v>8064</v>
      </c>
      <c r="H15" s="12" t="str">
        <f t="shared" si="1"/>
        <v>No order</v>
      </c>
    </row>
    <row r="16" spans="1:18" x14ac:dyDescent="0.2">
      <c r="A16" s="12">
        <v>4201</v>
      </c>
      <c r="B16" s="12" t="s">
        <v>155</v>
      </c>
      <c r="C16" s="12" t="s">
        <v>113</v>
      </c>
      <c r="D16" s="12" t="s">
        <v>156</v>
      </c>
      <c r="E16" s="13">
        <v>1092</v>
      </c>
      <c r="F16" s="22">
        <v>8</v>
      </c>
      <c r="G16" s="13">
        <f t="shared" si="0"/>
        <v>8736</v>
      </c>
      <c r="H16" s="12" t="str">
        <f t="shared" si="1"/>
        <v>No order</v>
      </c>
    </row>
    <row r="17" spans="1:8" x14ac:dyDescent="0.2">
      <c r="A17" s="12">
        <v>2530</v>
      </c>
      <c r="B17" s="12" t="s">
        <v>150</v>
      </c>
      <c r="C17" s="12" t="s">
        <v>110</v>
      </c>
      <c r="D17" s="12" t="s">
        <v>151</v>
      </c>
      <c r="E17" s="13">
        <v>1774</v>
      </c>
      <c r="F17" s="22">
        <v>4</v>
      </c>
      <c r="G17" s="13">
        <f t="shared" si="0"/>
        <v>7096</v>
      </c>
      <c r="H17" s="12" t="str">
        <f t="shared" si="1"/>
        <v>No order</v>
      </c>
    </row>
    <row r="18" spans="1:8" x14ac:dyDescent="0.2">
      <c r="A18" s="12">
        <v>1458</v>
      </c>
      <c r="B18" s="12" t="s">
        <v>158</v>
      </c>
      <c r="C18" s="12" t="s">
        <v>153</v>
      </c>
      <c r="D18" s="12" t="s">
        <v>112</v>
      </c>
      <c r="E18" s="13">
        <v>1562</v>
      </c>
      <c r="F18" s="22">
        <v>9</v>
      </c>
      <c r="G18" s="13">
        <f t="shared" si="0"/>
        <v>14058</v>
      </c>
      <c r="H18" s="12" t="str">
        <f t="shared" si="1"/>
        <v>No order</v>
      </c>
    </row>
    <row r="19" spans="1:8" x14ac:dyDescent="0.2">
      <c r="A19" s="12">
        <v>2365</v>
      </c>
      <c r="B19" s="12" t="s">
        <v>159</v>
      </c>
      <c r="C19" s="12" t="s">
        <v>113</v>
      </c>
      <c r="D19" s="12" t="s">
        <v>160</v>
      </c>
      <c r="E19" s="13">
        <v>1359</v>
      </c>
      <c r="F19" s="22">
        <v>5</v>
      </c>
      <c r="G19" s="13">
        <f t="shared" si="0"/>
        <v>6795</v>
      </c>
      <c r="H19" s="12" t="str">
        <f t="shared" si="1"/>
        <v>No order</v>
      </c>
    </row>
    <row r="20" spans="1:8" x14ac:dyDescent="0.2">
      <c r="A20" s="12">
        <v>6225</v>
      </c>
      <c r="B20" s="12" t="s">
        <v>159</v>
      </c>
      <c r="C20" s="12" t="s">
        <v>113</v>
      </c>
      <c r="D20" s="12" t="s">
        <v>160</v>
      </c>
      <c r="E20" s="13">
        <v>1656</v>
      </c>
      <c r="F20" s="22">
        <v>10</v>
      </c>
      <c r="G20" s="13">
        <f t="shared" si="0"/>
        <v>16560</v>
      </c>
      <c r="H20" s="12" t="str">
        <f t="shared" si="1"/>
        <v>yes</v>
      </c>
    </row>
    <row r="21" spans="1:8" x14ac:dyDescent="0.2">
      <c r="A21" s="12">
        <v>3663</v>
      </c>
      <c r="B21" s="12" t="s">
        <v>158</v>
      </c>
      <c r="C21" s="12" t="s">
        <v>153</v>
      </c>
      <c r="D21" s="12" t="s">
        <v>112</v>
      </c>
      <c r="E21" s="13">
        <v>1065</v>
      </c>
      <c r="F21" s="22">
        <v>6</v>
      </c>
      <c r="G21" s="13">
        <f t="shared" si="0"/>
        <v>6390</v>
      </c>
      <c r="H21" s="12" t="str">
        <f t="shared" si="1"/>
        <v>No order</v>
      </c>
    </row>
    <row r="22" spans="1:8" x14ac:dyDescent="0.2">
      <c r="A22" s="12">
        <v>1257</v>
      </c>
      <c r="B22" s="12" t="s">
        <v>155</v>
      </c>
      <c r="C22" s="12" t="s">
        <v>113</v>
      </c>
      <c r="D22" s="12" t="s">
        <v>156</v>
      </c>
      <c r="E22" s="13">
        <v>1013</v>
      </c>
      <c r="F22" s="22">
        <v>3</v>
      </c>
      <c r="G22" s="13">
        <f t="shared" si="0"/>
        <v>3039</v>
      </c>
      <c r="H22" s="12" t="str">
        <f t="shared" si="1"/>
        <v>No order</v>
      </c>
    </row>
    <row r="23" spans="1:8" x14ac:dyDescent="0.2">
      <c r="A23" s="12">
        <v>2369</v>
      </c>
      <c r="B23" s="12" t="s">
        <v>155</v>
      </c>
      <c r="C23" s="12" t="s">
        <v>113</v>
      </c>
      <c r="D23" s="12" t="s">
        <v>156</v>
      </c>
      <c r="E23" s="13">
        <v>1802</v>
      </c>
      <c r="F23" s="22">
        <v>8</v>
      </c>
      <c r="G23" s="13">
        <f t="shared" si="0"/>
        <v>14416</v>
      </c>
      <c r="H23" s="12" t="str">
        <f t="shared" si="1"/>
        <v>No order</v>
      </c>
    </row>
    <row r="24" spans="1:8" x14ac:dyDescent="0.2">
      <c r="A24" s="12">
        <v>5896</v>
      </c>
      <c r="B24" s="12" t="s">
        <v>150</v>
      </c>
      <c r="C24" s="12" t="s">
        <v>113</v>
      </c>
      <c r="D24" s="12" t="s">
        <v>151</v>
      </c>
      <c r="E24" s="13">
        <v>1801</v>
      </c>
      <c r="F24" s="22">
        <v>8</v>
      </c>
      <c r="G24" s="13">
        <f t="shared" si="0"/>
        <v>14408</v>
      </c>
      <c r="H24" s="12" t="str">
        <f t="shared" si="1"/>
        <v>No order</v>
      </c>
    </row>
    <row r="25" spans="1:8" x14ac:dyDescent="0.2">
      <c r="A25" s="12">
        <v>6321</v>
      </c>
      <c r="B25" s="12" t="s">
        <v>152</v>
      </c>
      <c r="C25" s="12" t="s">
        <v>153</v>
      </c>
      <c r="D25" s="12" t="s">
        <v>154</v>
      </c>
      <c r="E25" s="13">
        <v>1004</v>
      </c>
      <c r="F25" s="22">
        <v>4</v>
      </c>
      <c r="G25" s="13">
        <f t="shared" si="0"/>
        <v>4016</v>
      </c>
      <c r="H25" s="12" t="str">
        <f t="shared" si="1"/>
        <v>No order</v>
      </c>
    </row>
    <row r="26" spans="1:8" x14ac:dyDescent="0.2">
      <c r="A26" s="12">
        <v>4589</v>
      </c>
      <c r="B26" s="12" t="s">
        <v>155</v>
      </c>
      <c r="C26" s="12" t="s">
        <v>113</v>
      </c>
      <c r="D26" s="12" t="s">
        <v>156</v>
      </c>
      <c r="E26" s="13">
        <v>1804</v>
      </c>
      <c r="F26" s="22">
        <v>9</v>
      </c>
      <c r="G26" s="13">
        <f t="shared" si="0"/>
        <v>16236</v>
      </c>
      <c r="H26" s="12" t="str">
        <f t="shared" si="1"/>
        <v>yes</v>
      </c>
    </row>
    <row r="27" spans="1:8" x14ac:dyDescent="0.2">
      <c r="A27" s="12">
        <v>4856</v>
      </c>
      <c r="B27" s="12" t="s">
        <v>150</v>
      </c>
      <c r="C27" s="12" t="s">
        <v>110</v>
      </c>
      <c r="D27" s="12" t="s">
        <v>151</v>
      </c>
      <c r="E27" s="13">
        <v>1438</v>
      </c>
      <c r="F27" s="22">
        <v>15</v>
      </c>
      <c r="G27" s="13">
        <f t="shared" si="0"/>
        <v>21570</v>
      </c>
      <c r="H27" s="12" t="str">
        <f t="shared" si="1"/>
        <v>No order</v>
      </c>
    </row>
    <row r="28" spans="1:8" x14ac:dyDescent="0.2">
      <c r="A28" s="12">
        <v>4120</v>
      </c>
      <c r="B28" s="12" t="s">
        <v>158</v>
      </c>
      <c r="C28" s="12" t="s">
        <v>153</v>
      </c>
      <c r="D28" s="12" t="s">
        <v>112</v>
      </c>
      <c r="E28" s="13">
        <v>1370</v>
      </c>
      <c r="F28" s="22">
        <v>10</v>
      </c>
      <c r="G28" s="13">
        <f t="shared" si="0"/>
        <v>13700</v>
      </c>
      <c r="H28" s="12" t="str">
        <f t="shared" si="1"/>
        <v>No order</v>
      </c>
    </row>
    <row r="29" spans="1:8" x14ac:dyDescent="0.2">
      <c r="A29" s="12">
        <v>5230</v>
      </c>
      <c r="B29" s="12" t="s">
        <v>159</v>
      </c>
      <c r="C29" s="12" t="s">
        <v>113</v>
      </c>
      <c r="D29" s="12" t="s">
        <v>160</v>
      </c>
      <c r="E29" s="13">
        <v>1410</v>
      </c>
      <c r="F29" s="22">
        <v>3</v>
      </c>
      <c r="G29" s="13">
        <f t="shared" si="0"/>
        <v>4230</v>
      </c>
      <c r="H29" s="12" t="str">
        <f t="shared" si="1"/>
        <v>No order</v>
      </c>
    </row>
    <row r="30" spans="1:8" x14ac:dyDescent="0.2">
      <c r="A30" s="12">
        <v>1200</v>
      </c>
      <c r="B30" s="12" t="s">
        <v>159</v>
      </c>
      <c r="C30" s="12" t="s">
        <v>113</v>
      </c>
      <c r="D30" s="12" t="s">
        <v>160</v>
      </c>
      <c r="E30" s="13">
        <v>1006</v>
      </c>
      <c r="F30" s="22">
        <v>3</v>
      </c>
      <c r="G30" s="13">
        <f t="shared" si="0"/>
        <v>3018</v>
      </c>
      <c r="H30" s="12" t="str">
        <f t="shared" si="1"/>
        <v>No order</v>
      </c>
    </row>
    <row r="31" spans="1:8" x14ac:dyDescent="0.2">
      <c r="A31" s="12">
        <v>5874</v>
      </c>
      <c r="B31" s="12" t="s">
        <v>158</v>
      </c>
      <c r="C31" s="12" t="s">
        <v>153</v>
      </c>
      <c r="D31" s="12" t="s">
        <v>112</v>
      </c>
      <c r="E31" s="13">
        <v>1785</v>
      </c>
      <c r="F31" s="22">
        <v>18</v>
      </c>
      <c r="G31" s="13">
        <f t="shared" si="0"/>
        <v>32130</v>
      </c>
      <c r="H31" s="12" t="str">
        <f t="shared" si="1"/>
        <v>yes</v>
      </c>
    </row>
    <row r="32" spans="1:8" x14ac:dyDescent="0.2">
      <c r="A32" s="12">
        <v>5620</v>
      </c>
      <c r="B32" s="12" t="s">
        <v>155</v>
      </c>
      <c r="C32" s="12" t="s">
        <v>113</v>
      </c>
      <c r="D32" s="12" t="s">
        <v>156</v>
      </c>
      <c r="E32" s="13">
        <v>1203</v>
      </c>
      <c r="F32" s="22">
        <v>10</v>
      </c>
      <c r="G32" s="13">
        <f t="shared" si="0"/>
        <v>12030</v>
      </c>
      <c r="H32" s="12" t="str">
        <f t="shared" si="1"/>
        <v>No order</v>
      </c>
    </row>
    <row r="33" spans="1:8" x14ac:dyDescent="0.2">
      <c r="A33" s="12">
        <v>5412</v>
      </c>
      <c r="B33" s="12" t="s">
        <v>155</v>
      </c>
      <c r="C33" s="12" t="s">
        <v>113</v>
      </c>
      <c r="D33" s="12" t="s">
        <v>156</v>
      </c>
      <c r="E33" s="13">
        <v>1588</v>
      </c>
      <c r="F33" s="22">
        <v>6</v>
      </c>
      <c r="G33" s="13">
        <f t="shared" si="0"/>
        <v>9528</v>
      </c>
      <c r="H33" s="12" t="str">
        <f t="shared" si="1"/>
        <v>No order</v>
      </c>
    </row>
    <row r="34" spans="1:8" x14ac:dyDescent="0.2">
      <c r="A34" s="12">
        <v>6230</v>
      </c>
      <c r="B34" s="12" t="s">
        <v>150</v>
      </c>
      <c r="C34" s="12" t="s">
        <v>113</v>
      </c>
      <c r="D34" s="12" t="s">
        <v>151</v>
      </c>
      <c r="E34" s="13">
        <v>1860</v>
      </c>
      <c r="F34" s="22">
        <v>8</v>
      </c>
      <c r="G34" s="13">
        <f t="shared" si="0"/>
        <v>14880</v>
      </c>
      <c r="H34" s="12" t="str">
        <f t="shared" si="1"/>
        <v>No order</v>
      </c>
    </row>
    <row r="35" spans="1:8" x14ac:dyDescent="0.2">
      <c r="A35" s="12">
        <v>5220</v>
      </c>
      <c r="B35" s="12" t="s">
        <v>152</v>
      </c>
      <c r="C35" s="12" t="s">
        <v>153</v>
      </c>
      <c r="D35" s="12" t="s">
        <v>154</v>
      </c>
      <c r="E35" s="13">
        <v>1487</v>
      </c>
      <c r="F35" s="22">
        <v>4</v>
      </c>
      <c r="G35" s="13">
        <f t="shared" si="0"/>
        <v>5948</v>
      </c>
      <c r="H35" s="12" t="str">
        <f t="shared" si="1"/>
        <v>No order</v>
      </c>
    </row>
    <row r="36" spans="1:8" x14ac:dyDescent="0.2">
      <c r="A36" s="12">
        <v>6952</v>
      </c>
      <c r="B36" s="12" t="s">
        <v>155</v>
      </c>
      <c r="C36" s="12" t="s">
        <v>113</v>
      </c>
      <c r="D36" s="12" t="s">
        <v>156</v>
      </c>
      <c r="E36" s="13">
        <v>1120</v>
      </c>
      <c r="F36" s="22">
        <v>9</v>
      </c>
      <c r="G36" s="13">
        <f t="shared" si="0"/>
        <v>10080</v>
      </c>
      <c r="H36" s="12" t="str">
        <f t="shared" si="1"/>
        <v>No order</v>
      </c>
    </row>
    <row r="37" spans="1:8" x14ac:dyDescent="0.2">
      <c r="A37" s="12">
        <v>4875</v>
      </c>
      <c r="B37" s="12" t="s">
        <v>150</v>
      </c>
      <c r="C37" s="12" t="s">
        <v>110</v>
      </c>
      <c r="D37" s="12" t="s">
        <v>151</v>
      </c>
      <c r="E37" s="13">
        <v>1356</v>
      </c>
      <c r="F37" s="22">
        <v>15</v>
      </c>
      <c r="G37" s="13">
        <f t="shared" si="0"/>
        <v>20340</v>
      </c>
      <c r="H37" s="12" t="str">
        <f t="shared" si="1"/>
        <v>No order</v>
      </c>
    </row>
    <row r="38" spans="1:8" x14ac:dyDescent="0.2">
      <c r="A38" s="12">
        <v>9656</v>
      </c>
      <c r="B38" s="12" t="s">
        <v>158</v>
      </c>
      <c r="C38" s="12" t="s">
        <v>153</v>
      </c>
      <c r="D38" s="12" t="s">
        <v>112</v>
      </c>
      <c r="E38" s="13">
        <v>1823</v>
      </c>
      <c r="F38" s="22">
        <v>10</v>
      </c>
      <c r="G38" s="13">
        <f t="shared" si="0"/>
        <v>18230</v>
      </c>
      <c r="H38" s="12" t="str">
        <f t="shared" si="1"/>
        <v>yes</v>
      </c>
    </row>
    <row r="39" spans="1:8" x14ac:dyDescent="0.2">
      <c r="A39" s="12">
        <v>5410</v>
      </c>
      <c r="B39" s="12" t="s">
        <v>159</v>
      </c>
      <c r="C39" s="12" t="s">
        <v>113</v>
      </c>
      <c r="D39" s="12" t="s">
        <v>160</v>
      </c>
      <c r="E39" s="13">
        <v>1799</v>
      </c>
      <c r="F39" s="22">
        <v>3</v>
      </c>
      <c r="G39" s="13">
        <f t="shared" si="0"/>
        <v>5397</v>
      </c>
      <c r="H39" s="12" t="str">
        <f t="shared" si="1"/>
        <v>No order</v>
      </c>
    </row>
    <row r="40" spans="1:8" x14ac:dyDescent="0.2">
      <c r="A40" s="12">
        <v>2589</v>
      </c>
      <c r="B40" s="12" t="s">
        <v>159</v>
      </c>
      <c r="C40" s="12" t="s">
        <v>113</v>
      </c>
      <c r="D40" s="12" t="s">
        <v>160</v>
      </c>
      <c r="E40" s="13">
        <v>1329</v>
      </c>
      <c r="F40" s="22">
        <v>3</v>
      </c>
      <c r="G40" s="13">
        <f t="shared" si="0"/>
        <v>3987</v>
      </c>
      <c r="H40" s="12" t="str">
        <f t="shared" si="1"/>
        <v>No order</v>
      </c>
    </row>
    <row r="41" spans="1:8" x14ac:dyDescent="0.2">
      <c r="A41" s="12">
        <v>7541</v>
      </c>
      <c r="B41" s="12" t="s">
        <v>158</v>
      </c>
      <c r="C41" s="12" t="s">
        <v>153</v>
      </c>
      <c r="D41" s="12" t="s">
        <v>112</v>
      </c>
      <c r="E41" s="13">
        <v>1823</v>
      </c>
      <c r="F41" s="22">
        <v>18</v>
      </c>
      <c r="G41" s="13">
        <f t="shared" si="0"/>
        <v>32814</v>
      </c>
      <c r="H41" s="12" t="str">
        <f t="shared" si="1"/>
        <v>yes</v>
      </c>
    </row>
    <row r="42" spans="1:8" x14ac:dyDescent="0.2">
      <c r="A42" s="12">
        <v>5963</v>
      </c>
      <c r="B42" s="12" t="s">
        <v>155</v>
      </c>
      <c r="C42" s="12" t="s">
        <v>113</v>
      </c>
      <c r="D42" s="12" t="s">
        <v>156</v>
      </c>
      <c r="E42" s="13">
        <v>1702</v>
      </c>
      <c r="F42" s="22">
        <v>10</v>
      </c>
      <c r="G42" s="13">
        <f t="shared" si="0"/>
        <v>17020</v>
      </c>
      <c r="H42" s="12" t="str">
        <f t="shared" si="1"/>
        <v>yes</v>
      </c>
    </row>
    <row r="43" spans="1:8" x14ac:dyDescent="0.2">
      <c r="A43" s="12">
        <v>3695</v>
      </c>
      <c r="B43" s="12" t="s">
        <v>155</v>
      </c>
      <c r="C43" s="12" t="s">
        <v>113</v>
      </c>
      <c r="D43" s="12" t="s">
        <v>156</v>
      </c>
      <c r="E43" s="13">
        <v>1745</v>
      </c>
      <c r="F43" s="22">
        <v>6</v>
      </c>
      <c r="G43" s="13">
        <f t="shared" si="0"/>
        <v>10470</v>
      </c>
      <c r="H43" s="12" t="str">
        <f t="shared" si="1"/>
        <v>No order</v>
      </c>
    </row>
    <row r="44" spans="1:8" x14ac:dyDescent="0.2">
      <c r="A44" s="12">
        <v>4850</v>
      </c>
      <c r="B44" s="12" t="s">
        <v>150</v>
      </c>
      <c r="C44" s="12" t="s">
        <v>113</v>
      </c>
      <c r="D44" s="12" t="s">
        <v>151</v>
      </c>
      <c r="E44" s="13">
        <v>1876</v>
      </c>
      <c r="F44" s="22">
        <v>8</v>
      </c>
      <c r="G44" s="13">
        <f t="shared" si="0"/>
        <v>15008</v>
      </c>
      <c r="H44" s="12" t="str">
        <f t="shared" si="1"/>
        <v>No order</v>
      </c>
    </row>
    <row r="45" spans="1:8" x14ac:dyDescent="0.2">
      <c r="A45" s="12">
        <v>6420</v>
      </c>
      <c r="B45" s="12" t="s">
        <v>152</v>
      </c>
      <c r="C45" s="12" t="s">
        <v>153</v>
      </c>
      <c r="D45" s="12" t="s">
        <v>154</v>
      </c>
      <c r="E45" s="13">
        <v>1943</v>
      </c>
      <c r="F45" s="22">
        <v>4</v>
      </c>
      <c r="G45" s="13">
        <f t="shared" si="0"/>
        <v>7772</v>
      </c>
      <c r="H45" s="12" t="str">
        <f t="shared" si="1"/>
        <v>No order</v>
      </c>
    </row>
    <row r="46" spans="1:8" x14ac:dyDescent="0.2">
      <c r="A46" s="12">
        <v>5258</v>
      </c>
      <c r="B46" s="12" t="s">
        <v>155</v>
      </c>
      <c r="C46" s="12" t="s">
        <v>113</v>
      </c>
      <c r="D46" s="12" t="s">
        <v>156</v>
      </c>
      <c r="E46" s="13">
        <v>1978</v>
      </c>
      <c r="F46" s="22">
        <v>9</v>
      </c>
      <c r="G46" s="13">
        <f t="shared" si="0"/>
        <v>17802</v>
      </c>
      <c r="H46" s="12" t="str">
        <f t="shared" si="1"/>
        <v>yes</v>
      </c>
    </row>
    <row r="47" spans="1:8" x14ac:dyDescent="0.2">
      <c r="A47" s="12">
        <v>9465</v>
      </c>
      <c r="B47" s="12" t="s">
        <v>150</v>
      </c>
      <c r="C47" s="12" t="s">
        <v>110</v>
      </c>
      <c r="D47" s="12" t="s">
        <v>151</v>
      </c>
      <c r="E47" s="13">
        <v>1660</v>
      </c>
      <c r="F47" s="22">
        <v>15</v>
      </c>
      <c r="G47" s="13">
        <f t="shared" si="0"/>
        <v>24900</v>
      </c>
      <c r="H47" s="12" t="str">
        <f t="shared" si="1"/>
        <v>yes</v>
      </c>
    </row>
    <row r="48" spans="1:8" x14ac:dyDescent="0.2">
      <c r="A48" s="12">
        <v>2631</v>
      </c>
      <c r="B48" s="12" t="s">
        <v>158</v>
      </c>
      <c r="C48" s="12" t="s">
        <v>153</v>
      </c>
      <c r="D48" s="12" t="s">
        <v>112</v>
      </c>
      <c r="E48" s="13">
        <v>1975</v>
      </c>
      <c r="F48" s="22">
        <v>10</v>
      </c>
      <c r="G48" s="13">
        <f t="shared" si="0"/>
        <v>19750</v>
      </c>
      <c r="H48" s="12" t="str">
        <f t="shared" si="1"/>
        <v>yes</v>
      </c>
    </row>
    <row r="49" spans="1:8" x14ac:dyDescent="0.2">
      <c r="A49" s="12">
        <v>5748</v>
      </c>
      <c r="B49" s="12" t="s">
        <v>159</v>
      </c>
      <c r="C49" s="12" t="s">
        <v>113</v>
      </c>
      <c r="D49" s="12" t="s">
        <v>160</v>
      </c>
      <c r="E49" s="13">
        <v>1302</v>
      </c>
      <c r="F49" s="22">
        <v>5</v>
      </c>
      <c r="G49" s="13">
        <f t="shared" si="0"/>
        <v>6510</v>
      </c>
      <c r="H49" s="12" t="str">
        <f t="shared" si="1"/>
        <v>No order</v>
      </c>
    </row>
    <row r="50" spans="1:8" x14ac:dyDescent="0.2">
      <c r="A50" s="12">
        <v>8569</v>
      </c>
      <c r="B50" s="12" t="s">
        <v>159</v>
      </c>
      <c r="C50" s="12" t="s">
        <v>113</v>
      </c>
      <c r="D50" s="12" t="s">
        <v>160</v>
      </c>
      <c r="E50" s="13">
        <v>1360</v>
      </c>
      <c r="F50" s="22">
        <v>3</v>
      </c>
      <c r="G50" s="13">
        <f t="shared" si="0"/>
        <v>4080</v>
      </c>
      <c r="H50" s="12" t="str">
        <f t="shared" si="1"/>
        <v>No order</v>
      </c>
    </row>
    <row r="51" spans="1:8" x14ac:dyDescent="0.2">
      <c r="A51" s="12">
        <v>6945</v>
      </c>
      <c r="B51" s="12" t="s">
        <v>158</v>
      </c>
      <c r="C51" s="12" t="s">
        <v>153</v>
      </c>
      <c r="D51" s="12" t="s">
        <v>112</v>
      </c>
      <c r="E51" s="13">
        <v>1121</v>
      </c>
      <c r="F51" s="22">
        <v>18</v>
      </c>
      <c r="G51" s="13">
        <f t="shared" si="0"/>
        <v>20178</v>
      </c>
      <c r="H51" s="12" t="str">
        <f t="shared" si="1"/>
        <v>No order</v>
      </c>
    </row>
    <row r="52" spans="1:8" x14ac:dyDescent="0.2">
      <c r="A52" s="12">
        <v>6485</v>
      </c>
      <c r="B52" s="12" t="s">
        <v>155</v>
      </c>
      <c r="C52" s="12" t="s">
        <v>113</v>
      </c>
      <c r="D52" s="12" t="s">
        <v>156</v>
      </c>
      <c r="E52" s="13">
        <v>1437</v>
      </c>
      <c r="F52" s="22">
        <v>10</v>
      </c>
      <c r="G52" s="13">
        <f t="shared" si="0"/>
        <v>14370</v>
      </c>
      <c r="H52" s="12" t="str">
        <f t="shared" si="1"/>
        <v>No order</v>
      </c>
    </row>
    <row r="53" spans="1:8" x14ac:dyDescent="0.2">
      <c r="A53" s="12">
        <v>5812</v>
      </c>
      <c r="B53" s="12" t="s">
        <v>155</v>
      </c>
      <c r="C53" s="12" t="s">
        <v>113</v>
      </c>
      <c r="D53" s="12" t="s">
        <v>156</v>
      </c>
      <c r="E53" s="13">
        <v>1392</v>
      </c>
      <c r="F53" s="22">
        <v>6</v>
      </c>
      <c r="G53" s="13">
        <f t="shared" si="0"/>
        <v>8352</v>
      </c>
      <c r="H53" s="12" t="str">
        <f t="shared" si="1"/>
        <v>No order</v>
      </c>
    </row>
    <row r="54" spans="1:8" x14ac:dyDescent="0.2">
      <c r="A54" s="12">
        <v>6239</v>
      </c>
      <c r="B54" s="12" t="s">
        <v>150</v>
      </c>
      <c r="C54" s="12" t="s">
        <v>113</v>
      </c>
      <c r="D54" s="12" t="s">
        <v>151</v>
      </c>
      <c r="E54" s="13">
        <v>1847</v>
      </c>
      <c r="F54" s="22">
        <v>8</v>
      </c>
      <c r="G54" s="13">
        <f t="shared" si="0"/>
        <v>14776</v>
      </c>
      <c r="H54" s="12" t="str">
        <f t="shared" si="1"/>
        <v>No order</v>
      </c>
    </row>
    <row r="55" spans="1:8" x14ac:dyDescent="0.2">
      <c r="A55" s="12">
        <v>7985</v>
      </c>
      <c r="B55" s="12" t="s">
        <v>152</v>
      </c>
      <c r="C55" s="12" t="s">
        <v>153</v>
      </c>
      <c r="D55" s="12" t="s">
        <v>154</v>
      </c>
      <c r="E55" s="13">
        <v>1968</v>
      </c>
      <c r="F55" s="22">
        <v>4</v>
      </c>
      <c r="G55" s="13">
        <f t="shared" si="0"/>
        <v>7872</v>
      </c>
      <c r="H55" s="12" t="str">
        <f t="shared" si="1"/>
        <v>No order</v>
      </c>
    </row>
    <row r="56" spans="1:8" x14ac:dyDescent="0.2">
      <c r="A56" s="12">
        <v>9468</v>
      </c>
      <c r="B56" s="12" t="s">
        <v>155</v>
      </c>
      <c r="C56" s="12" t="s">
        <v>113</v>
      </c>
      <c r="D56" s="12" t="s">
        <v>156</v>
      </c>
      <c r="E56" s="13">
        <v>1102</v>
      </c>
      <c r="F56" s="22">
        <v>9</v>
      </c>
      <c r="G56" s="13">
        <f t="shared" si="0"/>
        <v>9918</v>
      </c>
      <c r="H56" s="12" t="str">
        <f t="shared" si="1"/>
        <v>No order</v>
      </c>
    </row>
    <row r="57" spans="1:8" x14ac:dyDescent="0.2">
      <c r="A57" s="12">
        <v>9560</v>
      </c>
      <c r="B57" s="12" t="s">
        <v>150</v>
      </c>
      <c r="C57" s="12" t="s">
        <v>110</v>
      </c>
      <c r="D57" s="12" t="s">
        <v>151</v>
      </c>
      <c r="E57" s="13">
        <v>1572</v>
      </c>
      <c r="F57" s="22">
        <v>15</v>
      </c>
      <c r="G57" s="13">
        <f t="shared" si="0"/>
        <v>23580</v>
      </c>
      <c r="H57" s="12" t="str">
        <f t="shared" si="1"/>
        <v>yes</v>
      </c>
    </row>
    <row r="58" spans="1:8" x14ac:dyDescent="0.2">
      <c r="A58" s="12">
        <v>5478</v>
      </c>
      <c r="B58" s="12" t="s">
        <v>158</v>
      </c>
      <c r="C58" s="12" t="s">
        <v>153</v>
      </c>
      <c r="D58" s="12" t="s">
        <v>112</v>
      </c>
      <c r="E58" s="13">
        <v>1210</v>
      </c>
      <c r="F58" s="22">
        <v>10</v>
      </c>
      <c r="G58" s="13">
        <f t="shared" si="0"/>
        <v>12100</v>
      </c>
      <c r="H58" s="12" t="str">
        <f t="shared" si="1"/>
        <v>No order</v>
      </c>
    </row>
    <row r="59" spans="1:8" x14ac:dyDescent="0.2">
      <c r="A59" s="12">
        <v>9563</v>
      </c>
      <c r="B59" s="12" t="s">
        <v>159</v>
      </c>
      <c r="C59" s="12" t="s">
        <v>113</v>
      </c>
      <c r="D59" s="12" t="s">
        <v>160</v>
      </c>
      <c r="E59" s="13">
        <v>1573</v>
      </c>
      <c r="F59" s="22">
        <v>5</v>
      </c>
      <c r="G59" s="13">
        <f t="shared" si="0"/>
        <v>7865</v>
      </c>
      <c r="H59" s="12" t="str">
        <f t="shared" si="1"/>
        <v>No order</v>
      </c>
    </row>
    <row r="60" spans="1:8" x14ac:dyDescent="0.2">
      <c r="A60" s="12">
        <v>3025</v>
      </c>
      <c r="B60" s="12" t="s">
        <v>159</v>
      </c>
      <c r="C60" s="12" t="s">
        <v>113</v>
      </c>
      <c r="D60" s="12" t="s">
        <v>160</v>
      </c>
      <c r="E60" s="13">
        <v>1188</v>
      </c>
      <c r="F60" s="22">
        <v>3</v>
      </c>
      <c r="G60" s="13">
        <f t="shared" si="0"/>
        <v>3564</v>
      </c>
      <c r="H60" s="12" t="str">
        <f t="shared" si="1"/>
        <v>No order</v>
      </c>
    </row>
    <row r="61" spans="1:8" x14ac:dyDescent="0.2">
      <c r="A61" s="12">
        <v>2500</v>
      </c>
      <c r="B61" s="12" t="s">
        <v>158</v>
      </c>
      <c r="C61" s="12" t="s">
        <v>153</v>
      </c>
      <c r="D61" s="12" t="s">
        <v>112</v>
      </c>
      <c r="E61" s="13">
        <v>1718</v>
      </c>
      <c r="F61" s="22">
        <v>18</v>
      </c>
      <c r="G61" s="13">
        <f t="shared" si="0"/>
        <v>30924</v>
      </c>
      <c r="H61" s="12" t="str">
        <f t="shared" si="1"/>
        <v>yes</v>
      </c>
    </row>
    <row r="62" spans="1:8" x14ac:dyDescent="0.2">
      <c r="A62" s="12">
        <v>6125</v>
      </c>
      <c r="B62" s="12" t="s">
        <v>155</v>
      </c>
      <c r="C62" s="12" t="s">
        <v>113</v>
      </c>
      <c r="D62" s="12" t="s">
        <v>156</v>
      </c>
      <c r="E62" s="13">
        <v>1462</v>
      </c>
      <c r="F62" s="22">
        <v>8</v>
      </c>
      <c r="G62" s="13">
        <f t="shared" si="0"/>
        <v>11696</v>
      </c>
      <c r="H62" s="12" t="str">
        <f t="shared" si="1"/>
        <v>No order</v>
      </c>
    </row>
    <row r="63" spans="1:8" x14ac:dyDescent="0.2">
      <c r="A63" s="12">
        <v>6200</v>
      </c>
      <c r="B63" s="12" t="s">
        <v>155</v>
      </c>
      <c r="C63" s="12" t="s">
        <v>113</v>
      </c>
      <c r="D63" s="12" t="s">
        <v>156</v>
      </c>
      <c r="E63" s="13">
        <v>1143</v>
      </c>
      <c r="F63" s="22">
        <v>4</v>
      </c>
      <c r="G63" s="13">
        <f t="shared" si="0"/>
        <v>4572</v>
      </c>
      <c r="H63" s="12" t="str">
        <f t="shared" si="1"/>
        <v>No order</v>
      </c>
    </row>
    <row r="64" spans="1:8" x14ac:dyDescent="0.2">
      <c r="A64" s="12">
        <v>5860</v>
      </c>
      <c r="B64" s="12" t="s">
        <v>150</v>
      </c>
      <c r="C64" s="12" t="s">
        <v>113</v>
      </c>
      <c r="D64" s="12" t="s">
        <v>151</v>
      </c>
      <c r="E64" s="13">
        <v>1102</v>
      </c>
      <c r="F64" s="22">
        <v>9</v>
      </c>
      <c r="G64" s="13">
        <f t="shared" si="0"/>
        <v>9918</v>
      </c>
      <c r="H64" s="12" t="str">
        <f t="shared" si="1"/>
        <v>No order</v>
      </c>
    </row>
    <row r="65" spans="1:8" x14ac:dyDescent="0.2">
      <c r="A65" s="12">
        <v>5896</v>
      </c>
      <c r="B65" s="12" t="s">
        <v>152</v>
      </c>
      <c r="C65" s="12" t="s">
        <v>153</v>
      </c>
      <c r="D65" s="12" t="s">
        <v>154</v>
      </c>
      <c r="E65" s="13">
        <v>1446</v>
      </c>
      <c r="F65" s="22">
        <v>15</v>
      </c>
      <c r="G65" s="13">
        <f t="shared" si="0"/>
        <v>21690</v>
      </c>
      <c r="H65" s="12" t="str">
        <f t="shared" si="1"/>
        <v>No order</v>
      </c>
    </row>
    <row r="66" spans="1:8" x14ac:dyDescent="0.2">
      <c r="A66" s="12">
        <v>6478</v>
      </c>
      <c r="B66" s="12" t="s">
        <v>155</v>
      </c>
      <c r="C66" s="12" t="s">
        <v>113</v>
      </c>
      <c r="D66" s="12" t="s">
        <v>156</v>
      </c>
      <c r="E66" s="13">
        <v>1978</v>
      </c>
      <c r="F66" s="22">
        <v>10</v>
      </c>
      <c r="G66" s="13">
        <f t="shared" si="0"/>
        <v>19780</v>
      </c>
      <c r="H66" s="12" t="str">
        <f t="shared" si="1"/>
        <v>yes</v>
      </c>
    </row>
    <row r="67" spans="1:8" x14ac:dyDescent="0.2">
      <c r="A67" s="12">
        <v>6923</v>
      </c>
      <c r="B67" s="12" t="s">
        <v>150</v>
      </c>
      <c r="C67" s="12" t="s">
        <v>110</v>
      </c>
      <c r="D67" s="12" t="s">
        <v>151</v>
      </c>
      <c r="E67" s="13">
        <v>1479</v>
      </c>
      <c r="F67" s="22">
        <v>6</v>
      </c>
      <c r="G67" s="13">
        <f t="shared" si="0"/>
        <v>8874</v>
      </c>
      <c r="H67" s="12" t="str">
        <f t="shared" si="1"/>
        <v>No order</v>
      </c>
    </row>
    <row r="68" spans="1:8" x14ac:dyDescent="0.2">
      <c r="A68" s="12">
        <v>6423</v>
      </c>
      <c r="B68" s="12" t="s">
        <v>158</v>
      </c>
      <c r="C68" s="12" t="s">
        <v>153</v>
      </c>
      <c r="D68" s="12" t="s">
        <v>112</v>
      </c>
      <c r="E68" s="13">
        <v>1107</v>
      </c>
      <c r="F68" s="22">
        <v>3</v>
      </c>
      <c r="G68" s="13">
        <f t="shared" si="0"/>
        <v>3321</v>
      </c>
      <c r="H68" s="12" t="str">
        <f t="shared" si="1"/>
        <v>No order</v>
      </c>
    </row>
    <row r="69" spans="1:8" x14ac:dyDescent="0.2">
      <c r="A69" s="12">
        <v>1589</v>
      </c>
      <c r="B69" s="12" t="s">
        <v>159</v>
      </c>
      <c r="C69" s="12" t="s">
        <v>113</v>
      </c>
      <c r="D69" s="12" t="s">
        <v>160</v>
      </c>
      <c r="E69" s="13">
        <v>1416</v>
      </c>
      <c r="F69" s="22">
        <v>2</v>
      </c>
      <c r="G69" s="13">
        <f t="shared" ref="G69:G91" si="2">E69*F69</f>
        <v>2832</v>
      </c>
      <c r="H69" s="12" t="str">
        <f t="shared" si="1"/>
        <v>No order</v>
      </c>
    </row>
    <row r="70" spans="1:8" x14ac:dyDescent="0.2">
      <c r="A70" s="12">
        <v>9456</v>
      </c>
      <c r="B70" s="12" t="s">
        <v>159</v>
      </c>
      <c r="C70" s="12" t="s">
        <v>113</v>
      </c>
      <c r="D70" s="12" t="s">
        <v>160</v>
      </c>
      <c r="E70" s="13">
        <v>1258</v>
      </c>
      <c r="F70" s="22">
        <v>5</v>
      </c>
      <c r="G70" s="13">
        <f t="shared" si="2"/>
        <v>6290</v>
      </c>
      <c r="H70" s="12" t="str">
        <f t="shared" ref="H70:H91" si="3">IF(AND(E70&gt;1500,F70&gt;8,G70&gt;15000),"yes","No order")</f>
        <v>No order</v>
      </c>
    </row>
    <row r="71" spans="1:8" x14ac:dyDescent="0.2">
      <c r="A71" s="12">
        <v>2587</v>
      </c>
      <c r="B71" s="12" t="s">
        <v>158</v>
      </c>
      <c r="C71" s="12" t="s">
        <v>153</v>
      </c>
      <c r="D71" s="12" t="s">
        <v>112</v>
      </c>
      <c r="E71" s="13">
        <v>1448</v>
      </c>
      <c r="F71" s="22">
        <v>6</v>
      </c>
      <c r="G71" s="13">
        <f t="shared" si="2"/>
        <v>8688</v>
      </c>
      <c r="H71" s="12" t="str">
        <f t="shared" si="3"/>
        <v>No order</v>
      </c>
    </row>
    <row r="72" spans="1:8" x14ac:dyDescent="0.2">
      <c r="A72" s="12">
        <v>4589</v>
      </c>
      <c r="B72" s="12" t="s">
        <v>155</v>
      </c>
      <c r="C72" s="12" t="s">
        <v>113</v>
      </c>
      <c r="D72" s="12" t="s">
        <v>156</v>
      </c>
      <c r="E72" s="13">
        <v>1511</v>
      </c>
      <c r="F72" s="22">
        <v>8</v>
      </c>
      <c r="G72" s="13">
        <f t="shared" si="2"/>
        <v>12088</v>
      </c>
      <c r="H72" s="12" t="str">
        <f t="shared" si="3"/>
        <v>No order</v>
      </c>
    </row>
    <row r="73" spans="1:8" x14ac:dyDescent="0.2">
      <c r="A73" s="12">
        <v>5693</v>
      </c>
      <c r="B73" s="12" t="s">
        <v>155</v>
      </c>
      <c r="C73" s="12" t="s">
        <v>113</v>
      </c>
      <c r="D73" s="12" t="s">
        <v>156</v>
      </c>
      <c r="E73" s="13">
        <v>1671</v>
      </c>
      <c r="F73" s="22">
        <v>4</v>
      </c>
      <c r="G73" s="13">
        <f t="shared" si="2"/>
        <v>6684</v>
      </c>
      <c r="H73" s="12" t="str">
        <f t="shared" si="3"/>
        <v>No order</v>
      </c>
    </row>
    <row r="74" spans="1:8" x14ac:dyDescent="0.2">
      <c r="A74" s="12">
        <v>1258</v>
      </c>
      <c r="B74" s="12" t="s">
        <v>150</v>
      </c>
      <c r="C74" s="12" t="s">
        <v>113</v>
      </c>
      <c r="D74" s="12" t="s">
        <v>151</v>
      </c>
      <c r="E74" s="13">
        <v>1621</v>
      </c>
      <c r="F74" s="22">
        <v>9</v>
      </c>
      <c r="G74" s="13">
        <f t="shared" si="2"/>
        <v>14589</v>
      </c>
      <c r="H74" s="12" t="str">
        <f t="shared" si="3"/>
        <v>No order</v>
      </c>
    </row>
    <row r="75" spans="1:8" x14ac:dyDescent="0.2">
      <c r="A75" s="12">
        <v>1236</v>
      </c>
      <c r="B75" s="12" t="s">
        <v>152</v>
      </c>
      <c r="C75" s="12" t="s">
        <v>153</v>
      </c>
      <c r="D75" s="12" t="s">
        <v>154</v>
      </c>
      <c r="E75" s="13">
        <v>1101</v>
      </c>
      <c r="F75" s="22">
        <v>15</v>
      </c>
      <c r="G75" s="13">
        <f t="shared" si="2"/>
        <v>16515</v>
      </c>
      <c r="H75" s="12" t="str">
        <f t="shared" si="3"/>
        <v>No order</v>
      </c>
    </row>
    <row r="76" spans="1:8" x14ac:dyDescent="0.2">
      <c r="A76" s="12">
        <v>4210</v>
      </c>
      <c r="B76" s="12" t="s">
        <v>155</v>
      </c>
      <c r="C76" s="12" t="s">
        <v>113</v>
      </c>
      <c r="D76" s="12" t="s">
        <v>156</v>
      </c>
      <c r="E76" s="13">
        <v>1237</v>
      </c>
      <c r="F76" s="22">
        <v>10</v>
      </c>
      <c r="G76" s="13">
        <f t="shared" si="2"/>
        <v>12370</v>
      </c>
      <c r="H76" s="12" t="str">
        <f t="shared" si="3"/>
        <v>No order</v>
      </c>
    </row>
    <row r="77" spans="1:8" x14ac:dyDescent="0.2">
      <c r="A77" s="12">
        <v>1500</v>
      </c>
      <c r="B77" s="12" t="s">
        <v>150</v>
      </c>
      <c r="C77" s="12" t="s">
        <v>110</v>
      </c>
      <c r="D77" s="12" t="s">
        <v>151</v>
      </c>
      <c r="E77" s="13">
        <v>1386</v>
      </c>
      <c r="F77" s="22">
        <v>6</v>
      </c>
      <c r="G77" s="13">
        <f t="shared" si="2"/>
        <v>8316</v>
      </c>
      <c r="H77" s="12" t="str">
        <f t="shared" si="3"/>
        <v>No order</v>
      </c>
    </row>
    <row r="78" spans="1:8" x14ac:dyDescent="0.2">
      <c r="A78" s="12">
        <v>2360</v>
      </c>
      <c r="B78" s="12" t="s">
        <v>158</v>
      </c>
      <c r="C78" s="12" t="s">
        <v>153</v>
      </c>
      <c r="D78" s="12" t="s">
        <v>112</v>
      </c>
      <c r="E78" s="13">
        <v>1370</v>
      </c>
      <c r="F78" s="22">
        <v>3</v>
      </c>
      <c r="G78" s="13">
        <f t="shared" si="2"/>
        <v>4110</v>
      </c>
      <c r="H78" s="12" t="str">
        <f t="shared" si="3"/>
        <v>No order</v>
      </c>
    </row>
    <row r="79" spans="1:8" x14ac:dyDescent="0.2">
      <c r="A79" s="12">
        <v>2485</v>
      </c>
      <c r="B79" s="12" t="s">
        <v>159</v>
      </c>
      <c r="C79" s="12" t="s">
        <v>113</v>
      </c>
      <c r="D79" s="12" t="s">
        <v>160</v>
      </c>
      <c r="E79" s="13">
        <v>1291</v>
      </c>
      <c r="F79" s="22">
        <v>2</v>
      </c>
      <c r="G79" s="13">
        <f t="shared" si="2"/>
        <v>2582</v>
      </c>
      <c r="H79" s="12" t="str">
        <f t="shared" si="3"/>
        <v>No order</v>
      </c>
    </row>
    <row r="80" spans="1:8" x14ac:dyDescent="0.2">
      <c r="A80" s="12">
        <v>2300</v>
      </c>
      <c r="B80" s="12" t="s">
        <v>159</v>
      </c>
      <c r="C80" s="12" t="s">
        <v>113</v>
      </c>
      <c r="D80" s="12" t="s">
        <v>160</v>
      </c>
      <c r="E80" s="13">
        <v>1256</v>
      </c>
      <c r="F80" s="22">
        <v>5</v>
      </c>
      <c r="G80" s="13">
        <f t="shared" si="2"/>
        <v>6280</v>
      </c>
      <c r="H80" s="12" t="str">
        <f t="shared" si="3"/>
        <v>No order</v>
      </c>
    </row>
    <row r="81" spans="1:8" x14ac:dyDescent="0.2">
      <c r="A81" s="12">
        <v>2580</v>
      </c>
      <c r="B81" s="12" t="s">
        <v>158</v>
      </c>
      <c r="C81" s="12" t="s">
        <v>153</v>
      </c>
      <c r="D81" s="12" t="s">
        <v>112</v>
      </c>
      <c r="E81" s="13">
        <v>1875</v>
      </c>
      <c r="F81" s="22">
        <v>6</v>
      </c>
      <c r="G81" s="13">
        <f t="shared" si="2"/>
        <v>11250</v>
      </c>
      <c r="H81" s="12" t="str">
        <f t="shared" si="3"/>
        <v>No order</v>
      </c>
    </row>
    <row r="82" spans="1:8" x14ac:dyDescent="0.2">
      <c r="A82" s="12">
        <v>3690</v>
      </c>
      <c r="B82" s="12" t="s">
        <v>155</v>
      </c>
      <c r="C82" s="12" t="s">
        <v>113</v>
      </c>
      <c r="D82" s="12" t="s">
        <v>156</v>
      </c>
      <c r="E82" s="13">
        <v>1951</v>
      </c>
      <c r="F82" s="22">
        <v>8</v>
      </c>
      <c r="G82" s="13">
        <f t="shared" si="2"/>
        <v>15608</v>
      </c>
      <c r="H82" s="12" t="str">
        <f t="shared" si="3"/>
        <v>No order</v>
      </c>
    </row>
    <row r="83" spans="1:8" x14ac:dyDescent="0.2">
      <c r="A83" s="12">
        <v>4620</v>
      </c>
      <c r="B83" s="12" t="s">
        <v>155</v>
      </c>
      <c r="C83" s="12" t="s">
        <v>113</v>
      </c>
      <c r="D83" s="12" t="s">
        <v>156</v>
      </c>
      <c r="E83" s="13">
        <v>1980</v>
      </c>
      <c r="F83" s="22">
        <v>4</v>
      </c>
      <c r="G83" s="13">
        <f t="shared" si="2"/>
        <v>7920</v>
      </c>
      <c r="H83" s="12" t="str">
        <f t="shared" si="3"/>
        <v>No order</v>
      </c>
    </row>
    <row r="84" spans="1:8" x14ac:dyDescent="0.2">
      <c r="A84" s="12">
        <v>5698</v>
      </c>
      <c r="B84" s="12" t="s">
        <v>150</v>
      </c>
      <c r="C84" s="12" t="s">
        <v>113</v>
      </c>
      <c r="D84" s="12" t="s">
        <v>151</v>
      </c>
      <c r="E84" s="13">
        <v>1560</v>
      </c>
      <c r="F84" s="22">
        <v>9</v>
      </c>
      <c r="G84" s="13">
        <f t="shared" si="2"/>
        <v>14040</v>
      </c>
      <c r="H84" s="12" t="str">
        <f t="shared" si="3"/>
        <v>No order</v>
      </c>
    </row>
    <row r="85" spans="1:8" x14ac:dyDescent="0.2">
      <c r="A85" s="12">
        <v>7452</v>
      </c>
      <c r="B85" s="12" t="s">
        <v>152</v>
      </c>
      <c r="C85" s="12" t="s">
        <v>153</v>
      </c>
      <c r="D85" s="12" t="s">
        <v>154</v>
      </c>
      <c r="E85" s="13">
        <v>1884</v>
      </c>
      <c r="F85" s="22">
        <v>15</v>
      </c>
      <c r="G85" s="13">
        <f t="shared" si="2"/>
        <v>28260</v>
      </c>
      <c r="H85" s="12" t="str">
        <f t="shared" si="3"/>
        <v>yes</v>
      </c>
    </row>
    <row r="86" spans="1:8" x14ac:dyDescent="0.2">
      <c r="A86" s="12">
        <v>6130</v>
      </c>
      <c r="B86" s="12" t="s">
        <v>155</v>
      </c>
      <c r="C86" s="12" t="s">
        <v>113</v>
      </c>
      <c r="D86" s="12" t="s">
        <v>156</v>
      </c>
      <c r="E86" s="13">
        <v>1749</v>
      </c>
      <c r="F86" s="22">
        <v>10</v>
      </c>
      <c r="G86" s="13">
        <f t="shared" si="2"/>
        <v>17490</v>
      </c>
      <c r="H86" s="12" t="str">
        <f t="shared" si="3"/>
        <v>yes</v>
      </c>
    </row>
    <row r="87" spans="1:8" x14ac:dyDescent="0.2">
      <c r="A87" s="12">
        <v>2563</v>
      </c>
      <c r="B87" s="12" t="s">
        <v>150</v>
      </c>
      <c r="C87" s="12" t="s">
        <v>110</v>
      </c>
      <c r="D87" s="12" t="s">
        <v>151</v>
      </c>
      <c r="E87" s="13">
        <v>1419</v>
      </c>
      <c r="F87" s="22">
        <v>6</v>
      </c>
      <c r="G87" s="13">
        <f t="shared" si="2"/>
        <v>8514</v>
      </c>
      <c r="H87" s="12" t="str">
        <f t="shared" si="3"/>
        <v>No order</v>
      </c>
    </row>
    <row r="88" spans="1:8" x14ac:dyDescent="0.2">
      <c r="A88" s="12">
        <v>6589</v>
      </c>
      <c r="B88" s="12" t="s">
        <v>158</v>
      </c>
      <c r="C88" s="12" t="s">
        <v>153</v>
      </c>
      <c r="D88" s="12" t="s">
        <v>112</v>
      </c>
      <c r="E88" s="13">
        <v>1898</v>
      </c>
      <c r="F88" s="22">
        <v>3</v>
      </c>
      <c r="G88" s="13">
        <f t="shared" si="2"/>
        <v>5694</v>
      </c>
      <c r="H88" s="12" t="str">
        <f t="shared" si="3"/>
        <v>No order</v>
      </c>
    </row>
    <row r="89" spans="1:8" x14ac:dyDescent="0.2">
      <c r="A89" s="12">
        <v>7451</v>
      </c>
      <c r="B89" s="12" t="s">
        <v>159</v>
      </c>
      <c r="C89" s="12" t="s">
        <v>113</v>
      </c>
      <c r="D89" s="12" t="s">
        <v>160</v>
      </c>
      <c r="E89" s="13">
        <v>1042</v>
      </c>
      <c r="F89" s="22">
        <v>3</v>
      </c>
      <c r="G89" s="13">
        <f t="shared" si="2"/>
        <v>3126</v>
      </c>
      <c r="H89" s="12" t="str">
        <f t="shared" si="3"/>
        <v>No order</v>
      </c>
    </row>
    <row r="90" spans="1:8" x14ac:dyDescent="0.2">
      <c r="A90" s="12">
        <v>2569</v>
      </c>
      <c r="B90" s="12" t="s">
        <v>159</v>
      </c>
      <c r="C90" s="12" t="s">
        <v>113</v>
      </c>
      <c r="D90" s="12" t="s">
        <v>160</v>
      </c>
      <c r="E90" s="13">
        <v>1867</v>
      </c>
      <c r="F90" s="22">
        <v>4</v>
      </c>
      <c r="G90" s="13">
        <f t="shared" si="2"/>
        <v>7468</v>
      </c>
      <c r="H90" s="12" t="str">
        <f t="shared" si="3"/>
        <v>No order</v>
      </c>
    </row>
    <row r="91" spans="1:8" x14ac:dyDescent="0.2">
      <c r="A91" s="12">
        <v>3125</v>
      </c>
      <c r="B91" s="12" t="s">
        <v>158</v>
      </c>
      <c r="C91" s="12" t="s">
        <v>153</v>
      </c>
      <c r="D91" s="12" t="s">
        <v>112</v>
      </c>
      <c r="E91" s="13">
        <v>1502</v>
      </c>
      <c r="F91" s="22">
        <v>6</v>
      </c>
      <c r="G91" s="13">
        <f t="shared" si="2"/>
        <v>9012</v>
      </c>
      <c r="H91" s="12" t="str">
        <f t="shared" si="3"/>
        <v>No order</v>
      </c>
    </row>
  </sheetData>
  <mergeCells count="1">
    <mergeCell ref="J6:R8"/>
  </mergeCells>
  <dataValidations count="3">
    <dataValidation type="custom" allowBlank="1" showInputMessage="1" showErrorMessage="1" sqref="A14:A23" xr:uid="{00000000-0002-0000-0200-000000000000}">
      <formula1>COUNTIF($A$4:$A$13,$A14)=1</formula1>
    </dataValidation>
    <dataValidation type="custom" allowBlank="1" showInputMessage="1" showErrorMessage="1" sqref="F4:F91" xr:uid="{00000000-0002-0000-0200-000001000000}">
      <formula1>F4&lt;&gt;0</formula1>
    </dataValidation>
    <dataValidation type="custom" allowBlank="1" showInputMessage="1" showErrorMessage="1" sqref="A4:A13" xr:uid="{00000000-0002-0000-0200-000002000000}">
      <formula1>COUNTIF($A$4:$A$13,A4)=1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2:N95"/>
  <sheetViews>
    <sheetView showGridLines="0" zoomScale="70" workbookViewId="0">
      <selection activeCell="D25" sqref="D25"/>
    </sheetView>
  </sheetViews>
  <sheetFormatPr defaultColWidth="9.953125" defaultRowHeight="15" x14ac:dyDescent="0.2"/>
  <cols>
    <col min="1" max="1" width="16.0078125" bestFit="1" customWidth="1"/>
    <col min="2" max="2" width="12.64453125" bestFit="1" customWidth="1"/>
    <col min="3" max="3" width="17.62109375" bestFit="1" customWidth="1"/>
    <col min="4" max="4" width="14.796875" style="9" customWidth="1"/>
    <col min="5" max="5" width="12.77734375" style="9" customWidth="1"/>
    <col min="6" max="6" width="14.796875" style="9" bestFit="1" customWidth="1"/>
    <col min="7" max="7" width="14.796875" customWidth="1"/>
    <col min="9" max="9" width="17.62109375" bestFit="1" customWidth="1"/>
    <col min="10" max="10" width="9.953125" bestFit="1" customWidth="1"/>
  </cols>
  <sheetData>
    <row r="2" spans="1:14" x14ac:dyDescent="0.2">
      <c r="A2" s="15" t="s">
        <v>161</v>
      </c>
      <c r="B2" s="15" t="s">
        <v>162</v>
      </c>
      <c r="C2" s="15" t="s">
        <v>163</v>
      </c>
      <c r="D2" s="16" t="s">
        <v>147</v>
      </c>
      <c r="E2" s="16" t="s">
        <v>100</v>
      </c>
      <c r="F2" s="16" t="s">
        <v>164</v>
      </c>
      <c r="G2" s="6"/>
      <c r="I2" s="15" t="s">
        <v>163</v>
      </c>
      <c r="J2" s="31" t="s">
        <v>100</v>
      </c>
    </row>
    <row r="3" spans="1:14" x14ac:dyDescent="0.2">
      <c r="A3" s="22">
        <v>35</v>
      </c>
      <c r="B3" s="24">
        <v>42856</v>
      </c>
      <c r="C3" s="22" t="s">
        <v>165</v>
      </c>
      <c r="D3" s="17">
        <v>2500</v>
      </c>
      <c r="E3" s="25">
        <f>IF(OR(C3="Mouse",C3="Keyboard",C3="CPU",C3="DVD"),D3*2%,0)</f>
        <v>0</v>
      </c>
      <c r="F3" s="17">
        <f>D3-E3</f>
        <v>2500</v>
      </c>
      <c r="G3" s="6"/>
      <c r="I3" s="22" t="s">
        <v>106</v>
      </c>
      <c r="J3" s="32" t="s">
        <v>166</v>
      </c>
    </row>
    <row r="4" spans="1:14" x14ac:dyDescent="0.2">
      <c r="A4" s="22">
        <v>36</v>
      </c>
      <c r="B4" s="24">
        <v>42858</v>
      </c>
      <c r="C4" s="22" t="s">
        <v>167</v>
      </c>
      <c r="D4" s="17">
        <v>680</v>
      </c>
      <c r="E4" s="25">
        <f>IF(OR(C4="Mouse",C4="Keyboard",C4="CPU",C4="DVD"),D4*2%,0)</f>
        <v>13.6</v>
      </c>
      <c r="F4" s="17">
        <f>D4-E4</f>
        <v>666.4</v>
      </c>
      <c r="G4" s="6"/>
      <c r="I4" s="22" t="s">
        <v>167</v>
      </c>
      <c r="J4" s="32" t="s">
        <v>166</v>
      </c>
    </row>
    <row r="5" spans="1:14" x14ac:dyDescent="0.2">
      <c r="A5" s="22">
        <v>37</v>
      </c>
      <c r="B5" s="24">
        <v>42864</v>
      </c>
      <c r="C5" s="22" t="s">
        <v>106</v>
      </c>
      <c r="D5" s="17">
        <v>260</v>
      </c>
      <c r="E5" s="25">
        <f t="shared" ref="E5:E68" si="0">IF(OR(C5="Mouse",C5="Keyboard",C5="CPU",C5="DVD"),D5*2%,0)</f>
        <v>5.2</v>
      </c>
      <c r="F5" s="17">
        <f t="shared" ref="F5:F68" si="1">D5-E5</f>
        <v>254.8</v>
      </c>
      <c r="G5" s="6"/>
      <c r="I5" s="22" t="s">
        <v>168</v>
      </c>
      <c r="J5" s="32" t="s">
        <v>166</v>
      </c>
    </row>
    <row r="6" spans="1:14" x14ac:dyDescent="0.2">
      <c r="A6" s="22">
        <v>38</v>
      </c>
      <c r="B6" s="24">
        <v>42870</v>
      </c>
      <c r="C6" s="22" t="s">
        <v>116</v>
      </c>
      <c r="D6" s="17">
        <v>4900</v>
      </c>
      <c r="E6" s="25">
        <f t="shared" si="0"/>
        <v>0</v>
      </c>
      <c r="F6" s="17">
        <f t="shared" si="1"/>
        <v>4900</v>
      </c>
      <c r="G6" s="6"/>
      <c r="I6" s="22" t="s">
        <v>169</v>
      </c>
      <c r="J6" s="32" t="s">
        <v>166</v>
      </c>
    </row>
    <row r="7" spans="1:14" x14ac:dyDescent="0.2">
      <c r="A7" s="22">
        <v>39</v>
      </c>
      <c r="B7" s="24">
        <v>42874</v>
      </c>
      <c r="C7" s="22" t="s">
        <v>104</v>
      </c>
      <c r="D7" s="17">
        <v>2370</v>
      </c>
      <c r="E7" s="25">
        <f t="shared" si="0"/>
        <v>0</v>
      </c>
      <c r="F7" s="17">
        <f t="shared" si="1"/>
        <v>2370</v>
      </c>
      <c r="G7" s="6"/>
      <c r="I7" s="5"/>
    </row>
    <row r="8" spans="1:14" x14ac:dyDescent="0.2">
      <c r="A8" s="22">
        <v>40</v>
      </c>
      <c r="B8" s="24">
        <v>42858</v>
      </c>
      <c r="C8" s="22" t="s">
        <v>168</v>
      </c>
      <c r="D8" s="17">
        <v>5500</v>
      </c>
      <c r="E8" s="25">
        <f t="shared" si="0"/>
        <v>110</v>
      </c>
      <c r="F8" s="17">
        <f t="shared" si="1"/>
        <v>5390</v>
      </c>
      <c r="G8" s="6"/>
      <c r="I8" s="5"/>
    </row>
    <row r="9" spans="1:14" x14ac:dyDescent="0.2">
      <c r="A9" s="22">
        <v>41</v>
      </c>
      <c r="B9" s="24">
        <v>42864</v>
      </c>
      <c r="C9" s="22" t="s">
        <v>170</v>
      </c>
      <c r="D9" s="17">
        <v>540</v>
      </c>
      <c r="E9" s="25">
        <f t="shared" si="0"/>
        <v>0</v>
      </c>
      <c r="F9" s="17">
        <f t="shared" si="1"/>
        <v>540</v>
      </c>
      <c r="G9" s="6"/>
      <c r="I9" s="34" t="s">
        <v>171</v>
      </c>
      <c r="J9" s="34"/>
      <c r="K9" s="34"/>
      <c r="L9" s="34"/>
      <c r="M9" s="34"/>
      <c r="N9" s="34"/>
    </row>
    <row r="10" spans="1:14" x14ac:dyDescent="0.2">
      <c r="A10" s="22">
        <v>42</v>
      </c>
      <c r="B10" s="24">
        <v>42858</v>
      </c>
      <c r="C10" s="22" t="s">
        <v>169</v>
      </c>
      <c r="D10" s="17">
        <v>975</v>
      </c>
      <c r="E10" s="25">
        <f t="shared" si="0"/>
        <v>19.5</v>
      </c>
      <c r="F10" s="17">
        <f t="shared" si="1"/>
        <v>955.5</v>
      </c>
      <c r="G10" s="6"/>
      <c r="I10" s="34"/>
      <c r="J10" s="34"/>
      <c r="K10" s="34"/>
      <c r="L10" s="34"/>
      <c r="M10" s="34"/>
      <c r="N10" s="34"/>
    </row>
    <row r="11" spans="1:14" x14ac:dyDescent="0.2">
      <c r="A11" s="22">
        <v>43</v>
      </c>
      <c r="B11" s="24">
        <v>42874</v>
      </c>
      <c r="C11" s="22" t="s">
        <v>172</v>
      </c>
      <c r="D11" s="17">
        <v>1800</v>
      </c>
      <c r="E11" s="25">
        <f t="shared" si="0"/>
        <v>0</v>
      </c>
      <c r="F11" s="17">
        <f t="shared" si="1"/>
        <v>1800</v>
      </c>
      <c r="G11" s="6"/>
      <c r="I11" s="34"/>
      <c r="J11" s="34"/>
      <c r="K11" s="34"/>
      <c r="L11" s="34"/>
      <c r="M11" s="34"/>
      <c r="N11" s="34"/>
    </row>
    <row r="12" spans="1:14" x14ac:dyDescent="0.2">
      <c r="A12" s="22">
        <v>44</v>
      </c>
      <c r="B12" s="24">
        <v>42858</v>
      </c>
      <c r="C12" s="22" t="s">
        <v>173</v>
      </c>
      <c r="D12" s="17">
        <v>10912</v>
      </c>
      <c r="E12" s="25">
        <f t="shared" si="0"/>
        <v>0</v>
      </c>
      <c r="F12" s="17">
        <f t="shared" si="1"/>
        <v>10912</v>
      </c>
      <c r="G12" s="6"/>
      <c r="I12" s="5"/>
    </row>
    <row r="13" spans="1:14" x14ac:dyDescent="0.2">
      <c r="A13" s="22">
        <v>45</v>
      </c>
      <c r="B13" s="24">
        <v>42856</v>
      </c>
      <c r="C13" s="22" t="s">
        <v>165</v>
      </c>
      <c r="D13" s="17">
        <v>2500</v>
      </c>
      <c r="E13" s="25">
        <f t="shared" si="0"/>
        <v>0</v>
      </c>
      <c r="F13" s="17">
        <f t="shared" si="1"/>
        <v>2500</v>
      </c>
      <c r="G13" s="6"/>
    </row>
    <row r="14" spans="1:14" x14ac:dyDescent="0.2">
      <c r="A14" s="22">
        <v>46</v>
      </c>
      <c r="B14" s="24">
        <v>42858</v>
      </c>
      <c r="C14" s="22" t="s">
        <v>167</v>
      </c>
      <c r="D14" s="17">
        <v>680</v>
      </c>
      <c r="E14" s="25">
        <f t="shared" si="0"/>
        <v>13.6</v>
      </c>
      <c r="F14" s="17">
        <f t="shared" si="1"/>
        <v>666.4</v>
      </c>
      <c r="G14" s="6"/>
    </row>
    <row r="15" spans="1:14" x14ac:dyDescent="0.2">
      <c r="A15" s="22">
        <v>47</v>
      </c>
      <c r="B15" s="24">
        <v>42864</v>
      </c>
      <c r="C15" s="22" t="s">
        <v>106</v>
      </c>
      <c r="D15" s="17">
        <v>260</v>
      </c>
      <c r="E15" s="25">
        <f t="shared" si="0"/>
        <v>5.2</v>
      </c>
      <c r="F15" s="17">
        <f t="shared" si="1"/>
        <v>254.8</v>
      </c>
      <c r="G15" s="6"/>
    </row>
    <row r="16" spans="1:14" x14ac:dyDescent="0.2">
      <c r="A16" s="22">
        <v>48</v>
      </c>
      <c r="B16" s="24">
        <v>42870</v>
      </c>
      <c r="C16" s="22" t="s">
        <v>116</v>
      </c>
      <c r="D16" s="17">
        <v>4900</v>
      </c>
      <c r="E16" s="25">
        <f t="shared" si="0"/>
        <v>0</v>
      </c>
      <c r="F16" s="17">
        <f t="shared" si="1"/>
        <v>4900</v>
      </c>
      <c r="G16" s="6"/>
    </row>
    <row r="17" spans="1:9" x14ac:dyDescent="0.2">
      <c r="A17" s="22">
        <v>49</v>
      </c>
      <c r="B17" s="24">
        <v>42874</v>
      </c>
      <c r="C17" s="22" t="s">
        <v>104</v>
      </c>
      <c r="D17" s="17">
        <v>2370</v>
      </c>
      <c r="E17" s="25">
        <f t="shared" si="0"/>
        <v>0</v>
      </c>
      <c r="F17" s="17">
        <f t="shared" si="1"/>
        <v>2370</v>
      </c>
      <c r="G17" s="6"/>
    </row>
    <row r="18" spans="1:9" x14ac:dyDescent="0.2">
      <c r="A18" s="22">
        <v>50</v>
      </c>
      <c r="B18" s="24">
        <v>42858</v>
      </c>
      <c r="C18" s="22" t="s">
        <v>168</v>
      </c>
      <c r="D18" s="17">
        <v>5500</v>
      </c>
      <c r="E18" s="25">
        <f t="shared" si="0"/>
        <v>110</v>
      </c>
      <c r="F18" s="17">
        <f t="shared" si="1"/>
        <v>5390</v>
      </c>
      <c r="G18" s="6"/>
    </row>
    <row r="19" spans="1:9" x14ac:dyDescent="0.2">
      <c r="A19" s="22">
        <v>51</v>
      </c>
      <c r="B19" s="24">
        <v>42864</v>
      </c>
      <c r="C19" s="22" t="s">
        <v>170</v>
      </c>
      <c r="D19" s="17">
        <v>540</v>
      </c>
      <c r="E19" s="25">
        <f t="shared" si="0"/>
        <v>0</v>
      </c>
      <c r="F19" s="17">
        <f t="shared" si="1"/>
        <v>540</v>
      </c>
      <c r="G19" s="6"/>
    </row>
    <row r="20" spans="1:9" x14ac:dyDescent="0.2">
      <c r="A20" s="22">
        <v>52</v>
      </c>
      <c r="B20" s="24">
        <v>42858</v>
      </c>
      <c r="C20" s="22" t="s">
        <v>169</v>
      </c>
      <c r="D20" s="17">
        <v>975</v>
      </c>
      <c r="E20" s="25">
        <f t="shared" si="0"/>
        <v>19.5</v>
      </c>
      <c r="F20" s="17">
        <f t="shared" si="1"/>
        <v>955.5</v>
      </c>
      <c r="G20" s="6"/>
    </row>
    <row r="21" spans="1:9" x14ac:dyDescent="0.2">
      <c r="A21" s="22">
        <v>53</v>
      </c>
      <c r="B21" s="24">
        <v>42874</v>
      </c>
      <c r="C21" s="22" t="s">
        <v>172</v>
      </c>
      <c r="D21" s="17">
        <v>1800</v>
      </c>
      <c r="E21" s="25">
        <f t="shared" si="0"/>
        <v>0</v>
      </c>
      <c r="F21" s="17">
        <f t="shared" si="1"/>
        <v>1800</v>
      </c>
      <c r="G21" s="6"/>
    </row>
    <row r="22" spans="1:9" x14ac:dyDescent="0.2">
      <c r="A22" s="22">
        <v>54</v>
      </c>
      <c r="B22" s="24">
        <v>42858</v>
      </c>
      <c r="C22" s="22" t="s">
        <v>173</v>
      </c>
      <c r="D22" s="17">
        <v>10912</v>
      </c>
      <c r="E22" s="25">
        <f t="shared" si="0"/>
        <v>0</v>
      </c>
      <c r="F22" s="17">
        <f t="shared" si="1"/>
        <v>10912</v>
      </c>
      <c r="G22" s="6"/>
    </row>
    <row r="23" spans="1:9" x14ac:dyDescent="0.2">
      <c r="A23" s="22">
        <v>55</v>
      </c>
      <c r="B23" s="24">
        <v>42856</v>
      </c>
      <c r="C23" s="22" t="s">
        <v>165</v>
      </c>
      <c r="D23" s="17">
        <v>2500</v>
      </c>
      <c r="E23" s="25">
        <f t="shared" si="0"/>
        <v>0</v>
      </c>
      <c r="F23" s="17">
        <f t="shared" si="1"/>
        <v>2500</v>
      </c>
      <c r="G23" s="6"/>
    </row>
    <row r="24" spans="1:9" x14ac:dyDescent="0.2">
      <c r="A24" s="22">
        <v>56</v>
      </c>
      <c r="B24" s="24">
        <v>42858</v>
      </c>
      <c r="C24" s="22" t="s">
        <v>167</v>
      </c>
      <c r="D24" s="17">
        <v>680</v>
      </c>
      <c r="E24" s="25">
        <f t="shared" si="0"/>
        <v>13.6</v>
      </c>
      <c r="F24" s="17">
        <f t="shared" si="1"/>
        <v>666.4</v>
      </c>
      <c r="G24" s="6"/>
      <c r="I24" s="6"/>
    </row>
    <row r="25" spans="1:9" x14ac:dyDescent="0.2">
      <c r="A25" s="22">
        <v>57</v>
      </c>
      <c r="B25" s="24">
        <v>42864</v>
      </c>
      <c r="C25" s="22" t="s">
        <v>106</v>
      </c>
      <c r="D25" s="17">
        <v>260</v>
      </c>
      <c r="E25" s="25">
        <f t="shared" si="0"/>
        <v>5.2</v>
      </c>
      <c r="F25" s="17">
        <f t="shared" si="1"/>
        <v>254.8</v>
      </c>
      <c r="G25" s="6"/>
    </row>
    <row r="26" spans="1:9" x14ac:dyDescent="0.2">
      <c r="A26" s="22">
        <v>58</v>
      </c>
      <c r="B26" s="24">
        <v>42870</v>
      </c>
      <c r="C26" s="22" t="s">
        <v>116</v>
      </c>
      <c r="D26" s="17">
        <v>4900</v>
      </c>
      <c r="E26" s="25">
        <f t="shared" si="0"/>
        <v>0</v>
      </c>
      <c r="F26" s="17">
        <f t="shared" si="1"/>
        <v>4900</v>
      </c>
      <c r="G26" s="6"/>
    </row>
    <row r="27" spans="1:9" x14ac:dyDescent="0.2">
      <c r="A27" s="22">
        <v>59</v>
      </c>
      <c r="B27" s="24">
        <v>42874</v>
      </c>
      <c r="C27" s="22" t="s">
        <v>104</v>
      </c>
      <c r="D27" s="17">
        <v>2370</v>
      </c>
      <c r="E27" s="25">
        <f t="shared" si="0"/>
        <v>0</v>
      </c>
      <c r="F27" s="17">
        <f t="shared" si="1"/>
        <v>2370</v>
      </c>
      <c r="G27" s="6"/>
    </row>
    <row r="28" spans="1:9" x14ac:dyDescent="0.2">
      <c r="A28" s="22">
        <v>60</v>
      </c>
      <c r="B28" s="24">
        <v>42858</v>
      </c>
      <c r="C28" s="22" t="s">
        <v>168</v>
      </c>
      <c r="D28" s="17">
        <v>5500</v>
      </c>
      <c r="E28" s="25">
        <f t="shared" si="0"/>
        <v>110</v>
      </c>
      <c r="F28" s="17">
        <f t="shared" si="1"/>
        <v>5390</v>
      </c>
      <c r="G28" s="6"/>
    </row>
    <row r="29" spans="1:9" x14ac:dyDescent="0.2">
      <c r="A29" s="22">
        <v>61</v>
      </c>
      <c r="B29" s="24">
        <v>42864</v>
      </c>
      <c r="C29" s="22" t="s">
        <v>170</v>
      </c>
      <c r="D29" s="17">
        <v>540</v>
      </c>
      <c r="E29" s="25">
        <f t="shared" si="0"/>
        <v>0</v>
      </c>
      <c r="F29" s="17">
        <f t="shared" si="1"/>
        <v>540</v>
      </c>
      <c r="G29" s="6"/>
    </row>
    <row r="30" spans="1:9" x14ac:dyDescent="0.2">
      <c r="A30" s="22">
        <v>62</v>
      </c>
      <c r="B30" s="24">
        <v>42858</v>
      </c>
      <c r="C30" s="22" t="s">
        <v>169</v>
      </c>
      <c r="D30" s="17">
        <v>975</v>
      </c>
      <c r="E30" s="25">
        <f t="shared" si="0"/>
        <v>19.5</v>
      </c>
      <c r="F30" s="17">
        <f t="shared" si="1"/>
        <v>955.5</v>
      </c>
      <c r="G30" s="6"/>
    </row>
    <row r="31" spans="1:9" x14ac:dyDescent="0.2">
      <c r="A31" s="22">
        <v>63</v>
      </c>
      <c r="B31" s="24">
        <v>42874</v>
      </c>
      <c r="C31" s="22" t="s">
        <v>172</v>
      </c>
      <c r="D31" s="17">
        <v>1800</v>
      </c>
      <c r="E31" s="25">
        <f t="shared" si="0"/>
        <v>0</v>
      </c>
      <c r="F31" s="17">
        <f t="shared" si="1"/>
        <v>1800</v>
      </c>
      <c r="G31" s="6"/>
    </row>
    <row r="32" spans="1:9" x14ac:dyDescent="0.2">
      <c r="A32" s="22">
        <v>64</v>
      </c>
      <c r="B32" s="24">
        <v>42858</v>
      </c>
      <c r="C32" s="22" t="s">
        <v>173</v>
      </c>
      <c r="D32" s="17">
        <v>10912</v>
      </c>
      <c r="E32" s="25">
        <f t="shared" si="0"/>
        <v>0</v>
      </c>
      <c r="F32" s="17">
        <f t="shared" si="1"/>
        <v>10912</v>
      </c>
      <c r="G32" s="6"/>
    </row>
    <row r="33" spans="1:7" x14ac:dyDescent="0.2">
      <c r="A33" s="22">
        <v>65</v>
      </c>
      <c r="B33" s="24">
        <v>42856</v>
      </c>
      <c r="C33" s="22" t="s">
        <v>165</v>
      </c>
      <c r="D33" s="17">
        <v>2500</v>
      </c>
      <c r="E33" s="25">
        <f t="shared" si="0"/>
        <v>0</v>
      </c>
      <c r="F33" s="17">
        <f t="shared" si="1"/>
        <v>2500</v>
      </c>
      <c r="G33" s="6"/>
    </row>
    <row r="34" spans="1:7" x14ac:dyDescent="0.2">
      <c r="A34" s="22">
        <v>66</v>
      </c>
      <c r="B34" s="24">
        <v>42858</v>
      </c>
      <c r="C34" s="22" t="s">
        <v>167</v>
      </c>
      <c r="D34" s="17">
        <v>680</v>
      </c>
      <c r="E34" s="25">
        <f t="shared" si="0"/>
        <v>13.6</v>
      </c>
      <c r="F34" s="17">
        <f t="shared" si="1"/>
        <v>666.4</v>
      </c>
      <c r="G34" s="6"/>
    </row>
    <row r="35" spans="1:7" x14ac:dyDescent="0.2">
      <c r="A35" s="22">
        <v>67</v>
      </c>
      <c r="B35" s="24">
        <v>42864</v>
      </c>
      <c r="C35" s="22" t="s">
        <v>106</v>
      </c>
      <c r="D35" s="17">
        <v>260</v>
      </c>
      <c r="E35" s="25">
        <f t="shared" si="0"/>
        <v>5.2</v>
      </c>
      <c r="F35" s="17">
        <f t="shared" si="1"/>
        <v>254.8</v>
      </c>
      <c r="G35" s="6"/>
    </row>
    <row r="36" spans="1:7" x14ac:dyDescent="0.2">
      <c r="A36" s="22">
        <v>68</v>
      </c>
      <c r="B36" s="24">
        <v>42870</v>
      </c>
      <c r="C36" s="22" t="s">
        <v>116</v>
      </c>
      <c r="D36" s="17">
        <v>4900</v>
      </c>
      <c r="E36" s="25">
        <f t="shared" si="0"/>
        <v>0</v>
      </c>
      <c r="F36" s="17">
        <f t="shared" si="1"/>
        <v>4900</v>
      </c>
      <c r="G36" s="6"/>
    </row>
    <row r="37" spans="1:7" x14ac:dyDescent="0.2">
      <c r="A37" s="22">
        <v>69</v>
      </c>
      <c r="B37" s="24">
        <v>42874</v>
      </c>
      <c r="C37" s="22" t="s">
        <v>104</v>
      </c>
      <c r="D37" s="17">
        <v>2370</v>
      </c>
      <c r="E37" s="25">
        <f t="shared" si="0"/>
        <v>0</v>
      </c>
      <c r="F37" s="17">
        <f t="shared" si="1"/>
        <v>2370</v>
      </c>
      <c r="G37" s="6"/>
    </row>
    <row r="38" spans="1:7" x14ac:dyDescent="0.2">
      <c r="A38" s="22">
        <v>70</v>
      </c>
      <c r="B38" s="24">
        <v>42858</v>
      </c>
      <c r="C38" s="22" t="s">
        <v>168</v>
      </c>
      <c r="D38" s="17">
        <v>5500</v>
      </c>
      <c r="E38" s="25">
        <f t="shared" si="0"/>
        <v>110</v>
      </c>
      <c r="F38" s="17">
        <f t="shared" si="1"/>
        <v>5390</v>
      </c>
      <c r="G38" s="6"/>
    </row>
    <row r="39" spans="1:7" x14ac:dyDescent="0.2">
      <c r="A39" s="22">
        <v>71</v>
      </c>
      <c r="B39" s="24">
        <v>42864</v>
      </c>
      <c r="C39" s="22" t="s">
        <v>170</v>
      </c>
      <c r="D39" s="17">
        <v>540</v>
      </c>
      <c r="E39" s="25">
        <f t="shared" si="0"/>
        <v>0</v>
      </c>
      <c r="F39" s="17">
        <f t="shared" si="1"/>
        <v>540</v>
      </c>
      <c r="G39" s="6"/>
    </row>
    <row r="40" spans="1:7" x14ac:dyDescent="0.2">
      <c r="A40" s="22">
        <v>72</v>
      </c>
      <c r="B40" s="24">
        <v>42858</v>
      </c>
      <c r="C40" s="22" t="s">
        <v>169</v>
      </c>
      <c r="D40" s="17">
        <v>975</v>
      </c>
      <c r="E40" s="25">
        <f t="shared" si="0"/>
        <v>19.5</v>
      </c>
      <c r="F40" s="17">
        <f t="shared" si="1"/>
        <v>955.5</v>
      </c>
      <c r="G40" s="6"/>
    </row>
    <row r="41" spans="1:7" x14ac:dyDescent="0.2">
      <c r="A41" s="22">
        <v>73</v>
      </c>
      <c r="B41" s="24">
        <v>42874</v>
      </c>
      <c r="C41" s="22" t="s">
        <v>172</v>
      </c>
      <c r="D41" s="17">
        <v>1800</v>
      </c>
      <c r="E41" s="25">
        <f t="shared" si="0"/>
        <v>0</v>
      </c>
      <c r="F41" s="17">
        <f t="shared" si="1"/>
        <v>1800</v>
      </c>
      <c r="G41" s="6"/>
    </row>
    <row r="42" spans="1:7" x14ac:dyDescent="0.2">
      <c r="A42" s="22">
        <v>74</v>
      </c>
      <c r="B42" s="24">
        <v>42858</v>
      </c>
      <c r="C42" s="22" t="s">
        <v>173</v>
      </c>
      <c r="D42" s="17">
        <v>10912</v>
      </c>
      <c r="E42" s="25">
        <f t="shared" si="0"/>
        <v>0</v>
      </c>
      <c r="F42" s="17">
        <f t="shared" si="1"/>
        <v>10912</v>
      </c>
      <c r="G42" s="6"/>
    </row>
    <row r="43" spans="1:7" x14ac:dyDescent="0.2">
      <c r="A43" s="22">
        <v>75</v>
      </c>
      <c r="B43" s="24">
        <v>42856</v>
      </c>
      <c r="C43" s="22" t="s">
        <v>165</v>
      </c>
      <c r="D43" s="17">
        <v>2500</v>
      </c>
      <c r="E43" s="25">
        <f t="shared" si="0"/>
        <v>0</v>
      </c>
      <c r="F43" s="17">
        <f t="shared" si="1"/>
        <v>2500</v>
      </c>
      <c r="G43" s="6"/>
    </row>
    <row r="44" spans="1:7" x14ac:dyDescent="0.2">
      <c r="A44" s="22">
        <v>76</v>
      </c>
      <c r="B44" s="24">
        <v>42858</v>
      </c>
      <c r="C44" s="22" t="s">
        <v>167</v>
      </c>
      <c r="D44" s="17">
        <v>680</v>
      </c>
      <c r="E44" s="25">
        <f t="shared" si="0"/>
        <v>13.6</v>
      </c>
      <c r="F44" s="17">
        <f t="shared" si="1"/>
        <v>666.4</v>
      </c>
      <c r="G44" s="6"/>
    </row>
    <row r="45" spans="1:7" x14ac:dyDescent="0.2">
      <c r="A45" s="22">
        <v>77</v>
      </c>
      <c r="B45" s="24">
        <v>42864</v>
      </c>
      <c r="C45" s="22" t="s">
        <v>106</v>
      </c>
      <c r="D45" s="17">
        <v>260</v>
      </c>
      <c r="E45" s="25">
        <f t="shared" si="0"/>
        <v>5.2</v>
      </c>
      <c r="F45" s="17">
        <f t="shared" si="1"/>
        <v>254.8</v>
      </c>
      <c r="G45" s="6"/>
    </row>
    <row r="46" spans="1:7" x14ac:dyDescent="0.2">
      <c r="A46" s="22">
        <v>78</v>
      </c>
      <c r="B46" s="24">
        <v>42870</v>
      </c>
      <c r="C46" s="22" t="s">
        <v>116</v>
      </c>
      <c r="D46" s="17">
        <v>4900</v>
      </c>
      <c r="E46" s="25">
        <f t="shared" si="0"/>
        <v>0</v>
      </c>
      <c r="F46" s="17">
        <f t="shared" si="1"/>
        <v>4900</v>
      </c>
      <c r="G46" s="6"/>
    </row>
    <row r="47" spans="1:7" x14ac:dyDescent="0.2">
      <c r="A47" s="22">
        <v>79</v>
      </c>
      <c r="B47" s="24">
        <v>42874</v>
      </c>
      <c r="C47" s="22" t="s">
        <v>104</v>
      </c>
      <c r="D47" s="17">
        <v>2370</v>
      </c>
      <c r="E47" s="25">
        <f t="shared" si="0"/>
        <v>0</v>
      </c>
      <c r="F47" s="17">
        <f t="shared" si="1"/>
        <v>2370</v>
      </c>
      <c r="G47" s="6"/>
    </row>
    <row r="48" spans="1:7" x14ac:dyDescent="0.2">
      <c r="A48" s="22">
        <v>80</v>
      </c>
      <c r="B48" s="24">
        <v>42858</v>
      </c>
      <c r="C48" s="22" t="s">
        <v>168</v>
      </c>
      <c r="D48" s="17">
        <v>5500</v>
      </c>
      <c r="E48" s="25">
        <f t="shared" si="0"/>
        <v>110</v>
      </c>
      <c r="F48" s="17">
        <f t="shared" si="1"/>
        <v>5390</v>
      </c>
      <c r="G48" s="6"/>
    </row>
    <row r="49" spans="1:7" x14ac:dyDescent="0.2">
      <c r="A49" s="22">
        <v>81</v>
      </c>
      <c r="B49" s="24">
        <v>42864</v>
      </c>
      <c r="C49" s="22" t="s">
        <v>170</v>
      </c>
      <c r="D49" s="17">
        <v>540</v>
      </c>
      <c r="E49" s="25">
        <f t="shared" si="0"/>
        <v>0</v>
      </c>
      <c r="F49" s="17">
        <f t="shared" si="1"/>
        <v>540</v>
      </c>
      <c r="G49" s="6"/>
    </row>
    <row r="50" spans="1:7" x14ac:dyDescent="0.2">
      <c r="A50" s="22">
        <v>82</v>
      </c>
      <c r="B50" s="24">
        <v>42858</v>
      </c>
      <c r="C50" s="22" t="s">
        <v>169</v>
      </c>
      <c r="D50" s="17">
        <v>975</v>
      </c>
      <c r="E50" s="25">
        <f t="shared" si="0"/>
        <v>19.5</v>
      </c>
      <c r="F50" s="17">
        <f t="shared" si="1"/>
        <v>955.5</v>
      </c>
      <c r="G50" s="6"/>
    </row>
    <row r="51" spans="1:7" x14ac:dyDescent="0.2">
      <c r="A51" s="22">
        <v>83</v>
      </c>
      <c r="B51" s="24">
        <v>42874</v>
      </c>
      <c r="C51" s="22" t="s">
        <v>172</v>
      </c>
      <c r="D51" s="17">
        <v>1800</v>
      </c>
      <c r="E51" s="25">
        <f t="shared" si="0"/>
        <v>0</v>
      </c>
      <c r="F51" s="17">
        <f t="shared" si="1"/>
        <v>1800</v>
      </c>
      <c r="G51" s="6"/>
    </row>
    <row r="52" spans="1:7" x14ac:dyDescent="0.2">
      <c r="A52" s="22">
        <v>84</v>
      </c>
      <c r="B52" s="24">
        <v>42858</v>
      </c>
      <c r="C52" s="22" t="s">
        <v>173</v>
      </c>
      <c r="D52" s="17">
        <v>10912</v>
      </c>
      <c r="E52" s="25">
        <f t="shared" si="0"/>
        <v>0</v>
      </c>
      <c r="F52" s="17">
        <f t="shared" si="1"/>
        <v>10912</v>
      </c>
      <c r="G52" s="6"/>
    </row>
    <row r="53" spans="1:7" x14ac:dyDescent="0.2">
      <c r="A53" s="22">
        <v>85</v>
      </c>
      <c r="B53" s="24">
        <v>42856</v>
      </c>
      <c r="C53" s="22" t="s">
        <v>165</v>
      </c>
      <c r="D53" s="17">
        <v>2500</v>
      </c>
      <c r="E53" s="25">
        <f t="shared" si="0"/>
        <v>0</v>
      </c>
      <c r="F53" s="17">
        <f t="shared" si="1"/>
        <v>2500</v>
      </c>
      <c r="G53" s="6"/>
    </row>
    <row r="54" spans="1:7" x14ac:dyDescent="0.2">
      <c r="A54" s="22">
        <v>86</v>
      </c>
      <c r="B54" s="24">
        <v>42858</v>
      </c>
      <c r="C54" s="22" t="s">
        <v>167</v>
      </c>
      <c r="D54" s="17">
        <v>680</v>
      </c>
      <c r="E54" s="25">
        <f t="shared" si="0"/>
        <v>13.6</v>
      </c>
      <c r="F54" s="17">
        <f t="shared" si="1"/>
        <v>666.4</v>
      </c>
      <c r="G54" s="6"/>
    </row>
    <row r="55" spans="1:7" x14ac:dyDescent="0.2">
      <c r="A55" s="22">
        <v>87</v>
      </c>
      <c r="B55" s="24">
        <v>42864</v>
      </c>
      <c r="C55" s="22" t="s">
        <v>106</v>
      </c>
      <c r="D55" s="17">
        <v>260</v>
      </c>
      <c r="E55" s="25">
        <f t="shared" si="0"/>
        <v>5.2</v>
      </c>
      <c r="F55" s="17">
        <f t="shared" si="1"/>
        <v>254.8</v>
      </c>
      <c r="G55" s="6"/>
    </row>
    <row r="56" spans="1:7" x14ac:dyDescent="0.2">
      <c r="A56" s="22">
        <v>88</v>
      </c>
      <c r="B56" s="24">
        <v>42870</v>
      </c>
      <c r="C56" s="22" t="s">
        <v>116</v>
      </c>
      <c r="D56" s="17">
        <v>4900</v>
      </c>
      <c r="E56" s="25">
        <f t="shared" si="0"/>
        <v>0</v>
      </c>
      <c r="F56" s="17">
        <f t="shared" si="1"/>
        <v>4900</v>
      </c>
      <c r="G56" s="6"/>
    </row>
    <row r="57" spans="1:7" x14ac:dyDescent="0.2">
      <c r="A57" s="22">
        <v>89</v>
      </c>
      <c r="B57" s="24">
        <v>42874</v>
      </c>
      <c r="C57" s="22" t="s">
        <v>104</v>
      </c>
      <c r="D57" s="17">
        <v>2370</v>
      </c>
      <c r="E57" s="25">
        <f t="shared" si="0"/>
        <v>0</v>
      </c>
      <c r="F57" s="17">
        <f t="shared" si="1"/>
        <v>2370</v>
      </c>
      <c r="G57" s="6"/>
    </row>
    <row r="58" spans="1:7" x14ac:dyDescent="0.2">
      <c r="A58" s="22">
        <v>90</v>
      </c>
      <c r="B58" s="24">
        <v>42858</v>
      </c>
      <c r="C58" s="22" t="s">
        <v>168</v>
      </c>
      <c r="D58" s="17">
        <v>5500</v>
      </c>
      <c r="E58" s="25">
        <f t="shared" si="0"/>
        <v>110</v>
      </c>
      <c r="F58" s="17">
        <f t="shared" si="1"/>
        <v>5390</v>
      </c>
      <c r="G58" s="6"/>
    </row>
    <row r="59" spans="1:7" x14ac:dyDescent="0.2">
      <c r="A59" s="22">
        <v>91</v>
      </c>
      <c r="B59" s="24">
        <v>42864</v>
      </c>
      <c r="C59" s="22" t="s">
        <v>170</v>
      </c>
      <c r="D59" s="17">
        <v>540</v>
      </c>
      <c r="E59" s="25">
        <f t="shared" si="0"/>
        <v>0</v>
      </c>
      <c r="F59" s="17">
        <f t="shared" si="1"/>
        <v>540</v>
      </c>
      <c r="G59" s="6"/>
    </row>
    <row r="60" spans="1:7" x14ac:dyDescent="0.2">
      <c r="A60" s="22">
        <v>92</v>
      </c>
      <c r="B60" s="24">
        <v>42858</v>
      </c>
      <c r="C60" s="22" t="s">
        <v>169</v>
      </c>
      <c r="D60" s="17">
        <v>975</v>
      </c>
      <c r="E60" s="25">
        <f t="shared" si="0"/>
        <v>19.5</v>
      </c>
      <c r="F60" s="17">
        <f t="shared" si="1"/>
        <v>955.5</v>
      </c>
      <c r="G60" s="6"/>
    </row>
    <row r="61" spans="1:7" x14ac:dyDescent="0.2">
      <c r="A61" s="22">
        <v>93</v>
      </c>
      <c r="B61" s="24">
        <v>42874</v>
      </c>
      <c r="C61" s="22" t="s">
        <v>172</v>
      </c>
      <c r="D61" s="17">
        <v>1800</v>
      </c>
      <c r="E61" s="25">
        <f t="shared" si="0"/>
        <v>0</v>
      </c>
      <c r="F61" s="17">
        <f t="shared" si="1"/>
        <v>1800</v>
      </c>
      <c r="G61" s="6"/>
    </row>
    <row r="62" spans="1:7" x14ac:dyDescent="0.2">
      <c r="A62" s="22">
        <v>94</v>
      </c>
      <c r="B62" s="24">
        <v>42858</v>
      </c>
      <c r="C62" s="22" t="s">
        <v>173</v>
      </c>
      <c r="D62" s="17">
        <v>10912</v>
      </c>
      <c r="E62" s="25">
        <f t="shared" si="0"/>
        <v>0</v>
      </c>
      <c r="F62" s="17">
        <f t="shared" si="1"/>
        <v>10912</v>
      </c>
      <c r="G62" s="6"/>
    </row>
    <row r="63" spans="1:7" x14ac:dyDescent="0.2">
      <c r="A63" s="22">
        <v>95</v>
      </c>
      <c r="B63" s="24">
        <v>42856</v>
      </c>
      <c r="C63" s="22" t="s">
        <v>165</v>
      </c>
      <c r="D63" s="17">
        <v>2500</v>
      </c>
      <c r="E63" s="25">
        <f t="shared" si="0"/>
        <v>0</v>
      </c>
      <c r="F63" s="17">
        <f t="shared" si="1"/>
        <v>2500</v>
      </c>
      <c r="G63" s="6"/>
    </row>
    <row r="64" spans="1:7" x14ac:dyDescent="0.2">
      <c r="A64" s="22">
        <v>96</v>
      </c>
      <c r="B64" s="24">
        <v>42858</v>
      </c>
      <c r="C64" s="22" t="s">
        <v>167</v>
      </c>
      <c r="D64" s="17">
        <v>680</v>
      </c>
      <c r="E64" s="25">
        <f t="shared" si="0"/>
        <v>13.6</v>
      </c>
      <c r="F64" s="17">
        <f t="shared" si="1"/>
        <v>666.4</v>
      </c>
      <c r="G64" s="6"/>
    </row>
    <row r="65" spans="1:7" x14ac:dyDescent="0.2">
      <c r="A65" s="22">
        <v>97</v>
      </c>
      <c r="B65" s="24">
        <v>42864</v>
      </c>
      <c r="C65" s="22" t="s">
        <v>106</v>
      </c>
      <c r="D65" s="17">
        <v>260</v>
      </c>
      <c r="E65" s="25">
        <f t="shared" si="0"/>
        <v>5.2</v>
      </c>
      <c r="F65" s="17">
        <f t="shared" si="1"/>
        <v>254.8</v>
      </c>
      <c r="G65" s="6"/>
    </row>
    <row r="66" spans="1:7" x14ac:dyDescent="0.2">
      <c r="A66" s="22">
        <v>98</v>
      </c>
      <c r="B66" s="24">
        <v>42870</v>
      </c>
      <c r="C66" s="22" t="s">
        <v>116</v>
      </c>
      <c r="D66" s="17">
        <v>4900</v>
      </c>
      <c r="E66" s="25">
        <f t="shared" si="0"/>
        <v>0</v>
      </c>
      <c r="F66" s="17">
        <f t="shared" si="1"/>
        <v>4900</v>
      </c>
      <c r="G66" s="6"/>
    </row>
    <row r="67" spans="1:7" x14ac:dyDescent="0.2">
      <c r="A67" s="22">
        <v>99</v>
      </c>
      <c r="B67" s="24">
        <v>42874</v>
      </c>
      <c r="C67" s="22" t="s">
        <v>104</v>
      </c>
      <c r="D67" s="17">
        <v>2370</v>
      </c>
      <c r="E67" s="25">
        <f t="shared" si="0"/>
        <v>0</v>
      </c>
      <c r="F67" s="17">
        <f t="shared" si="1"/>
        <v>2370</v>
      </c>
      <c r="G67" s="6"/>
    </row>
    <row r="68" spans="1:7" x14ac:dyDescent="0.2">
      <c r="A68" s="22">
        <v>100</v>
      </c>
      <c r="B68" s="24">
        <v>42858</v>
      </c>
      <c r="C68" s="22" t="s">
        <v>168</v>
      </c>
      <c r="D68" s="17">
        <v>5500</v>
      </c>
      <c r="E68" s="25">
        <f t="shared" si="0"/>
        <v>110</v>
      </c>
      <c r="F68" s="17">
        <f t="shared" si="1"/>
        <v>5390</v>
      </c>
      <c r="G68" s="6"/>
    </row>
    <row r="69" spans="1:7" x14ac:dyDescent="0.2">
      <c r="A69" s="22">
        <v>101</v>
      </c>
      <c r="B69" s="24">
        <v>42864</v>
      </c>
      <c r="C69" s="22" t="s">
        <v>170</v>
      </c>
      <c r="D69" s="17">
        <v>540</v>
      </c>
      <c r="E69" s="25">
        <f t="shared" ref="E69:E95" si="2">IF(OR(C69="Mouse",C69="Keyboard",C69="CPU",C69="DVD"),D69*2%,0)</f>
        <v>0</v>
      </c>
      <c r="F69" s="17">
        <f t="shared" ref="F69:F95" si="3">D69-E69</f>
        <v>540</v>
      </c>
      <c r="G69" s="6"/>
    </row>
    <row r="70" spans="1:7" x14ac:dyDescent="0.2">
      <c r="A70" s="22">
        <v>102</v>
      </c>
      <c r="B70" s="24">
        <v>42858</v>
      </c>
      <c r="C70" s="22" t="s">
        <v>169</v>
      </c>
      <c r="D70" s="17">
        <v>975</v>
      </c>
      <c r="E70" s="25">
        <f t="shared" si="2"/>
        <v>19.5</v>
      </c>
      <c r="F70" s="17">
        <f t="shared" si="3"/>
        <v>955.5</v>
      </c>
      <c r="G70" s="6"/>
    </row>
    <row r="71" spans="1:7" x14ac:dyDescent="0.2">
      <c r="A71" s="22">
        <v>103</v>
      </c>
      <c r="B71" s="24">
        <v>42874</v>
      </c>
      <c r="C71" s="22" t="s">
        <v>172</v>
      </c>
      <c r="D71" s="17">
        <v>1800</v>
      </c>
      <c r="E71" s="25">
        <f t="shared" si="2"/>
        <v>0</v>
      </c>
      <c r="F71" s="17">
        <f t="shared" si="3"/>
        <v>1800</v>
      </c>
      <c r="G71" s="6"/>
    </row>
    <row r="72" spans="1:7" x14ac:dyDescent="0.2">
      <c r="A72" s="22">
        <v>104</v>
      </c>
      <c r="B72" s="24">
        <v>42858</v>
      </c>
      <c r="C72" s="22" t="s">
        <v>173</v>
      </c>
      <c r="D72" s="17">
        <v>10912</v>
      </c>
      <c r="E72" s="25">
        <f t="shared" si="2"/>
        <v>0</v>
      </c>
      <c r="F72" s="17">
        <f t="shared" si="3"/>
        <v>10912</v>
      </c>
      <c r="G72" s="6"/>
    </row>
    <row r="73" spans="1:7" x14ac:dyDescent="0.2">
      <c r="A73" s="22">
        <v>105</v>
      </c>
      <c r="B73" s="24">
        <v>42856</v>
      </c>
      <c r="C73" s="22" t="s">
        <v>165</v>
      </c>
      <c r="D73" s="17">
        <v>2500</v>
      </c>
      <c r="E73" s="25">
        <f t="shared" si="2"/>
        <v>0</v>
      </c>
      <c r="F73" s="17">
        <f t="shared" si="3"/>
        <v>2500</v>
      </c>
      <c r="G73" s="6"/>
    </row>
    <row r="74" spans="1:7" x14ac:dyDescent="0.2">
      <c r="A74" s="22">
        <v>106</v>
      </c>
      <c r="B74" s="24">
        <v>42858</v>
      </c>
      <c r="C74" s="22" t="s">
        <v>167</v>
      </c>
      <c r="D74" s="17">
        <v>680</v>
      </c>
      <c r="E74" s="25">
        <f t="shared" si="2"/>
        <v>13.6</v>
      </c>
      <c r="F74" s="17">
        <f t="shared" si="3"/>
        <v>666.4</v>
      </c>
      <c r="G74" s="6"/>
    </row>
    <row r="75" spans="1:7" x14ac:dyDescent="0.2">
      <c r="A75" s="22">
        <v>107</v>
      </c>
      <c r="B75" s="24">
        <v>42864</v>
      </c>
      <c r="C75" s="22" t="s">
        <v>106</v>
      </c>
      <c r="D75" s="17">
        <v>260</v>
      </c>
      <c r="E75" s="25">
        <f t="shared" si="2"/>
        <v>5.2</v>
      </c>
      <c r="F75" s="17">
        <f t="shared" si="3"/>
        <v>254.8</v>
      </c>
      <c r="G75" s="6"/>
    </row>
    <row r="76" spans="1:7" x14ac:dyDescent="0.2">
      <c r="A76" s="22">
        <v>108</v>
      </c>
      <c r="B76" s="24">
        <v>42870</v>
      </c>
      <c r="C76" s="22" t="s">
        <v>116</v>
      </c>
      <c r="D76" s="17">
        <v>4900</v>
      </c>
      <c r="E76" s="25">
        <f t="shared" si="2"/>
        <v>0</v>
      </c>
      <c r="F76" s="17">
        <f t="shared" si="3"/>
        <v>4900</v>
      </c>
      <c r="G76" s="6"/>
    </row>
    <row r="77" spans="1:7" x14ac:dyDescent="0.2">
      <c r="A77" s="22">
        <v>109</v>
      </c>
      <c r="B77" s="24">
        <v>42874</v>
      </c>
      <c r="C77" s="22" t="s">
        <v>104</v>
      </c>
      <c r="D77" s="17">
        <v>2370</v>
      </c>
      <c r="E77" s="25">
        <f t="shared" si="2"/>
        <v>0</v>
      </c>
      <c r="F77" s="17">
        <f t="shared" si="3"/>
        <v>2370</v>
      </c>
      <c r="G77" s="6"/>
    </row>
    <row r="78" spans="1:7" x14ac:dyDescent="0.2">
      <c r="A78" s="22">
        <v>110</v>
      </c>
      <c r="B78" s="24">
        <v>42858</v>
      </c>
      <c r="C78" s="22" t="s">
        <v>168</v>
      </c>
      <c r="D78" s="17">
        <v>5500</v>
      </c>
      <c r="E78" s="25">
        <f t="shared" si="2"/>
        <v>110</v>
      </c>
      <c r="F78" s="17">
        <f t="shared" si="3"/>
        <v>5390</v>
      </c>
      <c r="G78" s="6"/>
    </row>
    <row r="79" spans="1:7" x14ac:dyDescent="0.2">
      <c r="A79" s="22">
        <v>111</v>
      </c>
      <c r="B79" s="24">
        <v>42864</v>
      </c>
      <c r="C79" s="22" t="s">
        <v>170</v>
      </c>
      <c r="D79" s="17">
        <v>540</v>
      </c>
      <c r="E79" s="25">
        <f t="shared" si="2"/>
        <v>0</v>
      </c>
      <c r="F79" s="17">
        <f t="shared" si="3"/>
        <v>540</v>
      </c>
      <c r="G79" s="6"/>
    </row>
    <row r="80" spans="1:7" x14ac:dyDescent="0.2">
      <c r="A80" s="22">
        <v>112</v>
      </c>
      <c r="B80" s="24">
        <v>42858</v>
      </c>
      <c r="C80" s="22" t="s">
        <v>169</v>
      </c>
      <c r="D80" s="17">
        <v>975</v>
      </c>
      <c r="E80" s="25">
        <f t="shared" si="2"/>
        <v>19.5</v>
      </c>
      <c r="F80" s="17">
        <f t="shared" si="3"/>
        <v>955.5</v>
      </c>
      <c r="G80" s="6"/>
    </row>
    <row r="81" spans="1:7" x14ac:dyDescent="0.2">
      <c r="A81" s="22">
        <v>113</v>
      </c>
      <c r="B81" s="24">
        <v>42874</v>
      </c>
      <c r="C81" s="22" t="s">
        <v>172</v>
      </c>
      <c r="D81" s="17">
        <v>1800</v>
      </c>
      <c r="E81" s="25">
        <f t="shared" si="2"/>
        <v>0</v>
      </c>
      <c r="F81" s="17">
        <f t="shared" si="3"/>
        <v>1800</v>
      </c>
      <c r="G81" s="6"/>
    </row>
    <row r="82" spans="1:7" x14ac:dyDescent="0.2">
      <c r="A82" s="22">
        <v>114</v>
      </c>
      <c r="B82" s="24">
        <v>42858</v>
      </c>
      <c r="C82" s="22" t="s">
        <v>173</v>
      </c>
      <c r="D82" s="17">
        <v>10912</v>
      </c>
      <c r="E82" s="25">
        <f t="shared" si="2"/>
        <v>0</v>
      </c>
      <c r="F82" s="17">
        <f t="shared" si="3"/>
        <v>10912</v>
      </c>
      <c r="G82" s="6"/>
    </row>
    <row r="83" spans="1:7" x14ac:dyDescent="0.2">
      <c r="A83" s="22">
        <v>115</v>
      </c>
      <c r="B83" s="24">
        <v>42856</v>
      </c>
      <c r="C83" s="22" t="s">
        <v>165</v>
      </c>
      <c r="D83" s="17">
        <v>2500</v>
      </c>
      <c r="E83" s="25">
        <f t="shared" si="2"/>
        <v>0</v>
      </c>
      <c r="F83" s="17">
        <f t="shared" si="3"/>
        <v>2500</v>
      </c>
      <c r="G83" s="6"/>
    </row>
    <row r="84" spans="1:7" x14ac:dyDescent="0.2">
      <c r="A84" s="22">
        <v>116</v>
      </c>
      <c r="B84" s="24">
        <v>42858</v>
      </c>
      <c r="C84" s="22" t="s">
        <v>167</v>
      </c>
      <c r="D84" s="17">
        <v>680</v>
      </c>
      <c r="E84" s="25">
        <f t="shared" si="2"/>
        <v>13.6</v>
      </c>
      <c r="F84" s="17">
        <f t="shared" si="3"/>
        <v>666.4</v>
      </c>
      <c r="G84" s="6"/>
    </row>
    <row r="85" spans="1:7" x14ac:dyDescent="0.2">
      <c r="A85" s="22">
        <v>117</v>
      </c>
      <c r="B85" s="24">
        <v>42864</v>
      </c>
      <c r="C85" s="22" t="s">
        <v>106</v>
      </c>
      <c r="D85" s="17">
        <v>260</v>
      </c>
      <c r="E85" s="25">
        <f t="shared" si="2"/>
        <v>5.2</v>
      </c>
      <c r="F85" s="17">
        <f t="shared" si="3"/>
        <v>254.8</v>
      </c>
      <c r="G85" s="6"/>
    </row>
    <row r="86" spans="1:7" x14ac:dyDescent="0.2">
      <c r="A86" s="22">
        <v>118</v>
      </c>
      <c r="B86" s="24">
        <v>42870</v>
      </c>
      <c r="C86" s="22" t="s">
        <v>116</v>
      </c>
      <c r="D86" s="17">
        <v>4900</v>
      </c>
      <c r="E86" s="25">
        <f t="shared" si="2"/>
        <v>0</v>
      </c>
      <c r="F86" s="17">
        <f t="shared" si="3"/>
        <v>4900</v>
      </c>
      <c r="G86" s="6"/>
    </row>
    <row r="87" spans="1:7" x14ac:dyDescent="0.2">
      <c r="A87" s="22">
        <v>119</v>
      </c>
      <c r="B87" s="24">
        <v>42874</v>
      </c>
      <c r="C87" s="22" t="s">
        <v>104</v>
      </c>
      <c r="D87" s="17">
        <v>2370</v>
      </c>
      <c r="E87" s="25">
        <f t="shared" si="2"/>
        <v>0</v>
      </c>
      <c r="F87" s="17">
        <f t="shared" si="3"/>
        <v>2370</v>
      </c>
      <c r="G87" s="6"/>
    </row>
    <row r="88" spans="1:7" x14ac:dyDescent="0.2">
      <c r="A88" s="22">
        <v>120</v>
      </c>
      <c r="B88" s="24">
        <v>42858</v>
      </c>
      <c r="C88" s="22" t="s">
        <v>168</v>
      </c>
      <c r="D88" s="17">
        <v>5500</v>
      </c>
      <c r="E88" s="25">
        <f t="shared" si="2"/>
        <v>110</v>
      </c>
      <c r="F88" s="17">
        <f t="shared" si="3"/>
        <v>5390</v>
      </c>
      <c r="G88" s="6"/>
    </row>
    <row r="89" spans="1:7" x14ac:dyDescent="0.2">
      <c r="A89" s="22">
        <v>121</v>
      </c>
      <c r="B89" s="24">
        <v>42864</v>
      </c>
      <c r="C89" s="22" t="s">
        <v>170</v>
      </c>
      <c r="D89" s="17">
        <v>540</v>
      </c>
      <c r="E89" s="25">
        <f t="shared" si="2"/>
        <v>0</v>
      </c>
      <c r="F89" s="17">
        <f t="shared" si="3"/>
        <v>540</v>
      </c>
      <c r="G89" s="6"/>
    </row>
    <row r="90" spans="1:7" x14ac:dyDescent="0.2">
      <c r="A90" s="22">
        <v>122</v>
      </c>
      <c r="B90" s="24">
        <v>42858</v>
      </c>
      <c r="C90" s="22" t="s">
        <v>169</v>
      </c>
      <c r="D90" s="17">
        <v>975</v>
      </c>
      <c r="E90" s="25">
        <f t="shared" si="2"/>
        <v>19.5</v>
      </c>
      <c r="F90" s="17">
        <f t="shared" si="3"/>
        <v>955.5</v>
      </c>
      <c r="G90" s="6"/>
    </row>
    <row r="91" spans="1:7" x14ac:dyDescent="0.2">
      <c r="A91" s="22">
        <v>123</v>
      </c>
      <c r="B91" s="24">
        <v>42874</v>
      </c>
      <c r="C91" s="22" t="s">
        <v>172</v>
      </c>
      <c r="D91" s="17">
        <v>1800</v>
      </c>
      <c r="E91" s="25">
        <f t="shared" si="2"/>
        <v>0</v>
      </c>
      <c r="F91" s="17">
        <f t="shared" si="3"/>
        <v>1800</v>
      </c>
      <c r="G91" s="6"/>
    </row>
    <row r="92" spans="1:7" x14ac:dyDescent="0.2">
      <c r="A92" s="22">
        <v>124</v>
      </c>
      <c r="B92" s="24">
        <v>42858</v>
      </c>
      <c r="C92" s="22" t="s">
        <v>173</v>
      </c>
      <c r="D92" s="17">
        <v>10912</v>
      </c>
      <c r="E92" s="25">
        <f t="shared" si="2"/>
        <v>0</v>
      </c>
      <c r="F92" s="17">
        <f t="shared" si="3"/>
        <v>10912</v>
      </c>
      <c r="G92" s="6"/>
    </row>
    <row r="93" spans="1:7" x14ac:dyDescent="0.2">
      <c r="A93" s="22">
        <v>125</v>
      </c>
      <c r="B93" s="24">
        <v>42856</v>
      </c>
      <c r="C93" s="22" t="s">
        <v>165</v>
      </c>
      <c r="D93" s="17">
        <v>2500</v>
      </c>
      <c r="E93" s="25">
        <f t="shared" si="2"/>
        <v>0</v>
      </c>
      <c r="F93" s="17">
        <f t="shared" si="3"/>
        <v>2500</v>
      </c>
      <c r="G93" s="6"/>
    </row>
    <row r="94" spans="1:7" x14ac:dyDescent="0.2">
      <c r="A94" s="22">
        <v>126</v>
      </c>
      <c r="B94" s="24">
        <v>42858</v>
      </c>
      <c r="C94" s="22" t="s">
        <v>167</v>
      </c>
      <c r="D94" s="17">
        <v>680</v>
      </c>
      <c r="E94" s="25">
        <f t="shared" si="2"/>
        <v>13.6</v>
      </c>
      <c r="F94" s="17">
        <f t="shared" si="3"/>
        <v>666.4</v>
      </c>
      <c r="G94" s="6"/>
    </row>
    <row r="95" spans="1:7" x14ac:dyDescent="0.2">
      <c r="A95" s="22">
        <v>127</v>
      </c>
      <c r="B95" s="24">
        <v>42864</v>
      </c>
      <c r="C95" s="22" t="s">
        <v>106</v>
      </c>
      <c r="D95" s="17">
        <v>260</v>
      </c>
      <c r="E95" s="25">
        <f t="shared" si="2"/>
        <v>5.2</v>
      </c>
      <c r="F95" s="17">
        <f t="shared" si="3"/>
        <v>254.8</v>
      </c>
      <c r="G95" s="6"/>
    </row>
  </sheetData>
  <mergeCells count="1">
    <mergeCell ref="I9:N11"/>
  </mergeCells>
  <dataValidations count="1">
    <dataValidation type="custom" allowBlank="1" showInputMessage="1" showErrorMessage="1" sqref="A3:A95" xr:uid="{00000000-0002-0000-0300-000000000000}">
      <formula1>COUNTIF($A$3:$A$12,A3)=1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389"/>
  <sheetViews>
    <sheetView showGridLines="0" topLeftCell="E1" zoomScale="50" workbookViewId="0">
      <selection activeCell="L55" sqref="L55"/>
    </sheetView>
  </sheetViews>
  <sheetFormatPr defaultColWidth="9.953125" defaultRowHeight="15" x14ac:dyDescent="0.2"/>
  <cols>
    <col min="1" max="1" width="18.29296875" bestFit="1" customWidth="1"/>
    <col min="2" max="2" width="24.34765625" bestFit="1" customWidth="1"/>
    <col min="3" max="3" width="17.21875" bestFit="1" customWidth="1"/>
    <col min="4" max="4" width="20.17578125" style="9" bestFit="1" customWidth="1"/>
    <col min="5" max="5" width="24.078125" style="9" bestFit="1" customWidth="1"/>
    <col min="6" max="6" width="13.1796875" customWidth="1"/>
    <col min="8" max="8" width="49.09765625" bestFit="1" customWidth="1"/>
    <col min="9" max="9" width="4.9765625" customWidth="1"/>
  </cols>
  <sheetData>
    <row r="1" spans="1:8" ht="18.75" x14ac:dyDescent="0.25">
      <c r="A1" s="26" t="s">
        <v>231</v>
      </c>
      <c r="B1" s="26" t="s">
        <v>0</v>
      </c>
      <c r="C1" s="26" t="s">
        <v>149</v>
      </c>
      <c r="D1" s="27" t="s">
        <v>190</v>
      </c>
      <c r="E1" s="27" t="s">
        <v>191</v>
      </c>
      <c r="F1" s="7"/>
    </row>
    <row r="2" spans="1:8" ht="16.5" customHeight="1" x14ac:dyDescent="0.2">
      <c r="A2" s="12">
        <v>1100552210</v>
      </c>
      <c r="B2" s="12" t="s">
        <v>1</v>
      </c>
      <c r="C2" s="12" t="s">
        <v>2</v>
      </c>
      <c r="D2" s="13">
        <v>17806</v>
      </c>
      <c r="E2" s="13">
        <f>IF(D2&gt;5000,D2*13%,"No Discount")</f>
        <v>2314.7800000000002</v>
      </c>
      <c r="F2" s="7"/>
      <c r="H2" s="8" t="s">
        <v>232</v>
      </c>
    </row>
    <row r="3" spans="1:8" x14ac:dyDescent="0.2">
      <c r="A3" s="12">
        <v>1100552211</v>
      </c>
      <c r="B3" s="12" t="s">
        <v>3</v>
      </c>
      <c r="C3" s="12" t="s">
        <v>4</v>
      </c>
      <c r="D3" s="13">
        <v>20818</v>
      </c>
      <c r="E3" s="13">
        <f>IF(D3&gt;5000,D3*13%,"No Discount")</f>
        <v>2706.34</v>
      </c>
      <c r="F3" s="7"/>
    </row>
    <row r="4" spans="1:8" x14ac:dyDescent="0.2">
      <c r="A4" s="12">
        <v>1100552212</v>
      </c>
      <c r="B4" s="12" t="s">
        <v>5</v>
      </c>
      <c r="C4" s="12" t="s">
        <v>2</v>
      </c>
      <c r="D4" s="13">
        <v>19952</v>
      </c>
      <c r="E4" s="13">
        <f>IF(D4&gt;5000,D4*13%,"No Discount")</f>
        <v>2593.7600000000002</v>
      </c>
      <c r="F4" s="7"/>
    </row>
    <row r="5" spans="1:8" x14ac:dyDescent="0.2">
      <c r="A5" s="12">
        <v>1100552213</v>
      </c>
      <c r="B5" s="12" t="s">
        <v>6</v>
      </c>
      <c r="C5" s="12" t="s">
        <v>2</v>
      </c>
      <c r="D5" s="13">
        <v>16701</v>
      </c>
      <c r="E5" s="13">
        <f>IF(D5&gt;5000,D5*13%,"No Discount")</f>
        <v>2171.13</v>
      </c>
      <c r="F5" s="7"/>
    </row>
    <row r="6" spans="1:8" x14ac:dyDescent="0.2">
      <c r="A6" s="12">
        <v>1100552214</v>
      </c>
      <c r="B6" s="12" t="s">
        <v>7</v>
      </c>
      <c r="C6" s="12" t="s">
        <v>2</v>
      </c>
      <c r="D6" s="13">
        <v>17476</v>
      </c>
      <c r="E6" s="13">
        <f>IF(D6&gt;5000,D6*13%,"No Discount")</f>
        <v>2271.88</v>
      </c>
      <c r="F6" s="7"/>
    </row>
    <row r="7" spans="1:8" x14ac:dyDescent="0.2">
      <c r="A7" s="12">
        <v>1100552215</v>
      </c>
      <c r="B7" s="12" t="s">
        <v>8</v>
      </c>
      <c r="C7" s="12" t="s">
        <v>4</v>
      </c>
      <c r="D7" s="13">
        <v>16279</v>
      </c>
      <c r="E7" s="13">
        <f>IF(D7&gt;5000,D7*13%,"No Discount")</f>
        <v>2116.27</v>
      </c>
      <c r="F7" s="7"/>
    </row>
    <row r="8" spans="1:8" x14ac:dyDescent="0.2">
      <c r="A8" s="12">
        <v>1100552216</v>
      </c>
      <c r="B8" s="12" t="s">
        <v>9</v>
      </c>
      <c r="C8" s="12" t="s">
        <v>4</v>
      </c>
      <c r="D8" s="13">
        <v>7815</v>
      </c>
      <c r="E8" s="13">
        <f>IF(D8&gt;5000,D8*13%,"No Discount")</f>
        <v>1015.95</v>
      </c>
      <c r="F8" s="7"/>
    </row>
    <row r="9" spans="1:8" x14ac:dyDescent="0.2">
      <c r="A9" s="12">
        <v>1100552217</v>
      </c>
      <c r="B9" s="12" t="s">
        <v>10</v>
      </c>
      <c r="C9" s="12" t="s">
        <v>4</v>
      </c>
      <c r="D9" s="13">
        <v>19311</v>
      </c>
      <c r="E9" s="13">
        <f>IF(D9&gt;5000,D9*13%,"No Discount")</f>
        <v>2510.4300000000003</v>
      </c>
      <c r="F9" s="7"/>
    </row>
    <row r="10" spans="1:8" x14ac:dyDescent="0.2">
      <c r="A10" s="12">
        <v>1100552218</v>
      </c>
      <c r="B10" s="12" t="s">
        <v>11</v>
      </c>
      <c r="C10" s="12" t="s">
        <v>4</v>
      </c>
      <c r="D10" s="13">
        <v>4766</v>
      </c>
      <c r="E10" s="13" t="str">
        <f>IF(D10&gt;5000,D10*13%,"No Discount")</f>
        <v>No Discount</v>
      </c>
      <c r="F10" s="7"/>
    </row>
    <row r="11" spans="1:8" x14ac:dyDescent="0.2">
      <c r="A11" s="12">
        <v>1100552219</v>
      </c>
      <c r="B11" s="12" t="s">
        <v>12</v>
      </c>
      <c r="C11" s="12" t="s">
        <v>4</v>
      </c>
      <c r="D11" s="13">
        <v>9785</v>
      </c>
      <c r="E11" s="13">
        <f>IF(D11&gt;5000,D11*13%,"No Discount")</f>
        <v>1272.05</v>
      </c>
      <c r="F11" s="7"/>
    </row>
    <row r="12" spans="1:8" x14ac:dyDescent="0.2">
      <c r="A12" s="12">
        <v>1100552220</v>
      </c>
      <c r="B12" s="12" t="s">
        <v>13</v>
      </c>
      <c r="C12" s="12" t="s">
        <v>2</v>
      </c>
      <c r="D12" s="13">
        <v>12214</v>
      </c>
      <c r="E12" s="13">
        <f>IF(D12&gt;5000,D12*13%,"No Discount")</f>
        <v>1587.8200000000002</v>
      </c>
      <c r="F12" s="7"/>
    </row>
    <row r="13" spans="1:8" x14ac:dyDescent="0.2">
      <c r="A13" s="12">
        <v>1100552221</v>
      </c>
      <c r="B13" s="12" t="s">
        <v>14</v>
      </c>
      <c r="C13" s="12" t="s">
        <v>4</v>
      </c>
      <c r="D13" s="13">
        <v>16589</v>
      </c>
      <c r="E13" s="13">
        <f>IF(D13&gt;5000,D13*13%,"No Discount")</f>
        <v>2156.5700000000002</v>
      </c>
      <c r="F13" s="7"/>
    </row>
    <row r="14" spans="1:8" x14ac:dyDescent="0.2">
      <c r="A14" s="12">
        <v>1100552222</v>
      </c>
      <c r="B14" s="12" t="s">
        <v>15</v>
      </c>
      <c r="C14" s="12" t="s">
        <v>2</v>
      </c>
      <c r="D14" s="13">
        <v>10612</v>
      </c>
      <c r="E14" s="13">
        <f>IF(D14&gt;5000,D14*13%,"No Discount")</f>
        <v>1379.56</v>
      </c>
      <c r="F14" s="7"/>
    </row>
    <row r="15" spans="1:8" x14ac:dyDescent="0.2">
      <c r="A15" s="12">
        <v>1100552223</v>
      </c>
      <c r="B15" s="12" t="s">
        <v>16</v>
      </c>
      <c r="C15" s="12" t="s">
        <v>2</v>
      </c>
      <c r="D15" s="13">
        <v>22452</v>
      </c>
      <c r="E15" s="13">
        <f>IF(D15&gt;5000,D15*13%,"No Discount")</f>
        <v>2918.76</v>
      </c>
      <c r="F15" s="7"/>
    </row>
    <row r="16" spans="1:8" x14ac:dyDescent="0.2">
      <c r="A16" s="12">
        <v>1100552224</v>
      </c>
      <c r="B16" s="12" t="s">
        <v>17</v>
      </c>
      <c r="C16" s="12" t="s">
        <v>2</v>
      </c>
      <c r="D16" s="13">
        <v>1629</v>
      </c>
      <c r="E16" s="13" t="str">
        <f>IF(D16&gt;5000,D16*13%,"No Discount")</f>
        <v>No Discount</v>
      </c>
      <c r="F16" s="7"/>
    </row>
    <row r="17" spans="1:6" x14ac:dyDescent="0.2">
      <c r="A17" s="12">
        <v>1100552225</v>
      </c>
      <c r="B17" s="12" t="s">
        <v>18</v>
      </c>
      <c r="C17" s="12" t="s">
        <v>4</v>
      </c>
      <c r="D17" s="13">
        <v>15398</v>
      </c>
      <c r="E17" s="13">
        <f>IF(D17&gt;5000,D17*13%,"No Discount")</f>
        <v>2001.74</v>
      </c>
      <c r="F17" s="7"/>
    </row>
    <row r="18" spans="1:6" x14ac:dyDescent="0.2">
      <c r="A18" s="12">
        <v>1100552226</v>
      </c>
      <c r="B18" s="12" t="s">
        <v>19</v>
      </c>
      <c r="C18" s="12" t="s">
        <v>4</v>
      </c>
      <c r="D18" s="13">
        <v>21388</v>
      </c>
      <c r="E18" s="13">
        <f>IF(D18&gt;5000,D18*13%,"No Discount")</f>
        <v>2780.44</v>
      </c>
      <c r="F18" s="7"/>
    </row>
    <row r="19" spans="1:6" x14ac:dyDescent="0.2">
      <c r="A19" s="12">
        <v>1100552227</v>
      </c>
      <c r="B19" s="12" t="s">
        <v>19</v>
      </c>
      <c r="C19" s="12" t="s">
        <v>4</v>
      </c>
      <c r="D19" s="13">
        <v>22576</v>
      </c>
      <c r="E19" s="13">
        <f>IF(D19&gt;5000,D19*13%,"No Discount")</f>
        <v>2934.88</v>
      </c>
      <c r="F19" s="7"/>
    </row>
    <row r="20" spans="1:6" x14ac:dyDescent="0.2">
      <c r="A20" s="12">
        <v>1100552228</v>
      </c>
      <c r="B20" s="12" t="s">
        <v>20</v>
      </c>
      <c r="C20" s="12" t="s">
        <v>4</v>
      </c>
      <c r="D20" s="13">
        <v>23628</v>
      </c>
      <c r="E20" s="13">
        <f>IF(D20&gt;5000,D20*13%,"No Discount")</f>
        <v>3071.6400000000003</v>
      </c>
      <c r="F20" s="7"/>
    </row>
    <row r="21" spans="1:6" x14ac:dyDescent="0.2">
      <c r="A21" s="12">
        <v>1100552229</v>
      </c>
      <c r="B21" s="12" t="s">
        <v>21</v>
      </c>
      <c r="C21" s="12" t="s">
        <v>4</v>
      </c>
      <c r="D21" s="13">
        <v>12645</v>
      </c>
      <c r="E21" s="13">
        <f>IF(D21&gt;5000,D21*13%,"No Discount")</f>
        <v>1643.8500000000001</v>
      </c>
      <c r="F21" s="7"/>
    </row>
    <row r="22" spans="1:6" x14ac:dyDescent="0.2">
      <c r="A22" s="12">
        <v>1100552230</v>
      </c>
      <c r="B22" s="12" t="s">
        <v>22</v>
      </c>
      <c r="C22" s="12" t="s">
        <v>2</v>
      </c>
      <c r="D22" s="13">
        <v>14733</v>
      </c>
      <c r="E22" s="13">
        <f>IF(D22&gt;5000,D22*13%,"No Discount")</f>
        <v>1915.29</v>
      </c>
      <c r="F22" s="7"/>
    </row>
    <row r="23" spans="1:6" x14ac:dyDescent="0.2">
      <c r="A23" s="12">
        <v>1100552231</v>
      </c>
      <c r="B23" s="12" t="s">
        <v>23</v>
      </c>
      <c r="C23" s="12" t="s">
        <v>4</v>
      </c>
      <c r="D23" s="13">
        <v>22791</v>
      </c>
      <c r="E23" s="13">
        <f>IF(D23&gt;5000,D23*13%,"No Discount")</f>
        <v>2962.83</v>
      </c>
      <c r="F23" s="7"/>
    </row>
    <row r="24" spans="1:6" x14ac:dyDescent="0.2">
      <c r="A24" s="12">
        <v>1100552232</v>
      </c>
      <c r="B24" s="12" t="s">
        <v>24</v>
      </c>
      <c r="C24" s="12" t="s">
        <v>2</v>
      </c>
      <c r="D24" s="13">
        <v>2350</v>
      </c>
      <c r="E24" s="13" t="str">
        <f>IF(D24&gt;5000,D24*13%,"No Discount")</f>
        <v>No Discount</v>
      </c>
      <c r="F24" s="7"/>
    </row>
    <row r="25" spans="1:6" x14ac:dyDescent="0.2">
      <c r="A25" s="12">
        <v>1100552233</v>
      </c>
      <c r="B25" s="12" t="s">
        <v>25</v>
      </c>
      <c r="C25" s="12" t="s">
        <v>2</v>
      </c>
      <c r="D25" s="13">
        <v>8296</v>
      </c>
      <c r="E25" s="13">
        <f>IF(D25&gt;5000,D25*13%,"No Discount")</f>
        <v>1078.48</v>
      </c>
      <c r="F25" s="7"/>
    </row>
    <row r="26" spans="1:6" x14ac:dyDescent="0.2">
      <c r="A26" s="12">
        <v>1100552234</v>
      </c>
      <c r="B26" s="12" t="s">
        <v>26</v>
      </c>
      <c r="C26" s="12" t="s">
        <v>2</v>
      </c>
      <c r="D26" s="13">
        <v>11386</v>
      </c>
      <c r="E26" s="13">
        <f>IF(D26&gt;5000,D26*13%,"No Discount")</f>
        <v>1480.18</v>
      </c>
      <c r="F26" s="7"/>
    </row>
    <row r="27" spans="1:6" x14ac:dyDescent="0.2">
      <c r="A27" s="12">
        <v>1100552235</v>
      </c>
      <c r="B27" s="12" t="s">
        <v>27</v>
      </c>
      <c r="C27" s="12" t="s">
        <v>4</v>
      </c>
      <c r="D27" s="13">
        <v>4404</v>
      </c>
      <c r="E27" s="13" t="str">
        <f>IF(D27&gt;5000,D27*13%,"No Discount")</f>
        <v>No Discount</v>
      </c>
      <c r="F27" s="7"/>
    </row>
    <row r="28" spans="1:6" x14ac:dyDescent="0.2">
      <c r="A28" s="12">
        <v>1100552236</v>
      </c>
      <c r="B28" s="12" t="s">
        <v>28</v>
      </c>
      <c r="C28" s="12" t="s">
        <v>4</v>
      </c>
      <c r="D28" s="13">
        <v>4289</v>
      </c>
      <c r="E28" s="13" t="str">
        <f>IF(D28&gt;5000,D28*13%,"No Discount")</f>
        <v>No Discount</v>
      </c>
      <c r="F28" s="7"/>
    </row>
    <row r="29" spans="1:6" x14ac:dyDescent="0.2">
      <c r="A29" s="12">
        <v>1100552237</v>
      </c>
      <c r="B29" s="12" t="s">
        <v>29</v>
      </c>
      <c r="C29" s="12" t="s">
        <v>4</v>
      </c>
      <c r="D29" s="13">
        <v>1818</v>
      </c>
      <c r="E29" s="13" t="str">
        <f>IF(D29&gt;5000,D29*13%,"No Discount")</f>
        <v>No Discount</v>
      </c>
      <c r="F29" s="7"/>
    </row>
    <row r="30" spans="1:6" x14ac:dyDescent="0.2">
      <c r="A30" s="12">
        <v>1100552238</v>
      </c>
      <c r="B30" s="12" t="s">
        <v>30</v>
      </c>
      <c r="C30" s="12" t="s">
        <v>4</v>
      </c>
      <c r="D30" s="13">
        <v>13955</v>
      </c>
      <c r="E30" s="13">
        <f>IF(D30&gt;5000,D30*13%,"No Discount")</f>
        <v>1814.15</v>
      </c>
      <c r="F30" s="7"/>
    </row>
    <row r="31" spans="1:6" x14ac:dyDescent="0.2">
      <c r="A31" s="12">
        <v>1100552239</v>
      </c>
      <c r="B31" s="12" t="s">
        <v>31</v>
      </c>
      <c r="C31" s="12" t="s">
        <v>4</v>
      </c>
      <c r="D31" s="13">
        <v>3093</v>
      </c>
      <c r="E31" s="13" t="str">
        <f>IF(D31&gt;5000,D31*13%,"No Discount")</f>
        <v>No Discount</v>
      </c>
      <c r="F31" s="7"/>
    </row>
    <row r="32" spans="1:6" x14ac:dyDescent="0.2">
      <c r="A32" s="12">
        <v>1100552240</v>
      </c>
      <c r="B32" s="12" t="s">
        <v>32</v>
      </c>
      <c r="C32" s="12" t="s">
        <v>2</v>
      </c>
      <c r="D32" s="13">
        <v>22009</v>
      </c>
      <c r="E32" s="13">
        <f>IF(D32&gt;5000,D32*13%,"No Discount")</f>
        <v>2861.17</v>
      </c>
      <c r="F32" s="7"/>
    </row>
    <row r="33" spans="1:6" x14ac:dyDescent="0.2">
      <c r="A33" s="12">
        <v>1100552241</v>
      </c>
      <c r="B33" s="12" t="s">
        <v>33</v>
      </c>
      <c r="C33" s="12" t="s">
        <v>4</v>
      </c>
      <c r="D33" s="13">
        <v>15944</v>
      </c>
      <c r="E33" s="13">
        <f>IF(D33&gt;5000,D33*13%,"No Discount")</f>
        <v>2072.7200000000003</v>
      </c>
      <c r="F33" s="7"/>
    </row>
    <row r="34" spans="1:6" x14ac:dyDescent="0.2">
      <c r="A34" s="12">
        <v>1100552242</v>
      </c>
      <c r="B34" s="12" t="s">
        <v>34</v>
      </c>
      <c r="C34" s="12" t="s">
        <v>2</v>
      </c>
      <c r="D34" s="13">
        <v>6097</v>
      </c>
      <c r="E34" s="13">
        <f>IF(D34&gt;5000,D34*13%,"No Discount")</f>
        <v>792.61</v>
      </c>
      <c r="F34" s="7"/>
    </row>
    <row r="35" spans="1:6" x14ac:dyDescent="0.2">
      <c r="A35" s="12">
        <v>1100552243</v>
      </c>
      <c r="B35" s="12" t="s">
        <v>35</v>
      </c>
      <c r="C35" s="12" t="s">
        <v>2</v>
      </c>
      <c r="D35" s="13">
        <v>20201</v>
      </c>
      <c r="E35" s="13">
        <f>IF(D35&gt;5000,D35*13%,"No Discount")</f>
        <v>2626.13</v>
      </c>
      <c r="F35" s="7"/>
    </row>
    <row r="36" spans="1:6" x14ac:dyDescent="0.2">
      <c r="A36" s="12">
        <v>1100552244</v>
      </c>
      <c r="B36" s="12" t="s">
        <v>36</v>
      </c>
      <c r="C36" s="12" t="s">
        <v>2</v>
      </c>
      <c r="D36" s="13">
        <v>1224</v>
      </c>
      <c r="E36" s="13" t="str">
        <f>IF(D36&gt;5000,D36*13%,"No Discount")</f>
        <v>No Discount</v>
      </c>
      <c r="F36" s="7"/>
    </row>
    <row r="37" spans="1:6" x14ac:dyDescent="0.2">
      <c r="A37" s="12">
        <v>1100552245</v>
      </c>
      <c r="B37" s="12" t="s">
        <v>37</v>
      </c>
      <c r="C37" s="12" t="s">
        <v>4</v>
      </c>
      <c r="D37" s="13">
        <v>13180</v>
      </c>
      <c r="E37" s="13">
        <f>IF(D37&gt;5000,D37*13%,"No Discount")</f>
        <v>1713.4</v>
      </c>
    </row>
    <row r="38" spans="1:6" x14ac:dyDescent="0.2">
      <c r="A38" s="12">
        <v>1100552246</v>
      </c>
      <c r="B38" s="12" t="s">
        <v>38</v>
      </c>
      <c r="C38" s="12" t="s">
        <v>4</v>
      </c>
      <c r="D38" s="13">
        <v>7164</v>
      </c>
      <c r="E38" s="13">
        <f>IF(D38&gt;5000,D38*13%,"No Discount")</f>
        <v>931.32</v>
      </c>
      <c r="F38" s="7"/>
    </row>
    <row r="39" spans="1:6" x14ac:dyDescent="0.2">
      <c r="A39" s="12">
        <v>1100552247</v>
      </c>
      <c r="B39" s="12" t="s">
        <v>38</v>
      </c>
      <c r="C39" s="12" t="s">
        <v>4</v>
      </c>
      <c r="D39" s="13">
        <v>7185</v>
      </c>
      <c r="E39" s="13">
        <f>IF(D39&gt;5000,D39*13%,"No Discount")</f>
        <v>934.05000000000007</v>
      </c>
      <c r="F39" s="7"/>
    </row>
    <row r="40" spans="1:6" x14ac:dyDescent="0.2">
      <c r="A40" s="12">
        <v>1100552248</v>
      </c>
      <c r="B40" s="12" t="s">
        <v>39</v>
      </c>
      <c r="C40" s="12" t="s">
        <v>4</v>
      </c>
      <c r="D40" s="13">
        <v>17031</v>
      </c>
      <c r="E40" s="13">
        <f>IF(D40&gt;5000,D40*13%,"No Discount")</f>
        <v>2214.0300000000002</v>
      </c>
      <c r="F40" s="7"/>
    </row>
    <row r="41" spans="1:6" x14ac:dyDescent="0.2">
      <c r="A41" s="12">
        <v>1100552249</v>
      </c>
      <c r="B41" s="12" t="s">
        <v>40</v>
      </c>
      <c r="C41" s="12" t="s">
        <v>4</v>
      </c>
      <c r="D41" s="13">
        <v>13330</v>
      </c>
      <c r="E41" s="13">
        <f>IF(D41&gt;5000,D41*13%,"No Discount")</f>
        <v>1732.9</v>
      </c>
      <c r="F41" s="7"/>
    </row>
    <row r="42" spans="1:6" x14ac:dyDescent="0.2">
      <c r="A42" s="12">
        <v>1100552250</v>
      </c>
      <c r="B42" s="12" t="s">
        <v>41</v>
      </c>
      <c r="C42" s="12" t="s">
        <v>2</v>
      </c>
      <c r="D42" s="13">
        <v>17709</v>
      </c>
      <c r="E42" s="13">
        <f>IF(D42&gt;5000,D42*13%,"No Discount")</f>
        <v>2302.17</v>
      </c>
      <c r="F42" s="7"/>
    </row>
    <row r="43" spans="1:6" x14ac:dyDescent="0.2">
      <c r="A43" s="12">
        <v>1100552251</v>
      </c>
      <c r="B43" s="12" t="s">
        <v>42</v>
      </c>
      <c r="C43" s="12" t="s">
        <v>4</v>
      </c>
      <c r="D43" s="13">
        <v>12456</v>
      </c>
      <c r="E43" s="13">
        <f>IF(D43&gt;5000,D43*13%,"No Discount")</f>
        <v>1619.28</v>
      </c>
      <c r="F43" s="7"/>
    </row>
    <row r="44" spans="1:6" x14ac:dyDescent="0.2">
      <c r="A44" s="12">
        <v>1100552252</v>
      </c>
      <c r="B44" s="12" t="s">
        <v>43</v>
      </c>
      <c r="C44" s="12" t="s">
        <v>2</v>
      </c>
      <c r="D44" s="13">
        <v>14737</v>
      </c>
      <c r="E44" s="13">
        <f>IF(D44&gt;5000,D44*13%,"No Discount")</f>
        <v>1915.8100000000002</v>
      </c>
      <c r="F44" s="7"/>
    </row>
    <row r="45" spans="1:6" x14ac:dyDescent="0.2">
      <c r="A45" s="12">
        <v>1100552253</v>
      </c>
      <c r="B45" s="12" t="s">
        <v>44</v>
      </c>
      <c r="C45" s="12" t="s">
        <v>2</v>
      </c>
      <c r="D45" s="13">
        <v>15251</v>
      </c>
      <c r="E45" s="13">
        <f>IF(D45&gt;5000,D45*13%,"No Discount")</f>
        <v>1982.63</v>
      </c>
      <c r="F45" s="7"/>
    </row>
    <row r="46" spans="1:6" x14ac:dyDescent="0.2">
      <c r="A46" s="12">
        <v>1100552254</v>
      </c>
      <c r="B46" s="12" t="s">
        <v>45</v>
      </c>
      <c r="C46" s="12" t="s">
        <v>2</v>
      </c>
      <c r="D46" s="13">
        <v>5517</v>
      </c>
      <c r="E46" s="13">
        <f>IF(D46&gt;5000,D46*13%,"No Discount")</f>
        <v>717.21</v>
      </c>
      <c r="F46" s="7"/>
    </row>
    <row r="47" spans="1:6" x14ac:dyDescent="0.2">
      <c r="A47" s="12">
        <v>1100552255</v>
      </c>
      <c r="B47" s="12" t="s">
        <v>46</v>
      </c>
      <c r="C47" s="12" t="s">
        <v>4</v>
      </c>
      <c r="D47" s="13">
        <v>4113</v>
      </c>
      <c r="E47" s="13" t="str">
        <f>IF(D47&gt;5000,D47*13%,"No Discount")</f>
        <v>No Discount</v>
      </c>
      <c r="F47" s="7"/>
    </row>
    <row r="48" spans="1:6" x14ac:dyDescent="0.2">
      <c r="A48" s="12">
        <v>1100552256</v>
      </c>
      <c r="B48" s="12" t="s">
        <v>47</v>
      </c>
      <c r="C48" s="12" t="s">
        <v>4</v>
      </c>
      <c r="D48" s="13">
        <v>7322</v>
      </c>
      <c r="E48" s="13">
        <f>IF(D48&gt;5000,D48*13%,"No Discount")</f>
        <v>951.86</v>
      </c>
      <c r="F48" s="7"/>
    </row>
    <row r="49" spans="1:6" x14ac:dyDescent="0.2">
      <c r="A49" s="12">
        <v>1100552257</v>
      </c>
      <c r="B49" s="12" t="s">
        <v>48</v>
      </c>
      <c r="C49" s="12" t="s">
        <v>4</v>
      </c>
      <c r="D49" s="13">
        <v>9972</v>
      </c>
      <c r="E49" s="13">
        <f>IF(D49&gt;5000,D49*13%,"No Discount")</f>
        <v>1296.3600000000001</v>
      </c>
      <c r="F49" s="7"/>
    </row>
    <row r="50" spans="1:6" x14ac:dyDescent="0.2">
      <c r="A50" s="12">
        <v>1100552258</v>
      </c>
      <c r="B50" s="12" t="s">
        <v>49</v>
      </c>
      <c r="C50" s="12" t="s">
        <v>4</v>
      </c>
      <c r="D50" s="13">
        <v>1935</v>
      </c>
      <c r="E50" s="13" t="str">
        <f>IF(D50&gt;5000,D50*13%,"No Discount")</f>
        <v>No Discount</v>
      </c>
      <c r="F50" s="7"/>
    </row>
    <row r="51" spans="1:6" x14ac:dyDescent="0.2">
      <c r="A51" s="12">
        <v>1100552259</v>
      </c>
      <c r="B51" s="12" t="s">
        <v>50</v>
      </c>
      <c r="C51" s="12" t="s">
        <v>4</v>
      </c>
      <c r="D51" s="13">
        <v>16964</v>
      </c>
      <c r="E51" s="13">
        <f>IF(D51&gt;5000,D51*13%,"No Discount")</f>
        <v>2205.3200000000002</v>
      </c>
      <c r="F51" s="7"/>
    </row>
    <row r="52" spans="1:6" x14ac:dyDescent="0.2">
      <c r="A52" s="12">
        <v>1100552260</v>
      </c>
      <c r="B52" s="12" t="s">
        <v>51</v>
      </c>
      <c r="C52" s="12" t="s">
        <v>2</v>
      </c>
      <c r="D52" s="13">
        <v>19476</v>
      </c>
      <c r="E52" s="13">
        <f>IF(D52&gt;5000,D52*13%,"No Discount")</f>
        <v>2531.88</v>
      </c>
      <c r="F52" s="7"/>
    </row>
    <row r="53" spans="1:6" x14ac:dyDescent="0.2">
      <c r="A53" s="12">
        <v>1100552261</v>
      </c>
      <c r="B53" s="12" t="s">
        <v>52</v>
      </c>
      <c r="C53" s="12" t="s">
        <v>4</v>
      </c>
      <c r="D53" s="13">
        <v>13535</v>
      </c>
      <c r="E53" s="13">
        <f>IF(D53&gt;5000,D53*13%,"No Discount")</f>
        <v>1759.55</v>
      </c>
      <c r="F53" s="7"/>
    </row>
    <row r="54" spans="1:6" x14ac:dyDescent="0.2">
      <c r="A54" s="12">
        <v>1100552262</v>
      </c>
      <c r="B54" s="12" t="s">
        <v>53</v>
      </c>
      <c r="C54" s="12" t="s">
        <v>2</v>
      </c>
      <c r="D54" s="13">
        <v>12839</v>
      </c>
      <c r="E54" s="13">
        <f>IF(D54&gt;5000,D54*13%,"No Discount")</f>
        <v>1669.0700000000002</v>
      </c>
      <c r="F54" s="7"/>
    </row>
    <row r="55" spans="1:6" x14ac:dyDescent="0.2">
      <c r="A55" s="12">
        <v>1100552263</v>
      </c>
      <c r="B55" s="12" t="s">
        <v>54</v>
      </c>
      <c r="C55" s="12" t="s">
        <v>2</v>
      </c>
      <c r="D55" s="13">
        <v>16710</v>
      </c>
      <c r="E55" s="13">
        <f>IF(D55&gt;5000,D55*13%,"No Discount")</f>
        <v>2172.3000000000002</v>
      </c>
      <c r="F55" s="7"/>
    </row>
    <row r="56" spans="1:6" x14ac:dyDescent="0.2">
      <c r="A56" s="12">
        <v>1100552264</v>
      </c>
      <c r="B56" s="12" t="s">
        <v>55</v>
      </c>
      <c r="C56" s="12" t="s">
        <v>2</v>
      </c>
      <c r="D56" s="13">
        <v>16179</v>
      </c>
      <c r="E56" s="13">
        <f>IF(D56&gt;5000,D56*13%,"No Discount")</f>
        <v>2103.27</v>
      </c>
      <c r="F56" s="7"/>
    </row>
    <row r="57" spans="1:6" x14ac:dyDescent="0.2">
      <c r="A57" s="12">
        <v>1100552265</v>
      </c>
      <c r="B57" s="12" t="s">
        <v>56</v>
      </c>
      <c r="C57" s="12" t="s">
        <v>4</v>
      </c>
      <c r="D57" s="13">
        <v>3666</v>
      </c>
      <c r="E57" s="13" t="str">
        <f>IF(D57&gt;5000,D57*13%,"No Discount")</f>
        <v>No Discount</v>
      </c>
      <c r="F57" s="7"/>
    </row>
    <row r="58" spans="1:6" x14ac:dyDescent="0.2">
      <c r="A58" s="12">
        <v>1100552266</v>
      </c>
      <c r="B58" s="12" t="s">
        <v>57</v>
      </c>
      <c r="C58" s="12" t="s">
        <v>4</v>
      </c>
      <c r="D58" s="13">
        <v>7467</v>
      </c>
      <c r="E58" s="13">
        <f>IF(D58&gt;5000,D58*13%,"No Discount")</f>
        <v>970.71</v>
      </c>
      <c r="F58" s="7"/>
    </row>
    <row r="59" spans="1:6" x14ac:dyDescent="0.2">
      <c r="A59" s="12">
        <v>1100552267</v>
      </c>
      <c r="B59" s="12" t="s">
        <v>58</v>
      </c>
      <c r="C59" s="12" t="s">
        <v>4</v>
      </c>
      <c r="D59" s="13">
        <v>16763</v>
      </c>
      <c r="E59" s="13">
        <f>IF(D59&gt;5000,D59*13%,"No Discount")</f>
        <v>2179.19</v>
      </c>
      <c r="F59" s="7"/>
    </row>
    <row r="60" spans="1:6" x14ac:dyDescent="0.2">
      <c r="A60" s="12">
        <v>1100552268</v>
      </c>
      <c r="B60" s="12" t="s">
        <v>59</v>
      </c>
      <c r="C60" s="12" t="s">
        <v>4</v>
      </c>
      <c r="D60" s="13">
        <v>8583</v>
      </c>
      <c r="E60" s="13">
        <f>IF(D60&gt;5000,D60*13%,"No Discount")</f>
        <v>1115.79</v>
      </c>
      <c r="F60" s="7"/>
    </row>
    <row r="61" spans="1:6" x14ac:dyDescent="0.2">
      <c r="A61" s="12">
        <v>1100552269</v>
      </c>
      <c r="B61" s="12" t="s">
        <v>60</v>
      </c>
      <c r="C61" s="12" t="s">
        <v>4</v>
      </c>
      <c r="D61" s="13">
        <v>12848</v>
      </c>
      <c r="E61" s="13">
        <f>IF(D61&gt;5000,D61*13%,"No Discount")</f>
        <v>1670.24</v>
      </c>
      <c r="F61" s="7"/>
    </row>
    <row r="62" spans="1:6" x14ac:dyDescent="0.2">
      <c r="A62" s="12">
        <v>1100552270</v>
      </c>
      <c r="B62" s="12" t="s">
        <v>61</v>
      </c>
      <c r="C62" s="12" t="s">
        <v>2</v>
      </c>
      <c r="D62" s="13">
        <v>13724</v>
      </c>
      <c r="E62" s="13">
        <f>IF(D62&gt;5000,D62*13%,"No Discount")</f>
        <v>1784.1200000000001</v>
      </c>
      <c r="F62" s="7"/>
    </row>
    <row r="63" spans="1:6" x14ac:dyDescent="0.2">
      <c r="A63" s="12">
        <v>1100552271</v>
      </c>
      <c r="B63" s="12" t="s">
        <v>62</v>
      </c>
      <c r="C63" s="12" t="s">
        <v>4</v>
      </c>
      <c r="D63" s="13">
        <v>17162</v>
      </c>
      <c r="E63" s="13">
        <f>IF(D63&gt;5000,D63*13%,"No Discount")</f>
        <v>2231.06</v>
      </c>
      <c r="F63" s="7"/>
    </row>
    <row r="64" spans="1:6" x14ac:dyDescent="0.2">
      <c r="A64" s="12">
        <v>1100552272</v>
      </c>
      <c r="B64" s="12" t="s">
        <v>63</v>
      </c>
      <c r="C64" s="12" t="s">
        <v>2</v>
      </c>
      <c r="D64" s="13">
        <v>21500</v>
      </c>
      <c r="E64" s="13">
        <f>IF(D64&gt;5000,D64*13%,"No Discount")</f>
        <v>2795</v>
      </c>
      <c r="F64" s="7"/>
    </row>
    <row r="65" spans="1:6" x14ac:dyDescent="0.2">
      <c r="A65" s="12">
        <v>1100552273</v>
      </c>
      <c r="B65" s="12" t="s">
        <v>64</v>
      </c>
      <c r="C65" s="12" t="s">
        <v>2</v>
      </c>
      <c r="D65" s="13">
        <v>10862</v>
      </c>
      <c r="E65" s="13">
        <f>IF(D65&gt;5000,D65*13%,"No Discount")</f>
        <v>1412.06</v>
      </c>
      <c r="F65" s="7"/>
    </row>
    <row r="66" spans="1:6" x14ac:dyDescent="0.2">
      <c r="A66" s="12">
        <v>1100552274</v>
      </c>
      <c r="B66" s="12" t="s">
        <v>65</v>
      </c>
      <c r="C66" s="12" t="s">
        <v>2</v>
      </c>
      <c r="D66" s="13">
        <v>2834</v>
      </c>
      <c r="E66" s="13" t="str">
        <f>IF(D66&gt;5000,D66*13%,"No Discount")</f>
        <v>No Discount</v>
      </c>
      <c r="F66" s="7"/>
    </row>
    <row r="67" spans="1:6" x14ac:dyDescent="0.2">
      <c r="A67" s="12">
        <v>1100552275</v>
      </c>
      <c r="B67" s="12" t="s">
        <v>66</v>
      </c>
      <c r="C67" s="12" t="s">
        <v>4</v>
      </c>
      <c r="D67" s="13">
        <v>17069</v>
      </c>
      <c r="E67" s="13">
        <f t="shared" ref="E67:E130" si="0">IF(D67&gt;5000,D67*13%,"No Discount")</f>
        <v>2218.9700000000003</v>
      </c>
      <c r="F67" s="7"/>
    </row>
    <row r="68" spans="1:6" x14ac:dyDescent="0.2">
      <c r="A68" s="12">
        <v>1100552276</v>
      </c>
      <c r="B68" s="12" t="s">
        <v>67</v>
      </c>
      <c r="C68" s="12" t="s">
        <v>4</v>
      </c>
      <c r="D68" s="13">
        <v>18057</v>
      </c>
      <c r="E68" s="13">
        <f t="shared" si="0"/>
        <v>2347.41</v>
      </c>
      <c r="F68" s="7"/>
    </row>
    <row r="69" spans="1:6" x14ac:dyDescent="0.2">
      <c r="A69" s="12">
        <v>1100552277</v>
      </c>
      <c r="B69" s="12" t="s">
        <v>68</v>
      </c>
      <c r="C69" s="12" t="s">
        <v>4</v>
      </c>
      <c r="D69" s="13">
        <v>3307</v>
      </c>
      <c r="E69" s="13" t="str">
        <f t="shared" si="0"/>
        <v>No Discount</v>
      </c>
      <c r="F69" s="7"/>
    </row>
    <row r="70" spans="1:6" x14ac:dyDescent="0.2">
      <c r="A70" s="12">
        <v>1100552278</v>
      </c>
      <c r="B70" s="12" t="s">
        <v>69</v>
      </c>
      <c r="C70" s="12" t="s">
        <v>4</v>
      </c>
      <c r="D70" s="13">
        <v>13680</v>
      </c>
      <c r="E70" s="13">
        <f t="shared" si="0"/>
        <v>1778.4</v>
      </c>
      <c r="F70" s="7"/>
    </row>
    <row r="71" spans="1:6" x14ac:dyDescent="0.2">
      <c r="A71" s="12">
        <v>1100552279</v>
      </c>
      <c r="B71" s="12" t="s">
        <v>70</v>
      </c>
      <c r="C71" s="12" t="s">
        <v>4</v>
      </c>
      <c r="D71" s="13">
        <v>23816</v>
      </c>
      <c r="E71" s="13">
        <f t="shared" si="0"/>
        <v>3096.08</v>
      </c>
      <c r="F71" s="7"/>
    </row>
    <row r="72" spans="1:6" x14ac:dyDescent="0.2">
      <c r="A72" s="12">
        <v>1100552280</v>
      </c>
      <c r="B72" s="12" t="s">
        <v>71</v>
      </c>
      <c r="C72" s="12" t="s">
        <v>2</v>
      </c>
      <c r="D72" s="13">
        <v>6030</v>
      </c>
      <c r="E72" s="13">
        <f t="shared" si="0"/>
        <v>783.9</v>
      </c>
      <c r="F72" s="7"/>
    </row>
    <row r="73" spans="1:6" x14ac:dyDescent="0.2">
      <c r="A73" s="12">
        <v>1100552281</v>
      </c>
      <c r="B73" s="12" t="s">
        <v>72</v>
      </c>
      <c r="C73" s="12" t="s">
        <v>4</v>
      </c>
      <c r="D73" s="13">
        <v>9842</v>
      </c>
      <c r="E73" s="13">
        <f t="shared" si="0"/>
        <v>1279.46</v>
      </c>
      <c r="F73" s="7"/>
    </row>
    <row r="74" spans="1:6" x14ac:dyDescent="0.2">
      <c r="A74" s="12">
        <v>1100552282</v>
      </c>
      <c r="B74" s="12" t="s">
        <v>73</v>
      </c>
      <c r="C74" s="12" t="s">
        <v>2</v>
      </c>
      <c r="D74" s="13">
        <v>6273</v>
      </c>
      <c r="E74" s="13">
        <f t="shared" si="0"/>
        <v>815.49</v>
      </c>
      <c r="F74" s="7"/>
    </row>
    <row r="75" spans="1:6" x14ac:dyDescent="0.2">
      <c r="A75" s="12">
        <v>1100552283</v>
      </c>
      <c r="B75" s="12" t="s">
        <v>74</v>
      </c>
      <c r="C75" s="12" t="s">
        <v>2</v>
      </c>
      <c r="D75" s="13">
        <v>12963</v>
      </c>
      <c r="E75" s="13">
        <f t="shared" si="0"/>
        <v>1685.19</v>
      </c>
      <c r="F75" s="7"/>
    </row>
    <row r="76" spans="1:6" x14ac:dyDescent="0.2">
      <c r="A76" s="12">
        <v>1100552284</v>
      </c>
      <c r="B76" s="12" t="s">
        <v>75</v>
      </c>
      <c r="C76" s="12" t="s">
        <v>2</v>
      </c>
      <c r="D76" s="13">
        <v>4300</v>
      </c>
      <c r="E76" s="13" t="str">
        <f t="shared" si="0"/>
        <v>No Discount</v>
      </c>
      <c r="F76" s="7"/>
    </row>
    <row r="77" spans="1:6" x14ac:dyDescent="0.2">
      <c r="A77" s="12">
        <v>1100552285</v>
      </c>
      <c r="B77" s="12" t="s">
        <v>76</v>
      </c>
      <c r="C77" s="12" t="s">
        <v>4</v>
      </c>
      <c r="D77" s="13">
        <v>18699</v>
      </c>
      <c r="E77" s="13">
        <f t="shared" si="0"/>
        <v>2430.87</v>
      </c>
      <c r="F77" s="7"/>
    </row>
    <row r="78" spans="1:6" x14ac:dyDescent="0.2">
      <c r="A78" s="12">
        <v>1100552286</v>
      </c>
      <c r="B78" s="12" t="s">
        <v>77</v>
      </c>
      <c r="C78" s="12" t="s">
        <v>4</v>
      </c>
      <c r="D78" s="13">
        <v>4937</v>
      </c>
      <c r="E78" s="13" t="str">
        <f t="shared" si="0"/>
        <v>No Discount</v>
      </c>
      <c r="F78" s="7"/>
    </row>
    <row r="79" spans="1:6" x14ac:dyDescent="0.2">
      <c r="A79" s="12">
        <v>1100552287</v>
      </c>
      <c r="B79" s="12" t="s">
        <v>78</v>
      </c>
      <c r="C79" s="12" t="s">
        <v>4</v>
      </c>
      <c r="D79" s="13">
        <v>3358</v>
      </c>
      <c r="E79" s="13" t="str">
        <f t="shared" si="0"/>
        <v>No Discount</v>
      </c>
      <c r="F79" s="7"/>
    </row>
    <row r="80" spans="1:6" x14ac:dyDescent="0.2">
      <c r="A80" s="12">
        <v>1100552288</v>
      </c>
      <c r="B80" s="12" t="s">
        <v>79</v>
      </c>
      <c r="C80" s="12" t="s">
        <v>4</v>
      </c>
      <c r="D80" s="13">
        <v>16658</v>
      </c>
      <c r="E80" s="13">
        <f t="shared" si="0"/>
        <v>2165.54</v>
      </c>
      <c r="F80" s="7"/>
    </row>
    <row r="81" spans="1:6" x14ac:dyDescent="0.2">
      <c r="A81" s="12">
        <v>1100552289</v>
      </c>
      <c r="B81" s="12" t="s">
        <v>80</v>
      </c>
      <c r="C81" s="12" t="s">
        <v>4</v>
      </c>
      <c r="D81" s="13">
        <v>1986</v>
      </c>
      <c r="E81" s="13" t="str">
        <f t="shared" si="0"/>
        <v>No Discount</v>
      </c>
      <c r="F81" s="7"/>
    </row>
    <row r="82" spans="1:6" x14ac:dyDescent="0.2">
      <c r="A82" s="12">
        <v>1100552290</v>
      </c>
      <c r="B82" s="12" t="s">
        <v>80</v>
      </c>
      <c r="C82" s="12" t="s">
        <v>2</v>
      </c>
      <c r="D82" s="13">
        <v>13479</v>
      </c>
      <c r="E82" s="13">
        <f t="shared" si="0"/>
        <v>1752.27</v>
      </c>
      <c r="F82" s="7"/>
    </row>
    <row r="83" spans="1:6" x14ac:dyDescent="0.2">
      <c r="A83" s="12">
        <v>1100552291</v>
      </c>
      <c r="B83" s="12" t="s">
        <v>81</v>
      </c>
      <c r="C83" s="12" t="s">
        <v>4</v>
      </c>
      <c r="D83" s="13">
        <v>8107</v>
      </c>
      <c r="E83" s="13">
        <f t="shared" si="0"/>
        <v>1053.9100000000001</v>
      </c>
      <c r="F83" s="7"/>
    </row>
    <row r="84" spans="1:6" x14ac:dyDescent="0.2">
      <c r="A84" s="12">
        <v>1100552292</v>
      </c>
      <c r="B84" s="12" t="s">
        <v>82</v>
      </c>
      <c r="C84" s="12" t="s">
        <v>2</v>
      </c>
      <c r="D84" s="13">
        <v>20161</v>
      </c>
      <c r="E84" s="13">
        <f t="shared" si="0"/>
        <v>2620.9300000000003</v>
      </c>
      <c r="F84" s="7"/>
    </row>
    <row r="85" spans="1:6" x14ac:dyDescent="0.2">
      <c r="A85" s="12">
        <v>1100552293</v>
      </c>
      <c r="B85" s="12" t="s">
        <v>83</v>
      </c>
      <c r="C85" s="12" t="s">
        <v>2</v>
      </c>
      <c r="D85" s="13">
        <v>22090</v>
      </c>
      <c r="E85" s="13">
        <f t="shared" si="0"/>
        <v>2871.7000000000003</v>
      </c>
      <c r="F85" s="7"/>
    </row>
    <row r="86" spans="1:6" x14ac:dyDescent="0.2">
      <c r="A86" s="12">
        <v>1100552294</v>
      </c>
      <c r="B86" s="12" t="s">
        <v>84</v>
      </c>
      <c r="C86" s="12" t="s">
        <v>2</v>
      </c>
      <c r="D86" s="13">
        <v>8805</v>
      </c>
      <c r="E86" s="13">
        <f t="shared" si="0"/>
        <v>1144.6500000000001</v>
      </c>
      <c r="F86" s="7"/>
    </row>
    <row r="87" spans="1:6" x14ac:dyDescent="0.2">
      <c r="A87" s="12">
        <v>1100552295</v>
      </c>
      <c r="B87" s="12" t="s">
        <v>85</v>
      </c>
      <c r="C87" s="12" t="s">
        <v>4</v>
      </c>
      <c r="D87" s="13">
        <v>20529</v>
      </c>
      <c r="E87" s="13">
        <f t="shared" si="0"/>
        <v>2668.77</v>
      </c>
      <c r="F87" s="7"/>
    </row>
    <row r="88" spans="1:6" x14ac:dyDescent="0.2">
      <c r="A88" s="12">
        <v>1100552296</v>
      </c>
      <c r="B88" s="12" t="s">
        <v>86</v>
      </c>
      <c r="C88" s="12" t="s">
        <v>4</v>
      </c>
      <c r="D88" s="13">
        <v>6035</v>
      </c>
      <c r="E88" s="13">
        <f t="shared" si="0"/>
        <v>784.55000000000007</v>
      </c>
      <c r="F88" s="7"/>
    </row>
    <row r="89" spans="1:6" x14ac:dyDescent="0.2">
      <c r="A89" s="12">
        <v>1100552297</v>
      </c>
      <c r="B89" s="12" t="s">
        <v>87</v>
      </c>
      <c r="C89" s="12" t="s">
        <v>4</v>
      </c>
      <c r="D89" s="13">
        <v>5490</v>
      </c>
      <c r="E89" s="13">
        <f t="shared" si="0"/>
        <v>713.7</v>
      </c>
      <c r="F89" s="7"/>
    </row>
    <row r="90" spans="1:6" x14ac:dyDescent="0.2">
      <c r="A90" s="12">
        <v>1100552298</v>
      </c>
      <c r="B90" s="12" t="s">
        <v>88</v>
      </c>
      <c r="C90" s="12" t="s">
        <v>4</v>
      </c>
      <c r="D90" s="13">
        <v>4513</v>
      </c>
      <c r="E90" s="13" t="str">
        <f t="shared" si="0"/>
        <v>No Discount</v>
      </c>
      <c r="F90" s="7"/>
    </row>
    <row r="91" spans="1:6" x14ac:dyDescent="0.2">
      <c r="A91" s="12">
        <v>1100552299</v>
      </c>
      <c r="B91" s="12" t="s">
        <v>89</v>
      </c>
      <c r="C91" s="12" t="s">
        <v>4</v>
      </c>
      <c r="D91" s="13">
        <v>12076</v>
      </c>
      <c r="E91" s="13">
        <f t="shared" si="0"/>
        <v>1569.88</v>
      </c>
      <c r="F91" s="7"/>
    </row>
    <row r="92" spans="1:6" x14ac:dyDescent="0.2">
      <c r="A92" s="12">
        <v>1100552300</v>
      </c>
      <c r="B92" s="12" t="s">
        <v>90</v>
      </c>
      <c r="C92" s="12" t="s">
        <v>2</v>
      </c>
      <c r="D92" s="13">
        <v>2252</v>
      </c>
      <c r="E92" s="13" t="str">
        <f t="shared" si="0"/>
        <v>No Discount</v>
      </c>
      <c r="F92" s="7"/>
    </row>
    <row r="93" spans="1:6" x14ac:dyDescent="0.2">
      <c r="A93" s="12">
        <v>1100552301</v>
      </c>
      <c r="B93" s="12" t="s">
        <v>91</v>
      </c>
      <c r="C93" s="12" t="s">
        <v>4</v>
      </c>
      <c r="D93" s="13">
        <v>21743</v>
      </c>
      <c r="E93" s="13">
        <f t="shared" si="0"/>
        <v>2826.59</v>
      </c>
      <c r="F93" s="7"/>
    </row>
    <row r="94" spans="1:6" x14ac:dyDescent="0.2">
      <c r="A94" s="12">
        <v>1100552302</v>
      </c>
      <c r="B94" s="12" t="s">
        <v>92</v>
      </c>
      <c r="C94" s="12" t="s">
        <v>2</v>
      </c>
      <c r="D94" s="13">
        <v>12389</v>
      </c>
      <c r="E94" s="13">
        <f t="shared" si="0"/>
        <v>1610.5700000000002</v>
      </c>
      <c r="F94" s="7"/>
    </row>
    <row r="95" spans="1:6" x14ac:dyDescent="0.2">
      <c r="A95" s="12">
        <v>1100552303</v>
      </c>
      <c r="B95" s="12" t="s">
        <v>93</v>
      </c>
      <c r="C95" s="12" t="s">
        <v>2</v>
      </c>
      <c r="D95" s="13">
        <v>4343</v>
      </c>
      <c r="E95" s="13" t="str">
        <f t="shared" si="0"/>
        <v>No Discount</v>
      </c>
      <c r="F95" s="7"/>
    </row>
    <row r="96" spans="1:6" x14ac:dyDescent="0.2">
      <c r="A96" s="12">
        <v>1100552304</v>
      </c>
      <c r="B96" s="12" t="s">
        <v>94</v>
      </c>
      <c r="C96" s="12" t="s">
        <v>2</v>
      </c>
      <c r="D96" s="13">
        <v>18671</v>
      </c>
      <c r="E96" s="13">
        <f t="shared" si="0"/>
        <v>2427.23</v>
      </c>
      <c r="F96" s="7"/>
    </row>
    <row r="97" spans="1:6" x14ac:dyDescent="0.2">
      <c r="A97" s="12">
        <v>1100552305</v>
      </c>
      <c r="B97" s="12" t="s">
        <v>174</v>
      </c>
      <c r="C97" s="12" t="s">
        <v>2</v>
      </c>
      <c r="D97" s="13">
        <v>1847</v>
      </c>
      <c r="E97" s="13" t="str">
        <f t="shared" si="0"/>
        <v>No Discount</v>
      </c>
      <c r="F97" s="7"/>
    </row>
    <row r="98" spans="1:6" x14ac:dyDescent="0.2">
      <c r="A98" s="12">
        <v>1100552306</v>
      </c>
      <c r="B98" s="12" t="s">
        <v>175</v>
      </c>
      <c r="C98" s="12" t="s">
        <v>4</v>
      </c>
      <c r="D98" s="13">
        <v>15542</v>
      </c>
      <c r="E98" s="13">
        <f t="shared" si="0"/>
        <v>2020.46</v>
      </c>
      <c r="F98" s="7"/>
    </row>
    <row r="99" spans="1:6" x14ac:dyDescent="0.2">
      <c r="A99" s="12">
        <v>1100552307</v>
      </c>
      <c r="B99" s="12" t="s">
        <v>176</v>
      </c>
      <c r="C99" s="12" t="s">
        <v>2</v>
      </c>
      <c r="D99" s="13">
        <v>11998</v>
      </c>
      <c r="E99" s="13">
        <f t="shared" si="0"/>
        <v>1559.74</v>
      </c>
      <c r="F99" s="7"/>
    </row>
    <row r="100" spans="1:6" x14ac:dyDescent="0.2">
      <c r="A100" s="12">
        <v>1100552308</v>
      </c>
      <c r="B100" s="12" t="s">
        <v>177</v>
      </c>
      <c r="C100" s="12" t="s">
        <v>2</v>
      </c>
      <c r="D100" s="13">
        <v>7178</v>
      </c>
      <c r="E100" s="13">
        <f t="shared" si="0"/>
        <v>933.14</v>
      </c>
      <c r="F100" s="7"/>
    </row>
    <row r="101" spans="1:6" x14ac:dyDescent="0.2">
      <c r="A101" s="12">
        <v>1100552309</v>
      </c>
      <c r="B101" s="12" t="s">
        <v>178</v>
      </c>
      <c r="C101" s="12" t="s">
        <v>2</v>
      </c>
      <c r="D101" s="13">
        <v>23506</v>
      </c>
      <c r="E101" s="13">
        <f t="shared" si="0"/>
        <v>3055.78</v>
      </c>
      <c r="F101" s="7"/>
    </row>
    <row r="102" spans="1:6" x14ac:dyDescent="0.2">
      <c r="A102" s="12">
        <v>1100552310</v>
      </c>
      <c r="B102" s="12" t="s">
        <v>179</v>
      </c>
      <c r="C102" s="12" t="s">
        <v>4</v>
      </c>
      <c r="D102" s="13">
        <v>18410</v>
      </c>
      <c r="E102" s="13">
        <f t="shared" si="0"/>
        <v>2393.3000000000002</v>
      </c>
      <c r="F102" s="7"/>
    </row>
    <row r="103" spans="1:6" x14ac:dyDescent="0.2">
      <c r="A103" s="12">
        <v>1100552311</v>
      </c>
      <c r="B103" s="12" t="s">
        <v>180</v>
      </c>
      <c r="C103" s="12" t="s">
        <v>4</v>
      </c>
      <c r="D103" s="13">
        <v>8124</v>
      </c>
      <c r="E103" s="13">
        <f t="shared" si="0"/>
        <v>1056.1200000000001</v>
      </c>
      <c r="F103" s="7"/>
    </row>
    <row r="104" spans="1:6" x14ac:dyDescent="0.2">
      <c r="A104" s="12">
        <v>1100552312</v>
      </c>
      <c r="B104" s="12" t="s">
        <v>181</v>
      </c>
      <c r="C104" s="12" t="s">
        <v>4</v>
      </c>
      <c r="D104" s="13">
        <v>12170</v>
      </c>
      <c r="E104" s="13">
        <f t="shared" si="0"/>
        <v>1582.1000000000001</v>
      </c>
      <c r="F104" s="7"/>
    </row>
    <row r="105" spans="1:6" x14ac:dyDescent="0.2">
      <c r="A105" s="12">
        <v>1100552313</v>
      </c>
      <c r="B105" s="12" t="s">
        <v>182</v>
      </c>
      <c r="C105" s="12" t="s">
        <v>4</v>
      </c>
      <c r="D105" s="13">
        <v>17968</v>
      </c>
      <c r="E105" s="13">
        <f t="shared" si="0"/>
        <v>2335.84</v>
      </c>
      <c r="F105" s="7"/>
    </row>
    <row r="106" spans="1:6" x14ac:dyDescent="0.2">
      <c r="A106" s="12">
        <v>1100552314</v>
      </c>
      <c r="B106" s="12" t="s">
        <v>183</v>
      </c>
      <c r="C106" s="12" t="s">
        <v>4</v>
      </c>
      <c r="D106" s="13">
        <v>6556</v>
      </c>
      <c r="E106" s="13">
        <f t="shared" si="0"/>
        <v>852.28</v>
      </c>
      <c r="F106" s="7"/>
    </row>
    <row r="107" spans="1:6" x14ac:dyDescent="0.2">
      <c r="A107" s="12">
        <v>1100552315</v>
      </c>
      <c r="B107" s="12" t="s">
        <v>184</v>
      </c>
      <c r="C107" s="12" t="s">
        <v>2</v>
      </c>
      <c r="D107" s="13">
        <v>10604</v>
      </c>
      <c r="E107" s="13">
        <f t="shared" si="0"/>
        <v>1378.52</v>
      </c>
      <c r="F107" s="7"/>
    </row>
    <row r="108" spans="1:6" x14ac:dyDescent="0.2">
      <c r="A108" s="12">
        <v>1100552316</v>
      </c>
      <c r="B108" s="12" t="s">
        <v>185</v>
      </c>
      <c r="C108" s="12" t="s">
        <v>4</v>
      </c>
      <c r="D108" s="13">
        <v>17311</v>
      </c>
      <c r="E108" s="13">
        <f t="shared" si="0"/>
        <v>2250.4300000000003</v>
      </c>
      <c r="F108" s="7"/>
    </row>
    <row r="109" spans="1:6" x14ac:dyDescent="0.2">
      <c r="A109" s="12">
        <v>1100552317</v>
      </c>
      <c r="B109" s="12" t="s">
        <v>186</v>
      </c>
      <c r="C109" s="12" t="s">
        <v>2</v>
      </c>
      <c r="D109" s="13">
        <v>4975</v>
      </c>
      <c r="E109" s="13" t="str">
        <f t="shared" si="0"/>
        <v>No Discount</v>
      </c>
      <c r="F109" s="7"/>
    </row>
    <row r="110" spans="1:6" x14ac:dyDescent="0.2">
      <c r="A110" s="12">
        <v>1100552318</v>
      </c>
      <c r="B110" s="12" t="s">
        <v>187</v>
      </c>
      <c r="C110" s="12" t="s">
        <v>2</v>
      </c>
      <c r="D110" s="13">
        <v>4511</v>
      </c>
      <c r="E110" s="13" t="str">
        <f t="shared" si="0"/>
        <v>No Discount</v>
      </c>
      <c r="F110" s="7"/>
    </row>
    <row r="111" spans="1:6" x14ac:dyDescent="0.2">
      <c r="A111" s="12">
        <v>1100552319</v>
      </c>
      <c r="B111" s="12" t="s">
        <v>188</v>
      </c>
      <c r="C111" s="12" t="s">
        <v>2</v>
      </c>
      <c r="D111" s="13">
        <v>8037</v>
      </c>
      <c r="E111" s="13">
        <f t="shared" si="0"/>
        <v>1044.81</v>
      </c>
      <c r="F111" s="7"/>
    </row>
    <row r="112" spans="1:6" x14ac:dyDescent="0.2">
      <c r="A112" s="12">
        <v>1100552320</v>
      </c>
      <c r="B112" s="12" t="s">
        <v>189</v>
      </c>
      <c r="C112" s="12" t="s">
        <v>4</v>
      </c>
      <c r="D112" s="13">
        <v>9883</v>
      </c>
      <c r="E112" s="13">
        <f t="shared" si="0"/>
        <v>1284.79</v>
      </c>
      <c r="F112" s="7"/>
    </row>
    <row r="113" spans="1:6" x14ac:dyDescent="0.2">
      <c r="A113" s="12">
        <v>1100552321</v>
      </c>
      <c r="B113" s="12" t="s">
        <v>103</v>
      </c>
      <c r="C113" s="12" t="s">
        <v>4</v>
      </c>
      <c r="D113" s="13">
        <v>13590</v>
      </c>
      <c r="E113" s="13">
        <f t="shared" si="0"/>
        <v>1766.7</v>
      </c>
      <c r="F113" s="7"/>
    </row>
    <row r="114" spans="1:6" x14ac:dyDescent="0.2">
      <c r="A114" s="12">
        <v>1100552322</v>
      </c>
      <c r="B114" s="12" t="s">
        <v>105</v>
      </c>
      <c r="C114" s="12" t="s">
        <v>4</v>
      </c>
      <c r="D114" s="13">
        <v>19396</v>
      </c>
      <c r="E114" s="13">
        <f t="shared" si="0"/>
        <v>2521.48</v>
      </c>
      <c r="F114" s="7"/>
    </row>
    <row r="115" spans="1:6" x14ac:dyDescent="0.2">
      <c r="A115" s="12">
        <v>1100552323</v>
      </c>
      <c r="B115" s="12" t="s">
        <v>108</v>
      </c>
      <c r="C115" s="12" t="s">
        <v>4</v>
      </c>
      <c r="D115" s="13">
        <v>13395</v>
      </c>
      <c r="E115" s="13">
        <f t="shared" si="0"/>
        <v>1741.3500000000001</v>
      </c>
      <c r="F115" s="7"/>
    </row>
    <row r="116" spans="1:6" x14ac:dyDescent="0.2">
      <c r="A116" s="12">
        <v>1100552324</v>
      </c>
      <c r="B116" s="12" t="s">
        <v>111</v>
      </c>
      <c r="C116" s="12" t="s">
        <v>4</v>
      </c>
      <c r="D116" s="13">
        <v>14266</v>
      </c>
      <c r="E116" s="13">
        <f t="shared" si="0"/>
        <v>1854.5800000000002</v>
      </c>
      <c r="F116" s="7"/>
    </row>
    <row r="117" spans="1:6" x14ac:dyDescent="0.2">
      <c r="A117" s="12">
        <v>1100552325</v>
      </c>
      <c r="B117" s="12" t="s">
        <v>114</v>
      </c>
      <c r="C117" s="12" t="s">
        <v>2</v>
      </c>
      <c r="D117" s="13">
        <v>2294</v>
      </c>
      <c r="E117" s="13" t="str">
        <f t="shared" si="0"/>
        <v>No Discount</v>
      </c>
      <c r="F117" s="7"/>
    </row>
    <row r="118" spans="1:6" x14ac:dyDescent="0.2">
      <c r="A118" s="12">
        <v>1100552326</v>
      </c>
      <c r="B118" s="12" t="s">
        <v>115</v>
      </c>
      <c r="C118" s="12" t="s">
        <v>4</v>
      </c>
      <c r="D118" s="13">
        <v>22164</v>
      </c>
      <c r="E118" s="13">
        <f t="shared" si="0"/>
        <v>2881.32</v>
      </c>
      <c r="F118" s="7"/>
    </row>
    <row r="119" spans="1:6" x14ac:dyDescent="0.2">
      <c r="A119" s="12">
        <v>1100552327</v>
      </c>
      <c r="B119" s="12" t="s">
        <v>117</v>
      </c>
      <c r="C119" s="12" t="s">
        <v>2</v>
      </c>
      <c r="D119" s="13">
        <v>22677</v>
      </c>
      <c r="E119" s="13">
        <f t="shared" si="0"/>
        <v>2948.01</v>
      </c>
      <c r="F119" s="7"/>
    </row>
    <row r="120" spans="1:6" x14ac:dyDescent="0.2">
      <c r="A120" s="12">
        <v>1100552328</v>
      </c>
      <c r="B120" s="12" t="s">
        <v>118</v>
      </c>
      <c r="C120" s="12" t="s">
        <v>2</v>
      </c>
      <c r="D120" s="13">
        <v>23907</v>
      </c>
      <c r="E120" s="13">
        <f t="shared" si="0"/>
        <v>3107.9100000000003</v>
      </c>
      <c r="F120" s="7"/>
    </row>
    <row r="121" spans="1:6" x14ac:dyDescent="0.2">
      <c r="A121" s="12">
        <v>1100552329</v>
      </c>
      <c r="B121" s="12" t="s">
        <v>119</v>
      </c>
      <c r="C121" s="12" t="s">
        <v>2</v>
      </c>
      <c r="D121" s="13">
        <v>23269</v>
      </c>
      <c r="E121" s="13">
        <f t="shared" si="0"/>
        <v>3024.9700000000003</v>
      </c>
      <c r="F121" s="7"/>
    </row>
    <row r="122" spans="1:6" x14ac:dyDescent="0.2">
      <c r="A122" s="12">
        <v>1100552330</v>
      </c>
      <c r="B122" s="12" t="s">
        <v>120</v>
      </c>
      <c r="C122" s="12" t="s">
        <v>4</v>
      </c>
      <c r="D122" s="13">
        <v>12195</v>
      </c>
      <c r="E122" s="13">
        <f t="shared" si="0"/>
        <v>1585.3500000000001</v>
      </c>
      <c r="F122" s="7"/>
    </row>
    <row r="123" spans="1:6" x14ac:dyDescent="0.2">
      <c r="A123" s="12">
        <v>1100552331</v>
      </c>
      <c r="B123" s="12" t="s">
        <v>103</v>
      </c>
      <c r="C123" s="12" t="s">
        <v>4</v>
      </c>
      <c r="D123" s="13">
        <v>13710</v>
      </c>
      <c r="E123" s="13">
        <f t="shared" si="0"/>
        <v>1782.3</v>
      </c>
      <c r="F123" s="7"/>
    </row>
    <row r="124" spans="1:6" x14ac:dyDescent="0.2">
      <c r="A124" s="12">
        <v>1100552332</v>
      </c>
      <c r="B124" s="12" t="s">
        <v>105</v>
      </c>
      <c r="C124" s="12" t="s">
        <v>4</v>
      </c>
      <c r="D124" s="13">
        <v>15853</v>
      </c>
      <c r="E124" s="13">
        <f t="shared" si="0"/>
        <v>2060.89</v>
      </c>
      <c r="F124" s="7"/>
    </row>
    <row r="125" spans="1:6" x14ac:dyDescent="0.2">
      <c r="A125" s="12">
        <v>1100552333</v>
      </c>
      <c r="B125" s="12" t="s">
        <v>108</v>
      </c>
      <c r="C125" s="12" t="s">
        <v>4</v>
      </c>
      <c r="D125" s="13">
        <v>2691</v>
      </c>
      <c r="E125" s="13" t="str">
        <f t="shared" si="0"/>
        <v>No Discount</v>
      </c>
      <c r="F125" s="7"/>
    </row>
    <row r="126" spans="1:6" x14ac:dyDescent="0.2">
      <c r="A126" s="12">
        <v>1100552334</v>
      </c>
      <c r="B126" s="12" t="s">
        <v>111</v>
      </c>
      <c r="C126" s="12" t="s">
        <v>4</v>
      </c>
      <c r="D126" s="13">
        <v>4092</v>
      </c>
      <c r="E126" s="13" t="str">
        <f t="shared" si="0"/>
        <v>No Discount</v>
      </c>
      <c r="F126" s="7"/>
    </row>
    <row r="127" spans="1:6" x14ac:dyDescent="0.2">
      <c r="A127" s="12">
        <v>1100552335</v>
      </c>
      <c r="B127" s="12" t="s">
        <v>114</v>
      </c>
      <c r="C127" s="12" t="s">
        <v>2</v>
      </c>
      <c r="D127" s="13">
        <v>18622</v>
      </c>
      <c r="E127" s="13">
        <f t="shared" si="0"/>
        <v>2420.86</v>
      </c>
      <c r="F127" s="7"/>
    </row>
    <row r="128" spans="1:6" x14ac:dyDescent="0.2">
      <c r="A128" s="12">
        <v>1100552336</v>
      </c>
      <c r="B128" s="12" t="s">
        <v>115</v>
      </c>
      <c r="C128" s="12" t="s">
        <v>4</v>
      </c>
      <c r="D128" s="13">
        <v>21825</v>
      </c>
      <c r="E128" s="13">
        <f t="shared" si="0"/>
        <v>2837.25</v>
      </c>
      <c r="F128" s="7"/>
    </row>
    <row r="129" spans="1:6" x14ac:dyDescent="0.2">
      <c r="A129" s="12">
        <v>1100552337</v>
      </c>
      <c r="B129" s="12" t="s">
        <v>117</v>
      </c>
      <c r="C129" s="12" t="s">
        <v>2</v>
      </c>
      <c r="D129" s="13">
        <v>14838</v>
      </c>
      <c r="E129" s="13">
        <f t="shared" si="0"/>
        <v>1928.94</v>
      </c>
      <c r="F129" s="7"/>
    </row>
    <row r="130" spans="1:6" x14ac:dyDescent="0.2">
      <c r="A130" s="12">
        <v>1100552338</v>
      </c>
      <c r="B130" s="12" t="s">
        <v>118</v>
      </c>
      <c r="C130" s="12" t="s">
        <v>2</v>
      </c>
      <c r="D130" s="13">
        <v>13821</v>
      </c>
      <c r="E130" s="13">
        <f t="shared" si="0"/>
        <v>1796.73</v>
      </c>
      <c r="F130" s="7"/>
    </row>
    <row r="131" spans="1:6" x14ac:dyDescent="0.2">
      <c r="A131" s="12">
        <v>1100552339</v>
      </c>
      <c r="B131" s="12" t="s">
        <v>119</v>
      </c>
      <c r="C131" s="12" t="s">
        <v>2</v>
      </c>
      <c r="D131" s="13">
        <v>10486</v>
      </c>
      <c r="E131" s="13">
        <f t="shared" ref="E131:E194" si="1">IF(D131&gt;5000,D131*13%,"No Discount")</f>
        <v>1363.18</v>
      </c>
      <c r="F131" s="7"/>
    </row>
    <row r="132" spans="1:6" x14ac:dyDescent="0.2">
      <c r="A132" s="12">
        <v>1100552340</v>
      </c>
      <c r="B132" s="12" t="s">
        <v>120</v>
      </c>
      <c r="C132" s="12" t="s">
        <v>4</v>
      </c>
      <c r="D132" s="13">
        <v>11817</v>
      </c>
      <c r="E132" s="13">
        <f t="shared" si="1"/>
        <v>1536.21</v>
      </c>
      <c r="F132" s="7"/>
    </row>
    <row r="133" spans="1:6" x14ac:dyDescent="0.2">
      <c r="A133" s="12">
        <v>1100552341</v>
      </c>
      <c r="B133" s="12" t="s">
        <v>103</v>
      </c>
      <c r="C133" s="12" t="s">
        <v>4</v>
      </c>
      <c r="D133" s="13">
        <v>3287</v>
      </c>
      <c r="E133" s="13" t="str">
        <f t="shared" si="1"/>
        <v>No Discount</v>
      </c>
      <c r="F133" s="7"/>
    </row>
    <row r="134" spans="1:6" x14ac:dyDescent="0.2">
      <c r="A134" s="12">
        <v>1100552342</v>
      </c>
      <c r="B134" s="12" t="s">
        <v>105</v>
      </c>
      <c r="C134" s="12" t="s">
        <v>4</v>
      </c>
      <c r="D134" s="13">
        <v>13606</v>
      </c>
      <c r="E134" s="13">
        <f t="shared" si="1"/>
        <v>1768.78</v>
      </c>
      <c r="F134" s="7"/>
    </row>
    <row r="135" spans="1:6" x14ac:dyDescent="0.2">
      <c r="A135" s="12">
        <v>1100552343</v>
      </c>
      <c r="B135" s="12" t="s">
        <v>108</v>
      </c>
      <c r="C135" s="12" t="s">
        <v>4</v>
      </c>
      <c r="D135" s="13">
        <v>18254</v>
      </c>
      <c r="E135" s="13">
        <f t="shared" si="1"/>
        <v>2373.02</v>
      </c>
      <c r="F135" s="7"/>
    </row>
    <row r="136" spans="1:6" x14ac:dyDescent="0.2">
      <c r="A136" s="12">
        <v>1100552344</v>
      </c>
      <c r="B136" s="12" t="s">
        <v>111</v>
      </c>
      <c r="C136" s="12" t="s">
        <v>4</v>
      </c>
      <c r="D136" s="13">
        <v>1994</v>
      </c>
      <c r="E136" s="13" t="str">
        <f t="shared" si="1"/>
        <v>No Discount</v>
      </c>
      <c r="F136" s="7"/>
    </row>
    <row r="137" spans="1:6" x14ac:dyDescent="0.2">
      <c r="A137" s="12">
        <v>1100552345</v>
      </c>
      <c r="B137" s="12" t="s">
        <v>114</v>
      </c>
      <c r="C137" s="12" t="s">
        <v>2</v>
      </c>
      <c r="D137" s="13">
        <v>15908</v>
      </c>
      <c r="E137" s="13">
        <f t="shared" si="1"/>
        <v>2068.04</v>
      </c>
      <c r="F137" s="7"/>
    </row>
    <row r="138" spans="1:6" x14ac:dyDescent="0.2">
      <c r="A138" s="12">
        <v>1100552346</v>
      </c>
      <c r="B138" s="12" t="s">
        <v>115</v>
      </c>
      <c r="C138" s="12" t="s">
        <v>4</v>
      </c>
      <c r="D138" s="13">
        <v>11304</v>
      </c>
      <c r="E138" s="13">
        <f t="shared" si="1"/>
        <v>1469.52</v>
      </c>
      <c r="F138" s="7"/>
    </row>
    <row r="139" spans="1:6" x14ac:dyDescent="0.2">
      <c r="A139" s="12">
        <v>1100552347</v>
      </c>
      <c r="B139" s="12" t="s">
        <v>117</v>
      </c>
      <c r="C139" s="12" t="s">
        <v>2</v>
      </c>
      <c r="D139" s="13">
        <v>23560</v>
      </c>
      <c r="E139" s="13">
        <f t="shared" si="1"/>
        <v>3062.8</v>
      </c>
      <c r="F139" s="7"/>
    </row>
    <row r="140" spans="1:6" x14ac:dyDescent="0.2">
      <c r="A140" s="12">
        <v>1100552348</v>
      </c>
      <c r="B140" s="12" t="s">
        <v>118</v>
      </c>
      <c r="C140" s="12" t="s">
        <v>2</v>
      </c>
      <c r="D140" s="13">
        <v>18531</v>
      </c>
      <c r="E140" s="13">
        <f t="shared" si="1"/>
        <v>2409.0300000000002</v>
      </c>
      <c r="F140" s="7"/>
    </row>
    <row r="141" spans="1:6" x14ac:dyDescent="0.2">
      <c r="A141" s="12">
        <v>1100552349</v>
      </c>
      <c r="B141" s="12" t="s">
        <v>119</v>
      </c>
      <c r="C141" s="12" t="s">
        <v>2</v>
      </c>
      <c r="D141" s="13">
        <v>3649</v>
      </c>
      <c r="E141" s="13" t="str">
        <f t="shared" si="1"/>
        <v>No Discount</v>
      </c>
      <c r="F141" s="7"/>
    </row>
    <row r="142" spans="1:6" x14ac:dyDescent="0.2">
      <c r="A142" s="12">
        <v>1100552350</v>
      </c>
      <c r="B142" s="12" t="s">
        <v>120</v>
      </c>
      <c r="C142" s="12" t="s">
        <v>4</v>
      </c>
      <c r="D142" s="13">
        <v>11936</v>
      </c>
      <c r="E142" s="13">
        <f t="shared" si="1"/>
        <v>1551.68</v>
      </c>
      <c r="F142" s="7"/>
    </row>
    <row r="143" spans="1:6" x14ac:dyDescent="0.2">
      <c r="A143" s="12">
        <v>1100552351</v>
      </c>
      <c r="B143" s="12" t="s">
        <v>103</v>
      </c>
      <c r="C143" s="12" t="s">
        <v>4</v>
      </c>
      <c r="D143" s="13">
        <v>19143</v>
      </c>
      <c r="E143" s="13">
        <f t="shared" si="1"/>
        <v>2488.59</v>
      </c>
      <c r="F143" s="7"/>
    </row>
    <row r="144" spans="1:6" x14ac:dyDescent="0.2">
      <c r="A144" s="12">
        <v>1100552352</v>
      </c>
      <c r="B144" s="12" t="s">
        <v>105</v>
      </c>
      <c r="C144" s="12" t="s">
        <v>4</v>
      </c>
      <c r="D144" s="13">
        <v>17763</v>
      </c>
      <c r="E144" s="13">
        <f t="shared" si="1"/>
        <v>2309.19</v>
      </c>
      <c r="F144" s="7"/>
    </row>
    <row r="145" spans="1:6" x14ac:dyDescent="0.2">
      <c r="A145" s="12">
        <v>1100552353</v>
      </c>
      <c r="B145" s="12" t="s">
        <v>108</v>
      </c>
      <c r="C145" s="12" t="s">
        <v>4</v>
      </c>
      <c r="D145" s="13">
        <v>16746</v>
      </c>
      <c r="E145" s="13">
        <f t="shared" si="1"/>
        <v>2176.98</v>
      </c>
      <c r="F145" s="7"/>
    </row>
    <row r="146" spans="1:6" x14ac:dyDescent="0.2">
      <c r="A146" s="12">
        <v>1100552354</v>
      </c>
      <c r="B146" s="12" t="s">
        <v>111</v>
      </c>
      <c r="C146" s="12" t="s">
        <v>4</v>
      </c>
      <c r="D146" s="13">
        <v>5829</v>
      </c>
      <c r="E146" s="13">
        <f t="shared" si="1"/>
        <v>757.77</v>
      </c>
      <c r="F146" s="7"/>
    </row>
    <row r="147" spans="1:6" x14ac:dyDescent="0.2">
      <c r="A147" s="12">
        <v>1100552355</v>
      </c>
      <c r="B147" s="12" t="s">
        <v>114</v>
      </c>
      <c r="C147" s="12" t="s">
        <v>2</v>
      </c>
      <c r="D147" s="13">
        <v>17900</v>
      </c>
      <c r="E147" s="13">
        <f t="shared" si="1"/>
        <v>2327</v>
      </c>
      <c r="F147" s="7"/>
    </row>
    <row r="148" spans="1:6" x14ac:dyDescent="0.2">
      <c r="A148" s="12">
        <v>1100552356</v>
      </c>
      <c r="B148" s="12" t="s">
        <v>115</v>
      </c>
      <c r="C148" s="12" t="s">
        <v>4</v>
      </c>
      <c r="D148" s="13">
        <v>24036</v>
      </c>
      <c r="E148" s="13">
        <f t="shared" si="1"/>
        <v>3124.6800000000003</v>
      </c>
      <c r="F148" s="7"/>
    </row>
    <row r="149" spans="1:6" x14ac:dyDescent="0.2">
      <c r="A149" s="12">
        <v>1100552357</v>
      </c>
      <c r="B149" s="12" t="s">
        <v>117</v>
      </c>
      <c r="C149" s="12" t="s">
        <v>2</v>
      </c>
      <c r="D149" s="13">
        <v>3976</v>
      </c>
      <c r="E149" s="13" t="str">
        <f t="shared" si="1"/>
        <v>No Discount</v>
      </c>
      <c r="F149" s="7"/>
    </row>
    <row r="150" spans="1:6" x14ac:dyDescent="0.2">
      <c r="A150" s="12">
        <v>1100552358</v>
      </c>
      <c r="B150" s="12" t="s">
        <v>118</v>
      </c>
      <c r="C150" s="12" t="s">
        <v>2</v>
      </c>
      <c r="D150" s="13">
        <v>16073</v>
      </c>
      <c r="E150" s="13">
        <f t="shared" si="1"/>
        <v>2089.4900000000002</v>
      </c>
      <c r="F150" s="7"/>
    </row>
    <row r="151" spans="1:6" x14ac:dyDescent="0.2">
      <c r="A151" s="12">
        <v>1100552359</v>
      </c>
      <c r="B151" s="12" t="s">
        <v>119</v>
      </c>
      <c r="C151" s="12" t="s">
        <v>2</v>
      </c>
      <c r="D151" s="13">
        <v>24262</v>
      </c>
      <c r="E151" s="13">
        <f t="shared" si="1"/>
        <v>3154.06</v>
      </c>
      <c r="F151" s="7"/>
    </row>
    <row r="152" spans="1:6" x14ac:dyDescent="0.2">
      <c r="A152" s="12">
        <v>1100552360</v>
      </c>
      <c r="B152" s="12" t="s">
        <v>120</v>
      </c>
      <c r="C152" s="12" t="s">
        <v>4</v>
      </c>
      <c r="D152" s="13">
        <v>13363</v>
      </c>
      <c r="E152" s="13">
        <f t="shared" si="1"/>
        <v>1737.19</v>
      </c>
      <c r="F152" s="7"/>
    </row>
    <row r="153" spans="1:6" x14ac:dyDescent="0.2">
      <c r="A153" s="12">
        <v>1100552361</v>
      </c>
      <c r="B153" s="12" t="s">
        <v>103</v>
      </c>
      <c r="C153" s="12" t="s">
        <v>4</v>
      </c>
      <c r="D153" s="13">
        <v>5822</v>
      </c>
      <c r="E153" s="13">
        <f t="shared" si="1"/>
        <v>756.86</v>
      </c>
      <c r="F153" s="7"/>
    </row>
    <row r="154" spans="1:6" x14ac:dyDescent="0.2">
      <c r="A154" s="12">
        <v>1100552362</v>
      </c>
      <c r="B154" s="12" t="s">
        <v>105</v>
      </c>
      <c r="C154" s="12" t="s">
        <v>4</v>
      </c>
      <c r="D154" s="13">
        <v>24324</v>
      </c>
      <c r="E154" s="13">
        <f t="shared" si="1"/>
        <v>3162.12</v>
      </c>
      <c r="F154" s="7"/>
    </row>
    <row r="155" spans="1:6" x14ac:dyDescent="0.2">
      <c r="A155" s="12">
        <v>1100552363</v>
      </c>
      <c r="B155" s="12" t="s">
        <v>108</v>
      </c>
      <c r="C155" s="12" t="s">
        <v>4</v>
      </c>
      <c r="D155" s="13">
        <v>18008</v>
      </c>
      <c r="E155" s="13">
        <f t="shared" si="1"/>
        <v>2341.04</v>
      </c>
      <c r="F155" s="7"/>
    </row>
    <row r="156" spans="1:6" x14ac:dyDescent="0.2">
      <c r="A156" s="12">
        <v>1100552364</v>
      </c>
      <c r="B156" s="12" t="s">
        <v>111</v>
      </c>
      <c r="C156" s="12" t="s">
        <v>4</v>
      </c>
      <c r="D156" s="13">
        <v>9558</v>
      </c>
      <c r="E156" s="13">
        <f t="shared" si="1"/>
        <v>1242.54</v>
      </c>
      <c r="F156" s="7"/>
    </row>
    <row r="157" spans="1:6" x14ac:dyDescent="0.2">
      <c r="A157" s="12">
        <v>1100552365</v>
      </c>
      <c r="B157" s="12" t="s">
        <v>114</v>
      </c>
      <c r="C157" s="12" t="s">
        <v>2</v>
      </c>
      <c r="D157" s="13">
        <v>23366</v>
      </c>
      <c r="E157" s="13">
        <f t="shared" si="1"/>
        <v>3037.58</v>
      </c>
      <c r="F157" s="7"/>
    </row>
    <row r="158" spans="1:6" x14ac:dyDescent="0.2">
      <c r="A158" s="12">
        <v>1100552366</v>
      </c>
      <c r="B158" s="12" t="s">
        <v>115</v>
      </c>
      <c r="C158" s="12" t="s">
        <v>4</v>
      </c>
      <c r="D158" s="13">
        <v>12308</v>
      </c>
      <c r="E158" s="13">
        <f t="shared" si="1"/>
        <v>1600.04</v>
      </c>
      <c r="F158" s="7"/>
    </row>
    <row r="159" spans="1:6" x14ac:dyDescent="0.2">
      <c r="A159" s="12">
        <v>1100552367</v>
      </c>
      <c r="B159" s="12" t="s">
        <v>117</v>
      </c>
      <c r="C159" s="12" t="s">
        <v>2</v>
      </c>
      <c r="D159" s="13">
        <v>8174</v>
      </c>
      <c r="E159" s="13">
        <f t="shared" si="1"/>
        <v>1062.6200000000001</v>
      </c>
      <c r="F159" s="7"/>
    </row>
    <row r="160" spans="1:6" x14ac:dyDescent="0.2">
      <c r="A160" s="12">
        <v>1100552368</v>
      </c>
      <c r="B160" s="12" t="s">
        <v>118</v>
      </c>
      <c r="C160" s="12" t="s">
        <v>2</v>
      </c>
      <c r="D160" s="13">
        <v>10077</v>
      </c>
      <c r="E160" s="13">
        <f t="shared" si="1"/>
        <v>1310.01</v>
      </c>
      <c r="F160" s="7"/>
    </row>
    <row r="161" spans="1:6" x14ac:dyDescent="0.2">
      <c r="A161" s="12">
        <v>1100552369</v>
      </c>
      <c r="B161" s="12" t="s">
        <v>119</v>
      </c>
      <c r="C161" s="12" t="s">
        <v>2</v>
      </c>
      <c r="D161" s="13">
        <v>6321</v>
      </c>
      <c r="E161" s="13">
        <f t="shared" si="1"/>
        <v>821.73</v>
      </c>
      <c r="F161" s="7"/>
    </row>
    <row r="162" spans="1:6" x14ac:dyDescent="0.2">
      <c r="A162" s="12">
        <v>1100552370</v>
      </c>
      <c r="B162" s="12" t="s">
        <v>120</v>
      </c>
      <c r="C162" s="12" t="s">
        <v>4</v>
      </c>
      <c r="D162" s="13">
        <v>12926</v>
      </c>
      <c r="E162" s="13">
        <f t="shared" si="1"/>
        <v>1680.38</v>
      </c>
      <c r="F162" s="7"/>
    </row>
    <row r="163" spans="1:6" x14ac:dyDescent="0.2">
      <c r="A163" s="12">
        <v>1100552371</v>
      </c>
      <c r="B163" s="12" t="s">
        <v>103</v>
      </c>
      <c r="C163" s="12" t="s">
        <v>4</v>
      </c>
      <c r="D163" s="13">
        <v>23951</v>
      </c>
      <c r="E163" s="13">
        <f t="shared" si="1"/>
        <v>3113.63</v>
      </c>
      <c r="F163" s="7"/>
    </row>
    <row r="164" spans="1:6" x14ac:dyDescent="0.2">
      <c r="A164" s="12">
        <v>1100552372</v>
      </c>
      <c r="B164" s="12" t="s">
        <v>105</v>
      </c>
      <c r="C164" s="12" t="s">
        <v>4</v>
      </c>
      <c r="D164" s="13">
        <v>1269</v>
      </c>
      <c r="E164" s="13" t="str">
        <f t="shared" si="1"/>
        <v>No Discount</v>
      </c>
      <c r="F164" s="7"/>
    </row>
    <row r="165" spans="1:6" x14ac:dyDescent="0.2">
      <c r="A165" s="12">
        <v>1100552373</v>
      </c>
      <c r="B165" s="12" t="s">
        <v>108</v>
      </c>
      <c r="C165" s="12" t="s">
        <v>4</v>
      </c>
      <c r="D165" s="13">
        <v>14920</v>
      </c>
      <c r="E165" s="13">
        <f t="shared" si="1"/>
        <v>1939.6000000000001</v>
      </c>
      <c r="F165" s="7"/>
    </row>
    <row r="166" spans="1:6" x14ac:dyDescent="0.2">
      <c r="A166" s="12">
        <v>1100552374</v>
      </c>
      <c r="B166" s="12" t="s">
        <v>111</v>
      </c>
      <c r="C166" s="12" t="s">
        <v>4</v>
      </c>
      <c r="D166" s="13">
        <v>9284</v>
      </c>
      <c r="E166" s="13">
        <f t="shared" si="1"/>
        <v>1206.92</v>
      </c>
      <c r="F166" s="7"/>
    </row>
    <row r="167" spans="1:6" x14ac:dyDescent="0.2">
      <c r="A167" s="12">
        <v>1100552375</v>
      </c>
      <c r="B167" s="12" t="s">
        <v>114</v>
      </c>
      <c r="C167" s="12" t="s">
        <v>2</v>
      </c>
      <c r="D167" s="13">
        <v>10200</v>
      </c>
      <c r="E167" s="13">
        <f t="shared" si="1"/>
        <v>1326</v>
      </c>
      <c r="F167" s="7"/>
    </row>
    <row r="168" spans="1:6" x14ac:dyDescent="0.2">
      <c r="A168" s="12">
        <v>1100552376</v>
      </c>
      <c r="B168" s="12" t="s">
        <v>115</v>
      </c>
      <c r="C168" s="12" t="s">
        <v>4</v>
      </c>
      <c r="D168" s="13">
        <v>18022</v>
      </c>
      <c r="E168" s="13">
        <f t="shared" si="1"/>
        <v>2342.86</v>
      </c>
      <c r="F168" s="7"/>
    </row>
    <row r="169" spans="1:6" x14ac:dyDescent="0.2">
      <c r="A169" s="12">
        <v>1100552377</v>
      </c>
      <c r="B169" s="12" t="s">
        <v>117</v>
      </c>
      <c r="C169" s="12" t="s">
        <v>2</v>
      </c>
      <c r="D169" s="13">
        <v>20964</v>
      </c>
      <c r="E169" s="13">
        <f t="shared" si="1"/>
        <v>2725.32</v>
      </c>
      <c r="F169" s="7"/>
    </row>
    <row r="170" spans="1:6" x14ac:dyDescent="0.2">
      <c r="A170" s="12">
        <v>1100552378</v>
      </c>
      <c r="B170" s="12" t="s">
        <v>118</v>
      </c>
      <c r="C170" s="12" t="s">
        <v>2</v>
      </c>
      <c r="D170" s="13">
        <v>9519</v>
      </c>
      <c r="E170" s="13">
        <f t="shared" si="1"/>
        <v>1237.47</v>
      </c>
      <c r="F170" s="7"/>
    </row>
    <row r="171" spans="1:6" x14ac:dyDescent="0.2">
      <c r="A171" s="12">
        <v>1100552379</v>
      </c>
      <c r="B171" s="12" t="s">
        <v>119</v>
      </c>
      <c r="C171" s="12" t="s">
        <v>2</v>
      </c>
      <c r="D171" s="13">
        <v>18493</v>
      </c>
      <c r="E171" s="13">
        <f t="shared" si="1"/>
        <v>2404.09</v>
      </c>
      <c r="F171" s="7"/>
    </row>
    <row r="172" spans="1:6" x14ac:dyDescent="0.2">
      <c r="A172" s="12">
        <v>1100552380</v>
      </c>
      <c r="B172" s="12" t="s">
        <v>120</v>
      </c>
      <c r="C172" s="12" t="s">
        <v>4</v>
      </c>
      <c r="D172" s="13">
        <v>19963</v>
      </c>
      <c r="E172" s="13">
        <f t="shared" si="1"/>
        <v>2595.19</v>
      </c>
      <c r="F172" s="7"/>
    </row>
    <row r="173" spans="1:6" x14ac:dyDescent="0.2">
      <c r="A173" s="12">
        <v>1100552381</v>
      </c>
      <c r="B173" s="12" t="s">
        <v>103</v>
      </c>
      <c r="C173" s="12" t="s">
        <v>4</v>
      </c>
      <c r="D173" s="13">
        <v>21359</v>
      </c>
      <c r="E173" s="13">
        <f t="shared" si="1"/>
        <v>2776.67</v>
      </c>
      <c r="F173" s="7"/>
    </row>
    <row r="174" spans="1:6" x14ac:dyDescent="0.2">
      <c r="A174" s="12">
        <v>1100552382</v>
      </c>
      <c r="B174" s="12" t="s">
        <v>105</v>
      </c>
      <c r="C174" s="12" t="s">
        <v>4</v>
      </c>
      <c r="D174" s="13">
        <v>23588</v>
      </c>
      <c r="E174" s="13">
        <f t="shared" si="1"/>
        <v>3066.44</v>
      </c>
      <c r="F174" s="7"/>
    </row>
    <row r="175" spans="1:6" x14ac:dyDescent="0.2">
      <c r="A175" s="12">
        <v>1100552383</v>
      </c>
      <c r="B175" s="12" t="s">
        <v>108</v>
      </c>
      <c r="C175" s="12" t="s">
        <v>4</v>
      </c>
      <c r="D175" s="13">
        <v>3069</v>
      </c>
      <c r="E175" s="13" t="str">
        <f t="shared" si="1"/>
        <v>No Discount</v>
      </c>
      <c r="F175" s="7"/>
    </row>
    <row r="176" spans="1:6" x14ac:dyDescent="0.2">
      <c r="A176" s="12">
        <v>1100552384</v>
      </c>
      <c r="B176" s="12" t="s">
        <v>111</v>
      </c>
      <c r="C176" s="12" t="s">
        <v>4</v>
      </c>
      <c r="D176" s="13">
        <v>9281</v>
      </c>
      <c r="E176" s="13">
        <f t="shared" si="1"/>
        <v>1206.53</v>
      </c>
      <c r="F176" s="7"/>
    </row>
    <row r="177" spans="1:6" x14ac:dyDescent="0.2">
      <c r="A177" s="12">
        <v>1100552385</v>
      </c>
      <c r="B177" s="12" t="s">
        <v>114</v>
      </c>
      <c r="C177" s="12" t="s">
        <v>2</v>
      </c>
      <c r="D177" s="13">
        <v>5912</v>
      </c>
      <c r="E177" s="13">
        <f t="shared" si="1"/>
        <v>768.56000000000006</v>
      </c>
      <c r="F177" s="7"/>
    </row>
    <row r="178" spans="1:6" x14ac:dyDescent="0.2">
      <c r="A178" s="12">
        <v>1100552386</v>
      </c>
      <c r="B178" s="12" t="s">
        <v>115</v>
      </c>
      <c r="C178" s="12" t="s">
        <v>4</v>
      </c>
      <c r="D178" s="13">
        <v>21392</v>
      </c>
      <c r="E178" s="13">
        <f t="shared" si="1"/>
        <v>2780.96</v>
      </c>
      <c r="F178" s="7"/>
    </row>
    <row r="179" spans="1:6" x14ac:dyDescent="0.2">
      <c r="A179" s="12">
        <v>1100552387</v>
      </c>
      <c r="B179" s="12" t="s">
        <v>117</v>
      </c>
      <c r="C179" s="12" t="s">
        <v>2</v>
      </c>
      <c r="D179" s="13">
        <v>6728</v>
      </c>
      <c r="E179" s="13">
        <f t="shared" si="1"/>
        <v>874.64</v>
      </c>
      <c r="F179" s="7"/>
    </row>
    <row r="180" spans="1:6" x14ac:dyDescent="0.2">
      <c r="A180" s="12">
        <v>1100552388</v>
      </c>
      <c r="B180" s="12" t="s">
        <v>118</v>
      </c>
      <c r="C180" s="12" t="s">
        <v>2</v>
      </c>
      <c r="D180" s="13">
        <v>5399</v>
      </c>
      <c r="E180" s="13">
        <f t="shared" si="1"/>
        <v>701.87</v>
      </c>
      <c r="F180" s="7"/>
    </row>
    <row r="181" spans="1:6" x14ac:dyDescent="0.2">
      <c r="A181" s="12">
        <v>1100552389</v>
      </c>
      <c r="B181" s="12" t="s">
        <v>119</v>
      </c>
      <c r="C181" s="12" t="s">
        <v>2</v>
      </c>
      <c r="D181" s="13">
        <v>13539</v>
      </c>
      <c r="E181" s="13">
        <f t="shared" si="1"/>
        <v>1760.0700000000002</v>
      </c>
      <c r="F181" s="7"/>
    </row>
    <row r="182" spans="1:6" x14ac:dyDescent="0.2">
      <c r="A182" s="12">
        <v>1100552390</v>
      </c>
      <c r="B182" s="12" t="s">
        <v>120</v>
      </c>
      <c r="C182" s="12" t="s">
        <v>4</v>
      </c>
      <c r="D182" s="13">
        <v>22352</v>
      </c>
      <c r="E182" s="13">
        <f t="shared" si="1"/>
        <v>2905.76</v>
      </c>
      <c r="F182" s="7"/>
    </row>
    <row r="183" spans="1:6" x14ac:dyDescent="0.2">
      <c r="A183" s="12">
        <v>1100552391</v>
      </c>
      <c r="B183" s="12" t="s">
        <v>103</v>
      </c>
      <c r="C183" s="12" t="s">
        <v>4</v>
      </c>
      <c r="D183" s="13">
        <v>17119</v>
      </c>
      <c r="E183" s="13">
        <f t="shared" si="1"/>
        <v>2225.4700000000003</v>
      </c>
      <c r="F183" s="7"/>
    </row>
    <row r="184" spans="1:6" x14ac:dyDescent="0.2">
      <c r="A184" s="12">
        <v>1100552392</v>
      </c>
      <c r="B184" s="12" t="s">
        <v>105</v>
      </c>
      <c r="C184" s="12" t="s">
        <v>4</v>
      </c>
      <c r="D184" s="13">
        <v>20482</v>
      </c>
      <c r="E184" s="13">
        <f t="shared" si="1"/>
        <v>2662.6600000000003</v>
      </c>
      <c r="F184" s="7"/>
    </row>
    <row r="185" spans="1:6" x14ac:dyDescent="0.2">
      <c r="A185" s="12">
        <v>1100552393</v>
      </c>
      <c r="B185" s="12" t="s">
        <v>108</v>
      </c>
      <c r="C185" s="12" t="s">
        <v>4</v>
      </c>
      <c r="D185" s="13">
        <v>3228</v>
      </c>
      <c r="E185" s="13" t="str">
        <f t="shared" si="1"/>
        <v>No Discount</v>
      </c>
      <c r="F185" s="7"/>
    </row>
    <row r="186" spans="1:6" x14ac:dyDescent="0.2">
      <c r="A186" s="12">
        <v>1100552394</v>
      </c>
      <c r="B186" s="12" t="s">
        <v>111</v>
      </c>
      <c r="C186" s="12" t="s">
        <v>4</v>
      </c>
      <c r="D186" s="13">
        <v>24377</v>
      </c>
      <c r="E186" s="13">
        <f t="shared" si="1"/>
        <v>3169.01</v>
      </c>
      <c r="F186" s="7"/>
    </row>
    <row r="187" spans="1:6" x14ac:dyDescent="0.2">
      <c r="A187" s="12">
        <v>1100552395</v>
      </c>
      <c r="B187" s="12" t="s">
        <v>114</v>
      </c>
      <c r="C187" s="12" t="s">
        <v>2</v>
      </c>
      <c r="D187" s="13">
        <v>17849</v>
      </c>
      <c r="E187" s="13">
        <f t="shared" si="1"/>
        <v>2320.37</v>
      </c>
      <c r="F187" s="7"/>
    </row>
    <row r="188" spans="1:6" x14ac:dyDescent="0.2">
      <c r="A188" s="12">
        <v>1100552396</v>
      </c>
      <c r="B188" s="12" t="s">
        <v>115</v>
      </c>
      <c r="C188" s="12" t="s">
        <v>4</v>
      </c>
      <c r="D188" s="13">
        <v>13198</v>
      </c>
      <c r="E188" s="13">
        <f t="shared" si="1"/>
        <v>1715.74</v>
      </c>
      <c r="F188" s="7"/>
    </row>
    <row r="189" spans="1:6" x14ac:dyDescent="0.2">
      <c r="A189" s="12">
        <v>1100552397</v>
      </c>
      <c r="B189" s="12" t="s">
        <v>117</v>
      </c>
      <c r="C189" s="12" t="s">
        <v>2</v>
      </c>
      <c r="D189" s="13">
        <v>18550</v>
      </c>
      <c r="E189" s="13">
        <f t="shared" si="1"/>
        <v>2411.5</v>
      </c>
      <c r="F189" s="7"/>
    </row>
    <row r="190" spans="1:6" x14ac:dyDescent="0.2">
      <c r="A190" s="12">
        <v>1100552398</v>
      </c>
      <c r="B190" s="12" t="s">
        <v>118</v>
      </c>
      <c r="C190" s="12" t="s">
        <v>2</v>
      </c>
      <c r="D190" s="13">
        <v>21673</v>
      </c>
      <c r="E190" s="13">
        <f t="shared" si="1"/>
        <v>2817.4900000000002</v>
      </c>
      <c r="F190" s="7"/>
    </row>
    <row r="191" spans="1:6" x14ac:dyDescent="0.2">
      <c r="A191" s="12">
        <v>1100552399</v>
      </c>
      <c r="B191" s="12" t="s">
        <v>119</v>
      </c>
      <c r="C191" s="12" t="s">
        <v>2</v>
      </c>
      <c r="D191" s="13">
        <v>4843</v>
      </c>
      <c r="E191" s="13" t="str">
        <f t="shared" si="1"/>
        <v>No Discount</v>
      </c>
      <c r="F191" s="7"/>
    </row>
    <row r="192" spans="1:6" x14ac:dyDescent="0.2">
      <c r="A192" s="12">
        <v>1100552400</v>
      </c>
      <c r="B192" s="12" t="s">
        <v>120</v>
      </c>
      <c r="C192" s="12" t="s">
        <v>2</v>
      </c>
      <c r="D192" s="13">
        <v>5447</v>
      </c>
      <c r="E192" s="13">
        <f t="shared" si="1"/>
        <v>708.11</v>
      </c>
      <c r="F192" s="7"/>
    </row>
    <row r="193" spans="1:6" x14ac:dyDescent="0.2">
      <c r="A193" s="12">
        <v>1100552401</v>
      </c>
      <c r="B193" s="12" t="s">
        <v>150</v>
      </c>
      <c r="C193" s="12" t="s">
        <v>4</v>
      </c>
      <c r="D193" s="13">
        <v>16672</v>
      </c>
      <c r="E193" s="13">
        <f t="shared" si="1"/>
        <v>2167.36</v>
      </c>
      <c r="F193" s="7"/>
    </row>
    <row r="194" spans="1:6" x14ac:dyDescent="0.2">
      <c r="A194" s="12">
        <v>1100552402</v>
      </c>
      <c r="B194" s="12" t="s">
        <v>152</v>
      </c>
      <c r="C194" s="12" t="s">
        <v>2</v>
      </c>
      <c r="D194" s="13">
        <v>20605</v>
      </c>
      <c r="E194" s="13">
        <f t="shared" si="1"/>
        <v>2678.65</v>
      </c>
      <c r="F194" s="7"/>
    </row>
    <row r="195" spans="1:6" x14ac:dyDescent="0.2">
      <c r="A195" s="12">
        <v>1100552403</v>
      </c>
      <c r="B195" s="12" t="s">
        <v>155</v>
      </c>
      <c r="C195" s="12" t="s">
        <v>2</v>
      </c>
      <c r="D195" s="13">
        <v>17907</v>
      </c>
      <c r="E195" s="13">
        <f t="shared" ref="E195:E258" si="2">IF(D195&gt;5000,D195*13%,"No Discount")</f>
        <v>2327.91</v>
      </c>
      <c r="F195" s="7"/>
    </row>
    <row r="196" spans="1:6" x14ac:dyDescent="0.2">
      <c r="A196" s="12">
        <v>1100552404</v>
      </c>
      <c r="B196" s="12" t="s">
        <v>150</v>
      </c>
      <c r="C196" s="12" t="s">
        <v>2</v>
      </c>
      <c r="D196" s="13">
        <v>10172</v>
      </c>
      <c r="E196" s="13">
        <f t="shared" si="2"/>
        <v>1322.3600000000001</v>
      </c>
      <c r="F196" s="7"/>
    </row>
    <row r="197" spans="1:6" x14ac:dyDescent="0.2">
      <c r="A197" s="12">
        <v>1100552405</v>
      </c>
      <c r="B197" s="12" t="s">
        <v>158</v>
      </c>
      <c r="C197" s="12" t="s">
        <v>4</v>
      </c>
      <c r="D197" s="13">
        <v>24532</v>
      </c>
      <c r="E197" s="13">
        <f t="shared" si="2"/>
        <v>3189.1600000000003</v>
      </c>
      <c r="F197" s="7"/>
    </row>
    <row r="198" spans="1:6" x14ac:dyDescent="0.2">
      <c r="A198" s="12">
        <v>1100552406</v>
      </c>
      <c r="B198" s="12" t="s">
        <v>159</v>
      </c>
      <c r="C198" s="12" t="s">
        <v>4</v>
      </c>
      <c r="D198" s="13">
        <v>20885</v>
      </c>
      <c r="E198" s="13">
        <f t="shared" si="2"/>
        <v>2715.05</v>
      </c>
      <c r="F198" s="7"/>
    </row>
    <row r="199" spans="1:6" x14ac:dyDescent="0.2">
      <c r="A199" s="12">
        <v>1100552407</v>
      </c>
      <c r="B199" s="12" t="s">
        <v>159</v>
      </c>
      <c r="C199" s="12" t="s">
        <v>4</v>
      </c>
      <c r="D199" s="13">
        <v>20581</v>
      </c>
      <c r="E199" s="13">
        <f t="shared" si="2"/>
        <v>2675.53</v>
      </c>
      <c r="F199" s="7"/>
    </row>
    <row r="200" spans="1:6" x14ac:dyDescent="0.2">
      <c r="A200" s="12">
        <v>1100552408</v>
      </c>
      <c r="B200" s="12" t="s">
        <v>158</v>
      </c>
      <c r="C200" s="12" t="s">
        <v>4</v>
      </c>
      <c r="D200" s="13">
        <v>17287</v>
      </c>
      <c r="E200" s="13">
        <f t="shared" si="2"/>
        <v>2247.31</v>
      </c>
      <c r="F200" s="7"/>
    </row>
    <row r="201" spans="1:6" x14ac:dyDescent="0.2">
      <c r="A201" s="12">
        <v>1100552409</v>
      </c>
      <c r="B201" s="12" t="s">
        <v>155</v>
      </c>
      <c r="C201" s="12" t="s">
        <v>4</v>
      </c>
      <c r="D201" s="13">
        <v>12779</v>
      </c>
      <c r="E201" s="13">
        <f t="shared" si="2"/>
        <v>1661.27</v>
      </c>
      <c r="F201" s="7"/>
    </row>
    <row r="202" spans="1:6" x14ac:dyDescent="0.2">
      <c r="A202" s="12">
        <v>1100552410</v>
      </c>
      <c r="B202" s="12" t="s">
        <v>155</v>
      </c>
      <c r="C202" s="12" t="s">
        <v>2</v>
      </c>
      <c r="D202" s="13">
        <v>15732</v>
      </c>
      <c r="E202" s="13">
        <f t="shared" si="2"/>
        <v>2045.16</v>
      </c>
      <c r="F202" s="7"/>
    </row>
    <row r="203" spans="1:6" x14ac:dyDescent="0.2">
      <c r="A203" s="12">
        <v>1100552411</v>
      </c>
      <c r="B203" s="12" t="s">
        <v>150</v>
      </c>
      <c r="C203" s="12" t="s">
        <v>4</v>
      </c>
      <c r="D203" s="13">
        <v>8416</v>
      </c>
      <c r="E203" s="13">
        <f t="shared" si="2"/>
        <v>1094.08</v>
      </c>
      <c r="F203" s="7"/>
    </row>
    <row r="204" spans="1:6" x14ac:dyDescent="0.2">
      <c r="A204" s="12">
        <v>1100552412</v>
      </c>
      <c r="B204" s="12" t="s">
        <v>152</v>
      </c>
      <c r="C204" s="12" t="s">
        <v>2</v>
      </c>
      <c r="D204" s="13">
        <v>12567</v>
      </c>
      <c r="E204" s="13">
        <f t="shared" si="2"/>
        <v>1633.71</v>
      </c>
      <c r="F204" s="7"/>
    </row>
    <row r="205" spans="1:6" x14ac:dyDescent="0.2">
      <c r="A205" s="12">
        <v>1100552413</v>
      </c>
      <c r="B205" s="12" t="s">
        <v>155</v>
      </c>
      <c r="C205" s="12" t="s">
        <v>2</v>
      </c>
      <c r="D205" s="13">
        <v>18914</v>
      </c>
      <c r="E205" s="13">
        <f t="shared" si="2"/>
        <v>2458.8200000000002</v>
      </c>
      <c r="F205" s="7"/>
    </row>
    <row r="206" spans="1:6" x14ac:dyDescent="0.2">
      <c r="A206" s="12">
        <v>1100552414</v>
      </c>
      <c r="B206" s="12" t="s">
        <v>150</v>
      </c>
      <c r="C206" s="12" t="s">
        <v>2</v>
      </c>
      <c r="D206" s="13">
        <v>23434</v>
      </c>
      <c r="E206" s="13">
        <f t="shared" si="2"/>
        <v>3046.42</v>
      </c>
      <c r="F206" s="7"/>
    </row>
    <row r="207" spans="1:6" x14ac:dyDescent="0.2">
      <c r="A207" s="12">
        <v>1100552415</v>
      </c>
      <c r="B207" s="12" t="s">
        <v>158</v>
      </c>
      <c r="C207" s="12" t="s">
        <v>4</v>
      </c>
      <c r="D207" s="13">
        <v>17614</v>
      </c>
      <c r="E207" s="13">
        <f t="shared" si="2"/>
        <v>2289.8200000000002</v>
      </c>
      <c r="F207" s="7"/>
    </row>
    <row r="208" spans="1:6" x14ac:dyDescent="0.2">
      <c r="A208" s="12">
        <v>1100552416</v>
      </c>
      <c r="B208" s="12" t="s">
        <v>159</v>
      </c>
      <c r="C208" s="12" t="s">
        <v>4</v>
      </c>
      <c r="D208" s="13">
        <v>3693</v>
      </c>
      <c r="E208" s="13" t="str">
        <f t="shared" si="2"/>
        <v>No Discount</v>
      </c>
      <c r="F208" s="7"/>
    </row>
    <row r="209" spans="1:6" x14ac:dyDescent="0.2">
      <c r="A209" s="12">
        <v>1100552417</v>
      </c>
      <c r="B209" s="12" t="s">
        <v>159</v>
      </c>
      <c r="C209" s="12" t="s">
        <v>4</v>
      </c>
      <c r="D209" s="13">
        <v>17546</v>
      </c>
      <c r="E209" s="13">
        <f t="shared" si="2"/>
        <v>2280.98</v>
      </c>
      <c r="F209" s="7"/>
    </row>
    <row r="210" spans="1:6" x14ac:dyDescent="0.2">
      <c r="A210" s="12">
        <v>1100552418</v>
      </c>
      <c r="B210" s="12" t="s">
        <v>158</v>
      </c>
      <c r="C210" s="12" t="s">
        <v>4</v>
      </c>
      <c r="D210" s="13">
        <v>14788</v>
      </c>
      <c r="E210" s="13">
        <f t="shared" si="2"/>
        <v>1922.44</v>
      </c>
      <c r="F210" s="7"/>
    </row>
    <row r="211" spans="1:6" x14ac:dyDescent="0.2">
      <c r="A211" s="12">
        <v>1100552419</v>
      </c>
      <c r="B211" s="12" t="s">
        <v>155</v>
      </c>
      <c r="C211" s="12" t="s">
        <v>4</v>
      </c>
      <c r="D211" s="13">
        <v>1778</v>
      </c>
      <c r="E211" s="13" t="str">
        <f t="shared" si="2"/>
        <v>No Discount</v>
      </c>
      <c r="F211" s="7"/>
    </row>
    <row r="212" spans="1:6" x14ac:dyDescent="0.2">
      <c r="A212" s="12">
        <v>1100552420</v>
      </c>
      <c r="B212" s="12" t="s">
        <v>155</v>
      </c>
      <c r="C212" s="12" t="s">
        <v>2</v>
      </c>
      <c r="D212" s="13">
        <v>24356</v>
      </c>
      <c r="E212" s="13">
        <f t="shared" si="2"/>
        <v>3166.28</v>
      </c>
      <c r="F212" s="7"/>
    </row>
    <row r="213" spans="1:6" x14ac:dyDescent="0.2">
      <c r="A213" s="12">
        <v>1100552421</v>
      </c>
      <c r="B213" s="12" t="s">
        <v>150</v>
      </c>
      <c r="C213" s="12" t="s">
        <v>4</v>
      </c>
      <c r="D213" s="13">
        <v>22315</v>
      </c>
      <c r="E213" s="13">
        <f t="shared" si="2"/>
        <v>2900.9500000000003</v>
      </c>
      <c r="F213" s="7"/>
    </row>
    <row r="214" spans="1:6" x14ac:dyDescent="0.2">
      <c r="A214" s="12">
        <v>1100552422</v>
      </c>
      <c r="B214" s="12" t="s">
        <v>152</v>
      </c>
      <c r="C214" s="12" t="s">
        <v>2</v>
      </c>
      <c r="D214" s="13">
        <v>10886</v>
      </c>
      <c r="E214" s="13">
        <f t="shared" si="2"/>
        <v>1415.18</v>
      </c>
      <c r="F214" s="7"/>
    </row>
    <row r="215" spans="1:6" x14ac:dyDescent="0.2">
      <c r="A215" s="12">
        <v>1100552423</v>
      </c>
      <c r="B215" s="12" t="s">
        <v>155</v>
      </c>
      <c r="C215" s="12" t="s">
        <v>2</v>
      </c>
      <c r="D215" s="13">
        <v>3068</v>
      </c>
      <c r="E215" s="13" t="str">
        <f t="shared" si="2"/>
        <v>No Discount</v>
      </c>
      <c r="F215" s="7"/>
    </row>
    <row r="216" spans="1:6" x14ac:dyDescent="0.2">
      <c r="A216" s="12">
        <v>1100552424</v>
      </c>
      <c r="B216" s="12" t="s">
        <v>150</v>
      </c>
      <c r="C216" s="12" t="s">
        <v>2</v>
      </c>
      <c r="D216" s="13">
        <v>12003</v>
      </c>
      <c r="E216" s="13">
        <f t="shared" si="2"/>
        <v>1560.39</v>
      </c>
      <c r="F216" s="7"/>
    </row>
    <row r="217" spans="1:6" x14ac:dyDescent="0.2">
      <c r="A217" s="12">
        <v>1100552425</v>
      </c>
      <c r="B217" s="12" t="s">
        <v>158</v>
      </c>
      <c r="C217" s="12" t="s">
        <v>4</v>
      </c>
      <c r="D217" s="13">
        <v>19166</v>
      </c>
      <c r="E217" s="13">
        <f t="shared" si="2"/>
        <v>2491.58</v>
      </c>
      <c r="F217" s="7"/>
    </row>
    <row r="218" spans="1:6" x14ac:dyDescent="0.2">
      <c r="A218" s="12">
        <v>1100552426</v>
      </c>
      <c r="B218" s="12" t="s">
        <v>159</v>
      </c>
      <c r="C218" s="12" t="s">
        <v>4</v>
      </c>
      <c r="D218" s="13">
        <v>6869</v>
      </c>
      <c r="E218" s="13">
        <f t="shared" si="2"/>
        <v>892.97</v>
      </c>
      <c r="F218" s="7"/>
    </row>
    <row r="219" spans="1:6" x14ac:dyDescent="0.2">
      <c r="A219" s="12">
        <v>1100552427</v>
      </c>
      <c r="B219" s="12" t="s">
        <v>159</v>
      </c>
      <c r="C219" s="12" t="s">
        <v>4</v>
      </c>
      <c r="D219" s="13">
        <v>23131</v>
      </c>
      <c r="E219" s="13">
        <f t="shared" si="2"/>
        <v>3007.03</v>
      </c>
      <c r="F219" s="7"/>
    </row>
    <row r="220" spans="1:6" x14ac:dyDescent="0.2">
      <c r="A220" s="12">
        <v>1100552428</v>
      </c>
      <c r="B220" s="12" t="s">
        <v>158</v>
      </c>
      <c r="C220" s="12" t="s">
        <v>4</v>
      </c>
      <c r="D220" s="13">
        <v>1573</v>
      </c>
      <c r="E220" s="13" t="str">
        <f t="shared" si="2"/>
        <v>No Discount</v>
      </c>
      <c r="F220" s="7"/>
    </row>
    <row r="221" spans="1:6" x14ac:dyDescent="0.2">
      <c r="A221" s="12">
        <v>1100552429</v>
      </c>
      <c r="B221" s="12" t="s">
        <v>155</v>
      </c>
      <c r="C221" s="12" t="s">
        <v>4</v>
      </c>
      <c r="D221" s="13">
        <v>23439</v>
      </c>
      <c r="E221" s="13">
        <f t="shared" si="2"/>
        <v>3047.07</v>
      </c>
      <c r="F221" s="7"/>
    </row>
    <row r="222" spans="1:6" x14ac:dyDescent="0.2">
      <c r="A222" s="12">
        <v>1100552430</v>
      </c>
      <c r="B222" s="12" t="s">
        <v>155</v>
      </c>
      <c r="C222" s="12" t="s">
        <v>2</v>
      </c>
      <c r="D222" s="13">
        <v>19755</v>
      </c>
      <c r="E222" s="13">
        <f t="shared" si="2"/>
        <v>2568.15</v>
      </c>
      <c r="F222" s="7"/>
    </row>
    <row r="223" spans="1:6" x14ac:dyDescent="0.2">
      <c r="A223" s="12">
        <v>1100552431</v>
      </c>
      <c r="B223" s="12" t="s">
        <v>150</v>
      </c>
      <c r="C223" s="12" t="s">
        <v>4</v>
      </c>
      <c r="D223" s="13">
        <v>18980</v>
      </c>
      <c r="E223" s="13">
        <f t="shared" si="2"/>
        <v>2467.4</v>
      </c>
      <c r="F223" s="7"/>
    </row>
    <row r="224" spans="1:6" x14ac:dyDescent="0.2">
      <c r="A224" s="12">
        <v>1100552432</v>
      </c>
      <c r="B224" s="12" t="s">
        <v>152</v>
      </c>
      <c r="C224" s="12" t="s">
        <v>2</v>
      </c>
      <c r="D224" s="13">
        <v>13820</v>
      </c>
      <c r="E224" s="13">
        <f t="shared" si="2"/>
        <v>1796.6000000000001</v>
      </c>
      <c r="F224" s="7"/>
    </row>
    <row r="225" spans="1:6" x14ac:dyDescent="0.2">
      <c r="A225" s="12">
        <v>1100552433</v>
      </c>
      <c r="B225" s="12" t="s">
        <v>155</v>
      </c>
      <c r="C225" s="12" t="s">
        <v>2</v>
      </c>
      <c r="D225" s="13">
        <v>17120</v>
      </c>
      <c r="E225" s="13">
        <f t="shared" si="2"/>
        <v>2225.6</v>
      </c>
      <c r="F225" s="7"/>
    </row>
    <row r="226" spans="1:6" x14ac:dyDescent="0.2">
      <c r="A226" s="12">
        <v>1100552434</v>
      </c>
      <c r="B226" s="12" t="s">
        <v>150</v>
      </c>
      <c r="C226" s="12" t="s">
        <v>2</v>
      </c>
      <c r="D226" s="13">
        <v>12968</v>
      </c>
      <c r="E226" s="13">
        <f t="shared" si="2"/>
        <v>1685.8400000000001</v>
      </c>
      <c r="F226" s="7"/>
    </row>
    <row r="227" spans="1:6" x14ac:dyDescent="0.2">
      <c r="A227" s="12">
        <v>1100552435</v>
      </c>
      <c r="B227" s="12" t="s">
        <v>158</v>
      </c>
      <c r="C227" s="12" t="s">
        <v>4</v>
      </c>
      <c r="D227" s="13">
        <v>12438</v>
      </c>
      <c r="E227" s="13">
        <f t="shared" si="2"/>
        <v>1616.94</v>
      </c>
      <c r="F227" s="7"/>
    </row>
    <row r="228" spans="1:6" x14ac:dyDescent="0.2">
      <c r="A228" s="12">
        <v>1100552436</v>
      </c>
      <c r="B228" s="12" t="s">
        <v>159</v>
      </c>
      <c r="C228" s="12" t="s">
        <v>4</v>
      </c>
      <c r="D228" s="13">
        <v>2048</v>
      </c>
      <c r="E228" s="13" t="str">
        <f t="shared" si="2"/>
        <v>No Discount</v>
      </c>
      <c r="F228" s="7"/>
    </row>
    <row r="229" spans="1:6" x14ac:dyDescent="0.2">
      <c r="A229" s="12">
        <v>1100552437</v>
      </c>
      <c r="B229" s="12" t="s">
        <v>159</v>
      </c>
      <c r="C229" s="12" t="s">
        <v>4</v>
      </c>
      <c r="D229" s="13">
        <v>15846</v>
      </c>
      <c r="E229" s="13">
        <f t="shared" si="2"/>
        <v>2059.98</v>
      </c>
      <c r="F229" s="7"/>
    </row>
    <row r="230" spans="1:6" x14ac:dyDescent="0.2">
      <c r="A230" s="12">
        <v>1100552438</v>
      </c>
      <c r="B230" s="12" t="s">
        <v>158</v>
      </c>
      <c r="C230" s="12" t="s">
        <v>4</v>
      </c>
      <c r="D230" s="13">
        <v>2923</v>
      </c>
      <c r="E230" s="13" t="str">
        <f t="shared" si="2"/>
        <v>No Discount</v>
      </c>
      <c r="F230" s="7"/>
    </row>
    <row r="231" spans="1:6" x14ac:dyDescent="0.2">
      <c r="A231" s="12">
        <v>1100552439</v>
      </c>
      <c r="B231" s="12" t="s">
        <v>155</v>
      </c>
      <c r="C231" s="12" t="s">
        <v>4</v>
      </c>
      <c r="D231" s="13">
        <v>9306</v>
      </c>
      <c r="E231" s="13">
        <f t="shared" si="2"/>
        <v>1209.78</v>
      </c>
      <c r="F231" s="7"/>
    </row>
    <row r="232" spans="1:6" x14ac:dyDescent="0.2">
      <c r="A232" s="12">
        <v>1100552440</v>
      </c>
      <c r="B232" s="12" t="s">
        <v>155</v>
      </c>
      <c r="C232" s="12" t="s">
        <v>2</v>
      </c>
      <c r="D232" s="13">
        <v>23662</v>
      </c>
      <c r="E232" s="13">
        <f t="shared" si="2"/>
        <v>3076.06</v>
      </c>
      <c r="F232" s="7"/>
    </row>
    <row r="233" spans="1:6" x14ac:dyDescent="0.2">
      <c r="A233" s="12">
        <v>1100552441</v>
      </c>
      <c r="B233" s="12" t="s">
        <v>150</v>
      </c>
      <c r="C233" s="12" t="s">
        <v>4</v>
      </c>
      <c r="D233" s="13">
        <v>3639</v>
      </c>
      <c r="E233" s="13" t="str">
        <f t="shared" si="2"/>
        <v>No Discount</v>
      </c>
      <c r="F233" s="7"/>
    </row>
    <row r="234" spans="1:6" x14ac:dyDescent="0.2">
      <c r="A234" s="12">
        <v>1100552442</v>
      </c>
      <c r="B234" s="12" t="s">
        <v>152</v>
      </c>
      <c r="C234" s="12" t="s">
        <v>2</v>
      </c>
      <c r="D234" s="13">
        <v>14052</v>
      </c>
      <c r="E234" s="13">
        <f t="shared" si="2"/>
        <v>1826.76</v>
      </c>
      <c r="F234" s="7"/>
    </row>
    <row r="235" spans="1:6" x14ac:dyDescent="0.2">
      <c r="A235" s="12">
        <v>1100552443</v>
      </c>
      <c r="B235" s="12" t="s">
        <v>155</v>
      </c>
      <c r="C235" s="12" t="s">
        <v>2</v>
      </c>
      <c r="D235" s="13">
        <v>8029</v>
      </c>
      <c r="E235" s="13">
        <f t="shared" si="2"/>
        <v>1043.77</v>
      </c>
      <c r="F235" s="7"/>
    </row>
    <row r="236" spans="1:6" x14ac:dyDescent="0.2">
      <c r="A236" s="12">
        <v>1100552444</v>
      </c>
      <c r="B236" s="12" t="s">
        <v>150</v>
      </c>
      <c r="C236" s="12" t="s">
        <v>2</v>
      </c>
      <c r="D236" s="13">
        <v>20414</v>
      </c>
      <c r="E236" s="13">
        <f t="shared" si="2"/>
        <v>2653.82</v>
      </c>
      <c r="F236" s="7"/>
    </row>
    <row r="237" spans="1:6" x14ac:dyDescent="0.2">
      <c r="A237" s="12">
        <v>1100552445</v>
      </c>
      <c r="B237" s="12" t="s">
        <v>158</v>
      </c>
      <c r="C237" s="12" t="s">
        <v>4</v>
      </c>
      <c r="D237" s="13">
        <v>22303</v>
      </c>
      <c r="E237" s="13">
        <f t="shared" si="2"/>
        <v>2899.39</v>
      </c>
      <c r="F237" s="7"/>
    </row>
    <row r="238" spans="1:6" x14ac:dyDescent="0.2">
      <c r="A238" s="12">
        <v>1100552446</v>
      </c>
      <c r="B238" s="12" t="s">
        <v>159</v>
      </c>
      <c r="C238" s="12" t="s">
        <v>4</v>
      </c>
      <c r="D238" s="13">
        <v>16781</v>
      </c>
      <c r="E238" s="13">
        <f t="shared" si="2"/>
        <v>2181.5300000000002</v>
      </c>
      <c r="F238" s="7"/>
    </row>
    <row r="239" spans="1:6" x14ac:dyDescent="0.2">
      <c r="A239" s="12">
        <v>1100552447</v>
      </c>
      <c r="B239" s="12" t="s">
        <v>159</v>
      </c>
      <c r="C239" s="12" t="s">
        <v>4</v>
      </c>
      <c r="D239" s="13">
        <v>1759</v>
      </c>
      <c r="E239" s="13" t="str">
        <f t="shared" si="2"/>
        <v>No Discount</v>
      </c>
      <c r="F239" s="7"/>
    </row>
    <row r="240" spans="1:6" x14ac:dyDescent="0.2">
      <c r="A240" s="12">
        <v>1100552448</v>
      </c>
      <c r="B240" s="12" t="s">
        <v>158</v>
      </c>
      <c r="C240" s="12" t="s">
        <v>4</v>
      </c>
      <c r="D240" s="13">
        <v>16354</v>
      </c>
      <c r="E240" s="13">
        <f t="shared" si="2"/>
        <v>2126.02</v>
      </c>
      <c r="F240" s="7"/>
    </row>
    <row r="241" spans="1:6" x14ac:dyDescent="0.2">
      <c r="A241" s="12">
        <v>1100552449</v>
      </c>
      <c r="B241" s="12" t="s">
        <v>155</v>
      </c>
      <c r="C241" s="12" t="s">
        <v>4</v>
      </c>
      <c r="D241" s="13">
        <v>18164</v>
      </c>
      <c r="E241" s="13">
        <f t="shared" si="2"/>
        <v>2361.3200000000002</v>
      </c>
      <c r="F241" s="7"/>
    </row>
    <row r="242" spans="1:6" x14ac:dyDescent="0.2">
      <c r="A242" s="12">
        <v>1100552450</v>
      </c>
      <c r="B242" s="12" t="s">
        <v>155</v>
      </c>
      <c r="C242" s="12" t="s">
        <v>2</v>
      </c>
      <c r="D242" s="13">
        <v>15450</v>
      </c>
      <c r="E242" s="13">
        <f t="shared" si="2"/>
        <v>2008.5</v>
      </c>
      <c r="F242" s="7"/>
    </row>
    <row r="243" spans="1:6" x14ac:dyDescent="0.2">
      <c r="A243" s="12">
        <v>1100552451</v>
      </c>
      <c r="B243" s="12" t="s">
        <v>150</v>
      </c>
      <c r="C243" s="12" t="s">
        <v>4</v>
      </c>
      <c r="D243" s="13">
        <v>16776</v>
      </c>
      <c r="E243" s="13">
        <f t="shared" si="2"/>
        <v>2180.88</v>
      </c>
      <c r="F243" s="7"/>
    </row>
    <row r="244" spans="1:6" x14ac:dyDescent="0.2">
      <c r="A244" s="12">
        <v>1100552452</v>
      </c>
      <c r="B244" s="12" t="s">
        <v>152</v>
      </c>
      <c r="C244" s="12" t="s">
        <v>2</v>
      </c>
      <c r="D244" s="13">
        <v>1116</v>
      </c>
      <c r="E244" s="13" t="str">
        <f t="shared" si="2"/>
        <v>No Discount</v>
      </c>
      <c r="F244" s="7"/>
    </row>
    <row r="245" spans="1:6" x14ac:dyDescent="0.2">
      <c r="A245" s="12">
        <v>1100552453</v>
      </c>
      <c r="B245" s="12" t="s">
        <v>155</v>
      </c>
      <c r="C245" s="12" t="s">
        <v>2</v>
      </c>
      <c r="D245" s="13">
        <v>14767</v>
      </c>
      <c r="E245" s="13">
        <f t="shared" si="2"/>
        <v>1919.71</v>
      </c>
      <c r="F245" s="7"/>
    </row>
    <row r="246" spans="1:6" x14ac:dyDescent="0.2">
      <c r="A246" s="12">
        <v>1100552454</v>
      </c>
      <c r="B246" s="12" t="s">
        <v>150</v>
      </c>
      <c r="C246" s="12" t="s">
        <v>2</v>
      </c>
      <c r="D246" s="13">
        <v>10065</v>
      </c>
      <c r="E246" s="13">
        <f t="shared" si="2"/>
        <v>1308.45</v>
      </c>
      <c r="F246" s="7"/>
    </row>
    <row r="247" spans="1:6" x14ac:dyDescent="0.2">
      <c r="A247" s="12">
        <v>1100552455</v>
      </c>
      <c r="B247" s="12" t="s">
        <v>158</v>
      </c>
      <c r="C247" s="12" t="s">
        <v>4</v>
      </c>
      <c r="D247" s="13">
        <v>19379</v>
      </c>
      <c r="E247" s="13">
        <f t="shared" si="2"/>
        <v>2519.27</v>
      </c>
      <c r="F247" s="7"/>
    </row>
    <row r="248" spans="1:6" x14ac:dyDescent="0.2">
      <c r="A248" s="12">
        <v>1100552456</v>
      </c>
      <c r="B248" s="12" t="s">
        <v>159</v>
      </c>
      <c r="C248" s="12" t="s">
        <v>4</v>
      </c>
      <c r="D248" s="13">
        <v>12321</v>
      </c>
      <c r="E248" s="13">
        <f t="shared" si="2"/>
        <v>1601.73</v>
      </c>
      <c r="F248" s="7"/>
    </row>
    <row r="249" spans="1:6" x14ac:dyDescent="0.2">
      <c r="A249" s="12">
        <v>1100552457</v>
      </c>
      <c r="B249" s="12" t="s">
        <v>159</v>
      </c>
      <c r="C249" s="12" t="s">
        <v>4</v>
      </c>
      <c r="D249" s="13">
        <v>24895</v>
      </c>
      <c r="E249" s="13">
        <f t="shared" si="2"/>
        <v>3236.35</v>
      </c>
      <c r="F249" s="7"/>
    </row>
    <row r="250" spans="1:6" x14ac:dyDescent="0.2">
      <c r="A250" s="12">
        <v>1100552458</v>
      </c>
      <c r="B250" s="12" t="s">
        <v>158</v>
      </c>
      <c r="C250" s="12" t="s">
        <v>4</v>
      </c>
      <c r="D250" s="13">
        <v>2050</v>
      </c>
      <c r="E250" s="13" t="str">
        <f t="shared" si="2"/>
        <v>No Discount</v>
      </c>
      <c r="F250" s="7"/>
    </row>
    <row r="251" spans="1:6" x14ac:dyDescent="0.2">
      <c r="A251" s="12">
        <v>1100552459</v>
      </c>
      <c r="B251" s="12" t="s">
        <v>155</v>
      </c>
      <c r="C251" s="12" t="s">
        <v>4</v>
      </c>
      <c r="D251" s="13">
        <v>4813</v>
      </c>
      <c r="E251" s="13" t="str">
        <f t="shared" si="2"/>
        <v>No Discount</v>
      </c>
      <c r="F251" s="7"/>
    </row>
    <row r="252" spans="1:6" x14ac:dyDescent="0.2">
      <c r="A252" s="12">
        <v>1100552460</v>
      </c>
      <c r="B252" s="12" t="s">
        <v>155</v>
      </c>
      <c r="C252" s="12" t="s">
        <v>2</v>
      </c>
      <c r="D252" s="13">
        <v>22053</v>
      </c>
      <c r="E252" s="13">
        <f t="shared" si="2"/>
        <v>2866.89</v>
      </c>
      <c r="F252" s="7"/>
    </row>
    <row r="253" spans="1:6" x14ac:dyDescent="0.2">
      <c r="A253" s="12">
        <v>1100552461</v>
      </c>
      <c r="B253" s="12" t="s">
        <v>150</v>
      </c>
      <c r="C253" s="12" t="s">
        <v>4</v>
      </c>
      <c r="D253" s="13">
        <v>18983</v>
      </c>
      <c r="E253" s="13">
        <f t="shared" si="2"/>
        <v>2467.79</v>
      </c>
      <c r="F253" s="7"/>
    </row>
    <row r="254" spans="1:6" x14ac:dyDescent="0.2">
      <c r="A254" s="12">
        <v>1100552462</v>
      </c>
      <c r="B254" s="12" t="s">
        <v>152</v>
      </c>
      <c r="C254" s="12" t="s">
        <v>2</v>
      </c>
      <c r="D254" s="13">
        <v>12739</v>
      </c>
      <c r="E254" s="13">
        <f t="shared" si="2"/>
        <v>1656.0700000000002</v>
      </c>
      <c r="F254" s="7"/>
    </row>
    <row r="255" spans="1:6" x14ac:dyDescent="0.2">
      <c r="A255" s="12">
        <v>1100552463</v>
      </c>
      <c r="B255" s="12" t="s">
        <v>155</v>
      </c>
      <c r="C255" s="12" t="s">
        <v>2</v>
      </c>
      <c r="D255" s="13">
        <v>7378</v>
      </c>
      <c r="E255" s="13">
        <f t="shared" si="2"/>
        <v>959.14</v>
      </c>
      <c r="F255" s="7"/>
    </row>
    <row r="256" spans="1:6" x14ac:dyDescent="0.2">
      <c r="A256" s="12">
        <v>1100552464</v>
      </c>
      <c r="B256" s="12" t="s">
        <v>150</v>
      </c>
      <c r="C256" s="12" t="s">
        <v>2</v>
      </c>
      <c r="D256" s="13">
        <v>16917</v>
      </c>
      <c r="E256" s="13">
        <f t="shared" si="2"/>
        <v>2199.21</v>
      </c>
      <c r="F256" s="7"/>
    </row>
    <row r="257" spans="1:6" x14ac:dyDescent="0.2">
      <c r="A257" s="12">
        <v>1100552465</v>
      </c>
      <c r="B257" s="12" t="s">
        <v>158</v>
      </c>
      <c r="C257" s="12" t="s">
        <v>4</v>
      </c>
      <c r="D257" s="13">
        <v>1244</v>
      </c>
      <c r="E257" s="13" t="str">
        <f t="shared" si="2"/>
        <v>No Discount</v>
      </c>
      <c r="F257" s="7"/>
    </row>
    <row r="258" spans="1:6" x14ac:dyDescent="0.2">
      <c r="A258" s="12">
        <v>1100552466</v>
      </c>
      <c r="B258" s="12" t="s">
        <v>159</v>
      </c>
      <c r="C258" s="12" t="s">
        <v>4</v>
      </c>
      <c r="D258" s="13">
        <v>12531</v>
      </c>
      <c r="E258" s="13">
        <f t="shared" si="2"/>
        <v>1629.03</v>
      </c>
      <c r="F258" s="7"/>
    </row>
    <row r="259" spans="1:6" x14ac:dyDescent="0.2">
      <c r="A259" s="12">
        <v>1100552467</v>
      </c>
      <c r="B259" s="12" t="s">
        <v>159</v>
      </c>
      <c r="C259" s="12" t="s">
        <v>4</v>
      </c>
      <c r="D259" s="13">
        <v>7500</v>
      </c>
      <c r="E259" s="13">
        <f t="shared" ref="E259:E322" si="3">IF(D259&gt;5000,D259*13%,"No Discount")</f>
        <v>975</v>
      </c>
      <c r="F259" s="7"/>
    </row>
    <row r="260" spans="1:6" x14ac:dyDescent="0.2">
      <c r="A260" s="12">
        <v>1100552468</v>
      </c>
      <c r="B260" s="12" t="s">
        <v>158</v>
      </c>
      <c r="C260" s="12" t="s">
        <v>4</v>
      </c>
      <c r="D260" s="13">
        <v>20194</v>
      </c>
      <c r="E260" s="13">
        <f t="shared" si="3"/>
        <v>2625.2200000000003</v>
      </c>
      <c r="F260" s="7"/>
    </row>
    <row r="261" spans="1:6" x14ac:dyDescent="0.2">
      <c r="A261" s="12">
        <v>1100552469</v>
      </c>
      <c r="B261" s="12" t="s">
        <v>155</v>
      </c>
      <c r="C261" s="12" t="s">
        <v>4</v>
      </c>
      <c r="D261" s="13">
        <v>17037</v>
      </c>
      <c r="E261" s="13">
        <f t="shared" si="3"/>
        <v>2214.81</v>
      </c>
      <c r="F261" s="7"/>
    </row>
    <row r="262" spans="1:6" x14ac:dyDescent="0.2">
      <c r="A262" s="12">
        <v>1100552470</v>
      </c>
      <c r="B262" s="12" t="s">
        <v>155</v>
      </c>
      <c r="C262" s="12" t="s">
        <v>2</v>
      </c>
      <c r="D262" s="13">
        <v>14394</v>
      </c>
      <c r="E262" s="13">
        <f t="shared" si="3"/>
        <v>1871.22</v>
      </c>
      <c r="F262" s="7"/>
    </row>
    <row r="263" spans="1:6" x14ac:dyDescent="0.2">
      <c r="A263" s="12">
        <v>1100552471</v>
      </c>
      <c r="B263" s="12" t="s">
        <v>150</v>
      </c>
      <c r="C263" s="12" t="s">
        <v>4</v>
      </c>
      <c r="D263" s="13">
        <v>13116</v>
      </c>
      <c r="E263" s="13">
        <f t="shared" si="3"/>
        <v>1705.0800000000002</v>
      </c>
      <c r="F263" s="7"/>
    </row>
    <row r="264" spans="1:6" x14ac:dyDescent="0.2">
      <c r="A264" s="12">
        <v>1100552472</v>
      </c>
      <c r="B264" s="12" t="s">
        <v>152</v>
      </c>
      <c r="C264" s="12" t="s">
        <v>2</v>
      </c>
      <c r="D264" s="13">
        <v>3494</v>
      </c>
      <c r="E264" s="13" t="str">
        <f t="shared" si="3"/>
        <v>No Discount</v>
      </c>
      <c r="F264" s="7"/>
    </row>
    <row r="265" spans="1:6" x14ac:dyDescent="0.2">
      <c r="A265" s="12">
        <v>1100552473</v>
      </c>
      <c r="B265" s="12" t="s">
        <v>155</v>
      </c>
      <c r="C265" s="12" t="s">
        <v>2</v>
      </c>
      <c r="D265" s="13">
        <v>11047</v>
      </c>
      <c r="E265" s="13">
        <f t="shared" si="3"/>
        <v>1436.1100000000001</v>
      </c>
      <c r="F265" s="7"/>
    </row>
    <row r="266" spans="1:6" x14ac:dyDescent="0.2">
      <c r="A266" s="12">
        <v>1100552474</v>
      </c>
      <c r="B266" s="12" t="s">
        <v>150</v>
      </c>
      <c r="C266" s="12" t="s">
        <v>2</v>
      </c>
      <c r="D266" s="13">
        <v>18427</v>
      </c>
      <c r="E266" s="13">
        <f t="shared" si="3"/>
        <v>2395.5100000000002</v>
      </c>
      <c r="F266" s="7"/>
    </row>
    <row r="267" spans="1:6" x14ac:dyDescent="0.2">
      <c r="A267" s="12">
        <v>1100552475</v>
      </c>
      <c r="B267" s="12" t="s">
        <v>158</v>
      </c>
      <c r="C267" s="12" t="s">
        <v>4</v>
      </c>
      <c r="D267" s="13">
        <v>12890</v>
      </c>
      <c r="E267" s="13">
        <f t="shared" si="3"/>
        <v>1675.7</v>
      </c>
      <c r="F267" s="7"/>
    </row>
    <row r="268" spans="1:6" x14ac:dyDescent="0.2">
      <c r="A268" s="12">
        <v>1100552476</v>
      </c>
      <c r="B268" s="12" t="s">
        <v>159</v>
      </c>
      <c r="C268" s="12" t="s">
        <v>4</v>
      </c>
      <c r="D268" s="13">
        <v>14700</v>
      </c>
      <c r="E268" s="13">
        <f t="shared" si="3"/>
        <v>1911</v>
      </c>
      <c r="F268" s="7"/>
    </row>
    <row r="269" spans="1:6" x14ac:dyDescent="0.2">
      <c r="A269" s="12">
        <v>1100552477</v>
      </c>
      <c r="B269" s="12" t="s">
        <v>159</v>
      </c>
      <c r="C269" s="12" t="s">
        <v>4</v>
      </c>
      <c r="D269" s="13">
        <v>1606</v>
      </c>
      <c r="E269" s="13" t="str">
        <f t="shared" si="3"/>
        <v>No Discount</v>
      </c>
      <c r="F269" s="7"/>
    </row>
    <row r="270" spans="1:6" x14ac:dyDescent="0.2">
      <c r="A270" s="12">
        <v>1100552478</v>
      </c>
      <c r="B270" s="12" t="s">
        <v>158</v>
      </c>
      <c r="C270" s="12" t="s">
        <v>4</v>
      </c>
      <c r="D270" s="13">
        <v>24321</v>
      </c>
      <c r="E270" s="13">
        <f t="shared" si="3"/>
        <v>3161.73</v>
      </c>
      <c r="F270" s="7"/>
    </row>
    <row r="271" spans="1:6" x14ac:dyDescent="0.2">
      <c r="A271" s="12">
        <v>1100552479</v>
      </c>
      <c r="B271" s="12" t="s">
        <v>155</v>
      </c>
      <c r="C271" s="12" t="s">
        <v>4</v>
      </c>
      <c r="D271" s="13">
        <v>15428</v>
      </c>
      <c r="E271" s="13">
        <f t="shared" si="3"/>
        <v>2005.64</v>
      </c>
      <c r="F271" s="7"/>
    </row>
    <row r="272" spans="1:6" x14ac:dyDescent="0.2">
      <c r="A272" s="12">
        <v>1100552480</v>
      </c>
      <c r="B272" s="12" t="s">
        <v>155</v>
      </c>
      <c r="C272" s="12" t="s">
        <v>2</v>
      </c>
      <c r="D272" s="13">
        <v>21120</v>
      </c>
      <c r="E272" s="13">
        <f t="shared" si="3"/>
        <v>2745.6</v>
      </c>
      <c r="F272" s="7"/>
    </row>
    <row r="273" spans="1:6" x14ac:dyDescent="0.2">
      <c r="A273" s="12">
        <v>1100552481</v>
      </c>
      <c r="B273" s="12" t="s">
        <v>150</v>
      </c>
      <c r="C273" s="12" t="s">
        <v>4</v>
      </c>
      <c r="D273" s="13">
        <v>22213</v>
      </c>
      <c r="E273" s="13">
        <f t="shared" si="3"/>
        <v>2887.69</v>
      </c>
      <c r="F273" s="7"/>
    </row>
    <row r="274" spans="1:6" x14ac:dyDescent="0.2">
      <c r="A274" s="12">
        <v>1100552482</v>
      </c>
      <c r="B274" s="12" t="s">
        <v>152</v>
      </c>
      <c r="C274" s="12" t="s">
        <v>2</v>
      </c>
      <c r="D274" s="13">
        <v>5282</v>
      </c>
      <c r="E274" s="13">
        <f t="shared" si="3"/>
        <v>686.66</v>
      </c>
      <c r="F274" s="7"/>
    </row>
    <row r="275" spans="1:6" x14ac:dyDescent="0.2">
      <c r="A275" s="12">
        <v>1100552483</v>
      </c>
      <c r="B275" s="12" t="s">
        <v>155</v>
      </c>
      <c r="C275" s="12" t="s">
        <v>2</v>
      </c>
      <c r="D275" s="13">
        <v>24639</v>
      </c>
      <c r="E275" s="13">
        <f t="shared" si="3"/>
        <v>3203.07</v>
      </c>
      <c r="F275" s="7"/>
    </row>
    <row r="276" spans="1:6" x14ac:dyDescent="0.2">
      <c r="A276" s="12">
        <v>1100552484</v>
      </c>
      <c r="B276" s="12" t="s">
        <v>150</v>
      </c>
      <c r="C276" s="12" t="s">
        <v>2</v>
      </c>
      <c r="D276" s="13">
        <v>12091</v>
      </c>
      <c r="E276" s="13">
        <f t="shared" si="3"/>
        <v>1571.8300000000002</v>
      </c>
      <c r="F276" s="7"/>
    </row>
    <row r="277" spans="1:6" x14ac:dyDescent="0.2">
      <c r="A277" s="12">
        <v>1100552485</v>
      </c>
      <c r="B277" s="12" t="s">
        <v>158</v>
      </c>
      <c r="C277" s="12" t="s">
        <v>4</v>
      </c>
      <c r="D277" s="13">
        <v>12325</v>
      </c>
      <c r="E277" s="13">
        <f t="shared" si="3"/>
        <v>1602.25</v>
      </c>
      <c r="F277" s="7"/>
    </row>
    <row r="278" spans="1:6" x14ac:dyDescent="0.2">
      <c r="A278" s="12">
        <v>1100552486</v>
      </c>
      <c r="B278" s="12" t="s">
        <v>159</v>
      </c>
      <c r="C278" s="12" t="s">
        <v>4</v>
      </c>
      <c r="D278" s="13">
        <v>17230</v>
      </c>
      <c r="E278" s="13">
        <f t="shared" si="3"/>
        <v>2239.9</v>
      </c>
      <c r="F278" s="7"/>
    </row>
    <row r="279" spans="1:6" x14ac:dyDescent="0.2">
      <c r="A279" s="12">
        <v>1100552487</v>
      </c>
      <c r="B279" s="12" t="s">
        <v>159</v>
      </c>
      <c r="C279" s="12" t="s">
        <v>4</v>
      </c>
      <c r="D279" s="13">
        <v>24634</v>
      </c>
      <c r="E279" s="13">
        <f t="shared" si="3"/>
        <v>3202.42</v>
      </c>
      <c r="F279" s="7"/>
    </row>
    <row r="280" spans="1:6" x14ac:dyDescent="0.2">
      <c r="A280" s="12">
        <v>1100552488</v>
      </c>
      <c r="B280" s="12" t="s">
        <v>158</v>
      </c>
      <c r="C280" s="12" t="s">
        <v>4</v>
      </c>
      <c r="D280" s="13">
        <v>5485</v>
      </c>
      <c r="E280" s="13">
        <f t="shared" si="3"/>
        <v>713.05000000000007</v>
      </c>
      <c r="F280" s="7"/>
    </row>
    <row r="281" spans="1:6" x14ac:dyDescent="0.2">
      <c r="A281" s="12">
        <v>1100552489</v>
      </c>
      <c r="B281" s="12" t="s">
        <v>192</v>
      </c>
      <c r="C281" s="12" t="s">
        <v>2</v>
      </c>
      <c r="D281" s="13">
        <v>12094</v>
      </c>
      <c r="E281" s="13">
        <f t="shared" si="3"/>
        <v>1572.22</v>
      </c>
      <c r="F281" s="7"/>
    </row>
    <row r="282" spans="1:6" x14ac:dyDescent="0.2">
      <c r="A282" s="12">
        <v>1100552490</v>
      </c>
      <c r="B282" s="12" t="s">
        <v>193</v>
      </c>
      <c r="C282" s="12" t="s">
        <v>4</v>
      </c>
      <c r="D282" s="13">
        <v>6132</v>
      </c>
      <c r="E282" s="13">
        <f t="shared" si="3"/>
        <v>797.16000000000008</v>
      </c>
      <c r="F282" s="7"/>
    </row>
    <row r="283" spans="1:6" x14ac:dyDescent="0.2">
      <c r="A283" s="12">
        <v>1100552491</v>
      </c>
      <c r="B283" s="12" t="s">
        <v>194</v>
      </c>
      <c r="C283" s="12" t="s">
        <v>4</v>
      </c>
      <c r="D283" s="13">
        <v>21079</v>
      </c>
      <c r="E283" s="13">
        <f t="shared" si="3"/>
        <v>2740.27</v>
      </c>
      <c r="F283" s="7"/>
    </row>
    <row r="284" spans="1:6" x14ac:dyDescent="0.2">
      <c r="A284" s="12">
        <v>1100552492</v>
      </c>
      <c r="B284" s="12" t="s">
        <v>195</v>
      </c>
      <c r="C284" s="12" t="s">
        <v>4</v>
      </c>
      <c r="D284" s="13">
        <v>13195</v>
      </c>
      <c r="E284" s="13">
        <f t="shared" si="3"/>
        <v>1715.3500000000001</v>
      </c>
      <c r="F284" s="7"/>
    </row>
    <row r="285" spans="1:6" x14ac:dyDescent="0.2">
      <c r="A285" s="12">
        <v>1100552493</v>
      </c>
      <c r="B285" s="12" t="s">
        <v>196</v>
      </c>
      <c r="C285" s="12" t="s">
        <v>4</v>
      </c>
      <c r="D285" s="13">
        <v>7092</v>
      </c>
      <c r="E285" s="13">
        <f t="shared" si="3"/>
        <v>921.96</v>
      </c>
      <c r="F285" s="7"/>
    </row>
    <row r="286" spans="1:6" x14ac:dyDescent="0.2">
      <c r="A286" s="12">
        <v>1100552494</v>
      </c>
      <c r="B286" s="12" t="s">
        <v>197</v>
      </c>
      <c r="C286" s="12" t="s">
        <v>4</v>
      </c>
      <c r="D286" s="13">
        <v>4789</v>
      </c>
      <c r="E286" s="13" t="str">
        <f t="shared" si="3"/>
        <v>No Discount</v>
      </c>
      <c r="F286" s="7"/>
    </row>
    <row r="287" spans="1:6" x14ac:dyDescent="0.2">
      <c r="A287" s="12">
        <v>1100552495</v>
      </c>
      <c r="B287" s="12" t="s">
        <v>198</v>
      </c>
      <c r="C287" s="12" t="s">
        <v>2</v>
      </c>
      <c r="D287" s="13">
        <v>8308</v>
      </c>
      <c r="E287" s="13">
        <f t="shared" si="3"/>
        <v>1080.04</v>
      </c>
      <c r="F287" s="7"/>
    </row>
    <row r="288" spans="1:6" x14ac:dyDescent="0.2">
      <c r="A288" s="12">
        <v>1100552496</v>
      </c>
      <c r="B288" s="12" t="s">
        <v>199</v>
      </c>
      <c r="C288" s="12" t="s">
        <v>4</v>
      </c>
      <c r="D288" s="13">
        <v>15329</v>
      </c>
      <c r="E288" s="13">
        <f t="shared" si="3"/>
        <v>1992.77</v>
      </c>
      <c r="F288" s="7"/>
    </row>
    <row r="289" spans="1:6" x14ac:dyDescent="0.2">
      <c r="A289" s="12">
        <v>1100552497</v>
      </c>
      <c r="B289" s="12" t="s">
        <v>200</v>
      </c>
      <c r="C289" s="12" t="s">
        <v>2</v>
      </c>
      <c r="D289" s="13">
        <v>22496</v>
      </c>
      <c r="E289" s="13">
        <f t="shared" si="3"/>
        <v>2924.48</v>
      </c>
      <c r="F289" s="7"/>
    </row>
    <row r="290" spans="1:6" x14ac:dyDescent="0.2">
      <c r="A290" s="12">
        <v>1100552498</v>
      </c>
      <c r="B290" s="12" t="s">
        <v>201</v>
      </c>
      <c r="C290" s="12" t="s">
        <v>2</v>
      </c>
      <c r="D290" s="13">
        <v>3901</v>
      </c>
      <c r="E290" s="13" t="str">
        <f t="shared" si="3"/>
        <v>No Discount</v>
      </c>
      <c r="F290" s="7"/>
    </row>
    <row r="291" spans="1:6" x14ac:dyDescent="0.2">
      <c r="A291" s="12">
        <v>1100552499</v>
      </c>
      <c r="B291" s="12" t="s">
        <v>13</v>
      </c>
      <c r="C291" s="12" t="s">
        <v>2</v>
      </c>
      <c r="D291" s="13">
        <v>14729</v>
      </c>
      <c r="E291" s="13">
        <f t="shared" si="3"/>
        <v>1914.77</v>
      </c>
      <c r="F291" s="7"/>
    </row>
    <row r="292" spans="1:6" x14ac:dyDescent="0.2">
      <c r="A292" s="12">
        <v>1100552500</v>
      </c>
      <c r="B292" s="12" t="s">
        <v>14</v>
      </c>
      <c r="C292" s="12" t="s">
        <v>4</v>
      </c>
      <c r="D292" s="13">
        <v>5306</v>
      </c>
      <c r="E292" s="13">
        <f t="shared" si="3"/>
        <v>689.78</v>
      </c>
      <c r="F292" s="7"/>
    </row>
    <row r="293" spans="1:6" x14ac:dyDescent="0.2">
      <c r="A293" s="12">
        <v>1100552501</v>
      </c>
      <c r="B293" s="12" t="s">
        <v>15</v>
      </c>
      <c r="C293" s="12" t="s">
        <v>4</v>
      </c>
      <c r="D293" s="13">
        <v>9488</v>
      </c>
      <c r="E293" s="13">
        <f t="shared" si="3"/>
        <v>1233.44</v>
      </c>
      <c r="F293" s="7"/>
    </row>
    <row r="294" spans="1:6" x14ac:dyDescent="0.2">
      <c r="A294" s="12">
        <v>1100552502</v>
      </c>
      <c r="B294" s="12" t="s">
        <v>16</v>
      </c>
      <c r="C294" s="12" t="s">
        <v>4</v>
      </c>
      <c r="D294" s="13">
        <v>18470</v>
      </c>
      <c r="E294" s="13">
        <f t="shared" si="3"/>
        <v>2401.1</v>
      </c>
      <c r="F294" s="7"/>
    </row>
    <row r="295" spans="1:6" x14ac:dyDescent="0.2">
      <c r="A295" s="12">
        <v>1100552503</v>
      </c>
      <c r="B295" s="12" t="s">
        <v>17</v>
      </c>
      <c r="C295" s="12" t="s">
        <v>4</v>
      </c>
      <c r="D295" s="13">
        <v>23075</v>
      </c>
      <c r="E295" s="13">
        <f t="shared" si="3"/>
        <v>2999.75</v>
      </c>
      <c r="F295" s="7"/>
    </row>
    <row r="296" spans="1:6" x14ac:dyDescent="0.2">
      <c r="A296" s="12">
        <v>1100552504</v>
      </c>
      <c r="B296" s="12" t="s">
        <v>18</v>
      </c>
      <c r="C296" s="12" t="s">
        <v>4</v>
      </c>
      <c r="D296" s="13">
        <v>18089</v>
      </c>
      <c r="E296" s="13">
        <f t="shared" si="3"/>
        <v>2351.5700000000002</v>
      </c>
      <c r="F296" s="7"/>
    </row>
    <row r="297" spans="1:6" x14ac:dyDescent="0.2">
      <c r="A297" s="12">
        <v>1100552505</v>
      </c>
      <c r="B297" s="12" t="s">
        <v>19</v>
      </c>
      <c r="C297" s="12" t="s">
        <v>2</v>
      </c>
      <c r="D297" s="13">
        <v>3872</v>
      </c>
      <c r="E297" s="13" t="str">
        <f t="shared" si="3"/>
        <v>No Discount</v>
      </c>
      <c r="F297" s="7"/>
    </row>
    <row r="298" spans="1:6" x14ac:dyDescent="0.2">
      <c r="A298" s="12">
        <v>1100552506</v>
      </c>
      <c r="B298" s="12" t="s">
        <v>19</v>
      </c>
      <c r="C298" s="12" t="s">
        <v>4</v>
      </c>
      <c r="D298" s="13">
        <v>11481</v>
      </c>
      <c r="E298" s="13">
        <f t="shared" si="3"/>
        <v>1492.53</v>
      </c>
      <c r="F298" s="7"/>
    </row>
    <row r="299" spans="1:6" x14ac:dyDescent="0.2">
      <c r="A299" s="12">
        <v>1100552507</v>
      </c>
      <c r="B299" s="12" t="s">
        <v>20</v>
      </c>
      <c r="C299" s="12" t="s">
        <v>2</v>
      </c>
      <c r="D299" s="13">
        <v>9553</v>
      </c>
      <c r="E299" s="13">
        <f t="shared" si="3"/>
        <v>1241.8900000000001</v>
      </c>
      <c r="F299" s="7"/>
    </row>
    <row r="300" spans="1:6" x14ac:dyDescent="0.2">
      <c r="A300" s="12">
        <v>1100552508</v>
      </c>
      <c r="B300" s="12" t="s">
        <v>21</v>
      </c>
      <c r="C300" s="12" t="s">
        <v>2</v>
      </c>
      <c r="D300" s="13">
        <v>20088</v>
      </c>
      <c r="E300" s="13">
        <f t="shared" si="3"/>
        <v>2611.44</v>
      </c>
      <c r="F300" s="7"/>
    </row>
    <row r="301" spans="1:6" x14ac:dyDescent="0.2">
      <c r="A301" s="12">
        <v>1100552509</v>
      </c>
      <c r="B301" s="12" t="s">
        <v>22</v>
      </c>
      <c r="C301" s="12" t="s">
        <v>2</v>
      </c>
      <c r="D301" s="13">
        <v>12668</v>
      </c>
      <c r="E301" s="13">
        <f t="shared" si="3"/>
        <v>1646.8400000000001</v>
      </c>
      <c r="F301" s="7"/>
    </row>
    <row r="302" spans="1:6" x14ac:dyDescent="0.2">
      <c r="A302" s="12">
        <v>1100552510</v>
      </c>
      <c r="B302" s="12" t="s">
        <v>23</v>
      </c>
      <c r="C302" s="12" t="s">
        <v>4</v>
      </c>
      <c r="D302" s="13">
        <v>23837</v>
      </c>
      <c r="E302" s="13">
        <f t="shared" si="3"/>
        <v>3098.81</v>
      </c>
      <c r="F302" s="7"/>
    </row>
    <row r="303" spans="1:6" x14ac:dyDescent="0.2">
      <c r="A303" s="12">
        <v>1100552511</v>
      </c>
      <c r="B303" s="12" t="s">
        <v>24</v>
      </c>
      <c r="C303" s="12" t="s">
        <v>4</v>
      </c>
      <c r="D303" s="13">
        <v>20550</v>
      </c>
      <c r="E303" s="13">
        <f t="shared" si="3"/>
        <v>2671.5</v>
      </c>
      <c r="F303" s="7"/>
    </row>
    <row r="304" spans="1:6" x14ac:dyDescent="0.2">
      <c r="A304" s="12">
        <v>1100552512</v>
      </c>
      <c r="B304" s="12" t="s">
        <v>25</v>
      </c>
      <c r="C304" s="12" t="s">
        <v>4</v>
      </c>
      <c r="D304" s="13">
        <v>5057</v>
      </c>
      <c r="E304" s="13">
        <f t="shared" si="3"/>
        <v>657.41</v>
      </c>
      <c r="F304" s="7"/>
    </row>
    <row r="305" spans="1:6" x14ac:dyDescent="0.2">
      <c r="A305" s="12">
        <v>1100552513</v>
      </c>
      <c r="B305" s="12" t="s">
        <v>26</v>
      </c>
      <c r="C305" s="12" t="s">
        <v>4</v>
      </c>
      <c r="D305" s="13">
        <v>14954</v>
      </c>
      <c r="E305" s="13">
        <f t="shared" si="3"/>
        <v>1944.02</v>
      </c>
      <c r="F305" s="7"/>
    </row>
    <row r="306" spans="1:6" x14ac:dyDescent="0.2">
      <c r="A306" s="12">
        <v>1100552514</v>
      </c>
      <c r="B306" s="12" t="s">
        <v>27</v>
      </c>
      <c r="C306" s="12" t="s">
        <v>4</v>
      </c>
      <c r="D306" s="13">
        <v>23207</v>
      </c>
      <c r="E306" s="13">
        <f t="shared" si="3"/>
        <v>3016.9100000000003</v>
      </c>
      <c r="F306" s="7"/>
    </row>
    <row r="307" spans="1:6" x14ac:dyDescent="0.2">
      <c r="A307" s="12">
        <v>1100552515</v>
      </c>
      <c r="B307" s="12" t="s">
        <v>28</v>
      </c>
      <c r="C307" s="12" t="s">
        <v>2</v>
      </c>
      <c r="D307" s="13">
        <v>12246</v>
      </c>
      <c r="E307" s="13">
        <f t="shared" si="3"/>
        <v>1591.98</v>
      </c>
      <c r="F307" s="7"/>
    </row>
    <row r="308" spans="1:6" x14ac:dyDescent="0.2">
      <c r="A308" s="12">
        <v>1100552516</v>
      </c>
      <c r="B308" s="12" t="s">
        <v>29</v>
      </c>
      <c r="C308" s="12" t="s">
        <v>4</v>
      </c>
      <c r="D308" s="13">
        <v>24494</v>
      </c>
      <c r="E308" s="13">
        <f t="shared" si="3"/>
        <v>3184.2200000000003</v>
      </c>
      <c r="F308" s="7"/>
    </row>
    <row r="309" spans="1:6" x14ac:dyDescent="0.2">
      <c r="A309" s="12">
        <v>1100552517</v>
      </c>
      <c r="B309" s="12" t="s">
        <v>30</v>
      </c>
      <c r="C309" s="12" t="s">
        <v>2</v>
      </c>
      <c r="D309" s="13">
        <v>6204</v>
      </c>
      <c r="E309" s="13">
        <f t="shared" si="3"/>
        <v>806.52</v>
      </c>
      <c r="F309" s="7"/>
    </row>
    <row r="310" spans="1:6" x14ac:dyDescent="0.2">
      <c r="A310" s="12">
        <v>1100552518</v>
      </c>
      <c r="B310" s="12" t="s">
        <v>31</v>
      </c>
      <c r="C310" s="12" t="s">
        <v>2</v>
      </c>
      <c r="D310" s="13">
        <v>1860</v>
      </c>
      <c r="E310" s="13" t="str">
        <f t="shared" si="3"/>
        <v>No Discount</v>
      </c>
      <c r="F310" s="7"/>
    </row>
    <row r="311" spans="1:6" x14ac:dyDescent="0.2">
      <c r="A311" s="12">
        <v>1100552519</v>
      </c>
      <c r="B311" s="12" t="s">
        <v>32</v>
      </c>
      <c r="C311" s="12" t="s">
        <v>2</v>
      </c>
      <c r="D311" s="13">
        <v>18424</v>
      </c>
      <c r="E311" s="13">
        <f t="shared" si="3"/>
        <v>2395.12</v>
      </c>
      <c r="F311" s="7"/>
    </row>
    <row r="312" spans="1:6" x14ac:dyDescent="0.2">
      <c r="A312" s="12">
        <v>1100552520</v>
      </c>
      <c r="B312" s="12" t="s">
        <v>33</v>
      </c>
      <c r="C312" s="12" t="s">
        <v>4</v>
      </c>
      <c r="D312" s="13">
        <v>21935</v>
      </c>
      <c r="E312" s="13">
        <f t="shared" si="3"/>
        <v>2851.55</v>
      </c>
      <c r="F312" s="7"/>
    </row>
    <row r="313" spans="1:6" x14ac:dyDescent="0.2">
      <c r="A313" s="12">
        <v>1100552521</v>
      </c>
      <c r="B313" s="12" t="s">
        <v>34</v>
      </c>
      <c r="C313" s="12" t="s">
        <v>4</v>
      </c>
      <c r="D313" s="13">
        <v>10875</v>
      </c>
      <c r="E313" s="13">
        <f t="shared" si="3"/>
        <v>1413.75</v>
      </c>
      <c r="F313" s="7"/>
    </row>
    <row r="314" spans="1:6" x14ac:dyDescent="0.2">
      <c r="A314" s="12">
        <v>1100552522</v>
      </c>
      <c r="B314" s="12" t="s">
        <v>35</v>
      </c>
      <c r="C314" s="12" t="s">
        <v>4</v>
      </c>
      <c r="D314" s="13">
        <v>18302</v>
      </c>
      <c r="E314" s="13">
        <f t="shared" si="3"/>
        <v>2379.2600000000002</v>
      </c>
      <c r="F314" s="7"/>
    </row>
    <row r="315" spans="1:6" x14ac:dyDescent="0.2">
      <c r="A315" s="12">
        <v>1100552523</v>
      </c>
      <c r="B315" s="12" t="s">
        <v>36</v>
      </c>
      <c r="C315" s="12" t="s">
        <v>4</v>
      </c>
      <c r="D315" s="13">
        <v>22310</v>
      </c>
      <c r="E315" s="13">
        <f t="shared" si="3"/>
        <v>2900.3</v>
      </c>
      <c r="F315" s="7"/>
    </row>
    <row r="316" spans="1:6" x14ac:dyDescent="0.2">
      <c r="A316" s="12">
        <v>1100552524</v>
      </c>
      <c r="B316" s="12" t="s">
        <v>37</v>
      </c>
      <c r="C316" s="12" t="s">
        <v>4</v>
      </c>
      <c r="D316" s="13">
        <v>16523</v>
      </c>
      <c r="E316" s="13">
        <f t="shared" si="3"/>
        <v>2147.9900000000002</v>
      </c>
      <c r="F316" s="7"/>
    </row>
    <row r="317" spans="1:6" x14ac:dyDescent="0.2">
      <c r="A317" s="12">
        <v>1100552525</v>
      </c>
      <c r="B317" s="12" t="s">
        <v>38</v>
      </c>
      <c r="C317" s="12" t="s">
        <v>2</v>
      </c>
      <c r="D317" s="13">
        <v>4082</v>
      </c>
      <c r="E317" s="13" t="str">
        <f t="shared" si="3"/>
        <v>No Discount</v>
      </c>
      <c r="F317" s="7"/>
    </row>
    <row r="318" spans="1:6" x14ac:dyDescent="0.2">
      <c r="A318" s="12">
        <v>1100552526</v>
      </c>
      <c r="B318" s="12" t="s">
        <v>38</v>
      </c>
      <c r="C318" s="12" t="s">
        <v>4</v>
      </c>
      <c r="D318" s="13">
        <v>22949</v>
      </c>
      <c r="E318" s="13">
        <f t="shared" si="3"/>
        <v>2983.37</v>
      </c>
      <c r="F318" s="7"/>
    </row>
    <row r="319" spans="1:6" x14ac:dyDescent="0.2">
      <c r="A319" s="12">
        <v>1100552527</v>
      </c>
      <c r="B319" s="12" t="s">
        <v>39</v>
      </c>
      <c r="C319" s="12" t="s">
        <v>2</v>
      </c>
      <c r="D319" s="13">
        <v>17137</v>
      </c>
      <c r="E319" s="13">
        <f t="shared" si="3"/>
        <v>2227.81</v>
      </c>
      <c r="F319" s="7"/>
    </row>
    <row r="320" spans="1:6" x14ac:dyDescent="0.2">
      <c r="A320" s="12">
        <v>1100552528</v>
      </c>
      <c r="B320" s="12" t="s">
        <v>40</v>
      </c>
      <c r="C320" s="12" t="s">
        <v>2</v>
      </c>
      <c r="D320" s="13">
        <v>15467</v>
      </c>
      <c r="E320" s="13">
        <f t="shared" si="3"/>
        <v>2010.71</v>
      </c>
      <c r="F320" s="7"/>
    </row>
    <row r="321" spans="1:6" x14ac:dyDescent="0.2">
      <c r="A321" s="12">
        <v>1100552529</v>
      </c>
      <c r="B321" s="12" t="s">
        <v>41</v>
      </c>
      <c r="C321" s="12" t="s">
        <v>2</v>
      </c>
      <c r="D321" s="13">
        <v>13822</v>
      </c>
      <c r="E321" s="13">
        <f t="shared" si="3"/>
        <v>1796.8600000000001</v>
      </c>
      <c r="F321" s="7"/>
    </row>
    <row r="322" spans="1:6" x14ac:dyDescent="0.2">
      <c r="A322" s="12">
        <v>1100552530</v>
      </c>
      <c r="B322" s="12" t="s">
        <v>42</v>
      </c>
      <c r="C322" s="12" t="s">
        <v>4</v>
      </c>
      <c r="D322" s="13">
        <v>15763</v>
      </c>
      <c r="E322" s="13">
        <f t="shared" si="3"/>
        <v>2049.19</v>
      </c>
      <c r="F322" s="7"/>
    </row>
    <row r="323" spans="1:6" x14ac:dyDescent="0.2">
      <c r="A323" s="12">
        <v>1100552531</v>
      </c>
      <c r="B323" s="12" t="s">
        <v>43</v>
      </c>
      <c r="C323" s="12" t="s">
        <v>4</v>
      </c>
      <c r="D323" s="13">
        <v>16035</v>
      </c>
      <c r="E323" s="13">
        <f t="shared" ref="E323:E386" si="4">IF(D323&gt;5000,D323*13%,"No Discount")</f>
        <v>2084.5500000000002</v>
      </c>
      <c r="F323" s="7"/>
    </row>
    <row r="324" spans="1:6" x14ac:dyDescent="0.2">
      <c r="A324" s="12">
        <v>1100552532</v>
      </c>
      <c r="B324" s="12" t="s">
        <v>44</v>
      </c>
      <c r="C324" s="12" t="s">
        <v>4</v>
      </c>
      <c r="D324" s="13">
        <v>16849</v>
      </c>
      <c r="E324" s="13">
        <f t="shared" si="4"/>
        <v>2190.37</v>
      </c>
      <c r="F324" s="7"/>
    </row>
    <row r="325" spans="1:6" x14ac:dyDescent="0.2">
      <c r="A325" s="12">
        <v>1100552533</v>
      </c>
      <c r="B325" s="12" t="s">
        <v>45</v>
      </c>
      <c r="C325" s="12" t="s">
        <v>4</v>
      </c>
      <c r="D325" s="13">
        <v>15146</v>
      </c>
      <c r="E325" s="13">
        <f t="shared" si="4"/>
        <v>1968.98</v>
      </c>
      <c r="F325" s="7"/>
    </row>
    <row r="326" spans="1:6" x14ac:dyDescent="0.2">
      <c r="A326" s="12">
        <v>1100552534</v>
      </c>
      <c r="B326" s="12" t="s">
        <v>46</v>
      </c>
      <c r="C326" s="12" t="s">
        <v>4</v>
      </c>
      <c r="D326" s="13">
        <v>15109</v>
      </c>
      <c r="E326" s="13">
        <f t="shared" si="4"/>
        <v>1964.17</v>
      </c>
      <c r="F326" s="7"/>
    </row>
    <row r="327" spans="1:6" x14ac:dyDescent="0.2">
      <c r="A327" s="12">
        <v>1100552535</v>
      </c>
      <c r="B327" s="12" t="s">
        <v>47</v>
      </c>
      <c r="C327" s="12" t="s">
        <v>2</v>
      </c>
      <c r="D327" s="13">
        <v>1014</v>
      </c>
      <c r="E327" s="13" t="str">
        <f t="shared" si="4"/>
        <v>No Discount</v>
      </c>
      <c r="F327" s="7"/>
    </row>
    <row r="328" spans="1:6" x14ac:dyDescent="0.2">
      <c r="A328" s="12">
        <v>1100552536</v>
      </c>
      <c r="B328" s="12" t="s">
        <v>48</v>
      </c>
      <c r="C328" s="12" t="s">
        <v>4</v>
      </c>
      <c r="D328" s="13">
        <v>19141</v>
      </c>
      <c r="E328" s="13">
        <f t="shared" si="4"/>
        <v>2488.33</v>
      </c>
      <c r="F328" s="7"/>
    </row>
    <row r="329" spans="1:6" x14ac:dyDescent="0.2">
      <c r="A329" s="12">
        <v>1100552537</v>
      </c>
      <c r="B329" s="12" t="s">
        <v>49</v>
      </c>
      <c r="C329" s="12" t="s">
        <v>2</v>
      </c>
      <c r="D329" s="13">
        <v>7167</v>
      </c>
      <c r="E329" s="13">
        <f t="shared" si="4"/>
        <v>931.71</v>
      </c>
      <c r="F329" s="7"/>
    </row>
    <row r="330" spans="1:6" x14ac:dyDescent="0.2">
      <c r="A330" s="12">
        <v>1100552538</v>
      </c>
      <c r="B330" s="12" t="s">
        <v>50</v>
      </c>
      <c r="C330" s="12" t="s">
        <v>2</v>
      </c>
      <c r="D330" s="13">
        <v>4857</v>
      </c>
      <c r="E330" s="13" t="str">
        <f t="shared" si="4"/>
        <v>No Discount</v>
      </c>
      <c r="F330" s="7"/>
    </row>
    <row r="331" spans="1:6" x14ac:dyDescent="0.2">
      <c r="A331" s="12">
        <v>1100552539</v>
      </c>
      <c r="B331" s="12" t="s">
        <v>51</v>
      </c>
      <c r="C331" s="12" t="s">
        <v>2</v>
      </c>
      <c r="D331" s="13">
        <v>7661</v>
      </c>
      <c r="E331" s="13">
        <f t="shared" si="4"/>
        <v>995.93000000000006</v>
      </c>
      <c r="F331" s="7"/>
    </row>
    <row r="332" spans="1:6" x14ac:dyDescent="0.2">
      <c r="A332" s="12">
        <v>1100552540</v>
      </c>
      <c r="B332" s="12" t="s">
        <v>52</v>
      </c>
      <c r="C332" s="12" t="s">
        <v>4</v>
      </c>
      <c r="D332" s="13">
        <v>7731</v>
      </c>
      <c r="E332" s="13">
        <f t="shared" si="4"/>
        <v>1005.0300000000001</v>
      </c>
      <c r="F332" s="7"/>
    </row>
    <row r="333" spans="1:6" x14ac:dyDescent="0.2">
      <c r="A333" s="12">
        <v>1100552541</v>
      </c>
      <c r="B333" s="12" t="s">
        <v>53</v>
      </c>
      <c r="C333" s="12" t="s">
        <v>4</v>
      </c>
      <c r="D333" s="13">
        <v>17138</v>
      </c>
      <c r="E333" s="13">
        <f t="shared" si="4"/>
        <v>2227.94</v>
      </c>
      <c r="F333" s="7"/>
    </row>
    <row r="334" spans="1:6" x14ac:dyDescent="0.2">
      <c r="A334" s="12">
        <v>1100552542</v>
      </c>
      <c r="B334" s="12" t="s">
        <v>54</v>
      </c>
      <c r="C334" s="12" t="s">
        <v>4</v>
      </c>
      <c r="D334" s="13">
        <v>9742</v>
      </c>
      <c r="E334" s="13">
        <f t="shared" si="4"/>
        <v>1266.46</v>
      </c>
      <c r="F334" s="7"/>
    </row>
    <row r="335" spans="1:6" x14ac:dyDescent="0.2">
      <c r="A335" s="12">
        <v>1100552543</v>
      </c>
      <c r="B335" s="12" t="s">
        <v>55</v>
      </c>
      <c r="C335" s="12" t="s">
        <v>4</v>
      </c>
      <c r="D335" s="13">
        <v>4960</v>
      </c>
      <c r="E335" s="13" t="str">
        <f t="shared" si="4"/>
        <v>No Discount</v>
      </c>
      <c r="F335" s="7"/>
    </row>
    <row r="336" spans="1:6" x14ac:dyDescent="0.2">
      <c r="A336" s="12">
        <v>1100552544</v>
      </c>
      <c r="B336" s="12" t="s">
        <v>56</v>
      </c>
      <c r="C336" s="12" t="s">
        <v>4</v>
      </c>
      <c r="D336" s="13">
        <v>14138</v>
      </c>
      <c r="E336" s="13">
        <f t="shared" si="4"/>
        <v>1837.94</v>
      </c>
      <c r="F336" s="7"/>
    </row>
    <row r="337" spans="1:6" x14ac:dyDescent="0.2">
      <c r="A337" s="12">
        <v>1100552545</v>
      </c>
      <c r="B337" s="12" t="s">
        <v>57</v>
      </c>
      <c r="C337" s="12" t="s">
        <v>2</v>
      </c>
      <c r="D337" s="13">
        <v>19103</v>
      </c>
      <c r="E337" s="13">
        <f t="shared" si="4"/>
        <v>2483.39</v>
      </c>
      <c r="F337" s="7"/>
    </row>
    <row r="338" spans="1:6" x14ac:dyDescent="0.2">
      <c r="A338" s="12">
        <v>1100552546</v>
      </c>
      <c r="B338" s="12" t="s">
        <v>58</v>
      </c>
      <c r="C338" s="12" t="s">
        <v>4</v>
      </c>
      <c r="D338" s="13">
        <v>23001</v>
      </c>
      <c r="E338" s="13">
        <f t="shared" si="4"/>
        <v>2990.13</v>
      </c>
      <c r="F338" s="7"/>
    </row>
    <row r="339" spans="1:6" x14ac:dyDescent="0.2">
      <c r="A339" s="12">
        <v>1100552547</v>
      </c>
      <c r="B339" s="12" t="s">
        <v>59</v>
      </c>
      <c r="C339" s="12" t="s">
        <v>2</v>
      </c>
      <c r="D339" s="13">
        <v>5313</v>
      </c>
      <c r="E339" s="13">
        <f t="shared" si="4"/>
        <v>690.69</v>
      </c>
      <c r="F339" s="7"/>
    </row>
    <row r="340" spans="1:6" x14ac:dyDescent="0.2">
      <c r="A340" s="12">
        <v>1100552548</v>
      </c>
      <c r="B340" s="12" t="s">
        <v>60</v>
      </c>
      <c r="C340" s="12" t="s">
        <v>4</v>
      </c>
      <c r="D340" s="13">
        <v>10741</v>
      </c>
      <c r="E340" s="13">
        <f t="shared" si="4"/>
        <v>1396.3300000000002</v>
      </c>
      <c r="F340" s="7"/>
    </row>
    <row r="341" spans="1:6" x14ac:dyDescent="0.2">
      <c r="A341" s="12">
        <v>1100552549</v>
      </c>
      <c r="B341" s="12" t="s">
        <v>61</v>
      </c>
      <c r="C341" s="12" t="s">
        <v>4</v>
      </c>
      <c r="D341" s="13">
        <v>20913</v>
      </c>
      <c r="E341" s="13">
        <f t="shared" si="4"/>
        <v>2718.69</v>
      </c>
      <c r="F341" s="7"/>
    </row>
    <row r="342" spans="1:6" x14ac:dyDescent="0.2">
      <c r="A342" s="12">
        <v>1100552550</v>
      </c>
      <c r="B342" s="12" t="s">
        <v>62</v>
      </c>
      <c r="C342" s="12" t="s">
        <v>4</v>
      </c>
      <c r="D342" s="13">
        <v>14013</v>
      </c>
      <c r="E342" s="13">
        <f t="shared" si="4"/>
        <v>1821.69</v>
      </c>
      <c r="F342" s="7"/>
    </row>
    <row r="343" spans="1:6" x14ac:dyDescent="0.2">
      <c r="A343" s="12">
        <v>1100552551</v>
      </c>
      <c r="B343" s="12" t="s">
        <v>63</v>
      </c>
      <c r="C343" s="12" t="s">
        <v>4</v>
      </c>
      <c r="D343" s="13">
        <v>23102</v>
      </c>
      <c r="E343" s="13">
        <f t="shared" si="4"/>
        <v>3003.26</v>
      </c>
      <c r="F343" s="7"/>
    </row>
    <row r="344" spans="1:6" x14ac:dyDescent="0.2">
      <c r="A344" s="12">
        <v>1100552552</v>
      </c>
      <c r="B344" s="12" t="s">
        <v>64</v>
      </c>
      <c r="C344" s="12" t="s">
        <v>4</v>
      </c>
      <c r="D344" s="13">
        <v>6175</v>
      </c>
      <c r="E344" s="13">
        <f t="shared" si="4"/>
        <v>802.75</v>
      </c>
      <c r="F344" s="7"/>
    </row>
    <row r="345" spans="1:6" x14ac:dyDescent="0.2">
      <c r="A345" s="12">
        <v>1100552553</v>
      </c>
      <c r="B345" s="12" t="s">
        <v>65</v>
      </c>
      <c r="C345" s="12" t="s">
        <v>2</v>
      </c>
      <c r="D345" s="13">
        <v>14441</v>
      </c>
      <c r="E345" s="13">
        <f t="shared" si="4"/>
        <v>1877.3300000000002</v>
      </c>
      <c r="F345" s="7"/>
    </row>
    <row r="346" spans="1:6" x14ac:dyDescent="0.2">
      <c r="A346" s="12">
        <v>1100552554</v>
      </c>
      <c r="B346" s="12" t="s">
        <v>66</v>
      </c>
      <c r="C346" s="12" t="s">
        <v>4</v>
      </c>
      <c r="D346" s="13">
        <v>18668</v>
      </c>
      <c r="E346" s="13">
        <f t="shared" si="4"/>
        <v>2426.84</v>
      </c>
      <c r="F346" s="7"/>
    </row>
    <row r="347" spans="1:6" x14ac:dyDescent="0.2">
      <c r="A347" s="12">
        <v>1100552555</v>
      </c>
      <c r="B347" s="12" t="s">
        <v>67</v>
      </c>
      <c r="C347" s="12" t="s">
        <v>2</v>
      </c>
      <c r="D347" s="13">
        <v>19033</v>
      </c>
      <c r="E347" s="13">
        <f t="shared" si="4"/>
        <v>2474.29</v>
      </c>
      <c r="F347" s="7"/>
    </row>
    <row r="348" spans="1:6" x14ac:dyDescent="0.2">
      <c r="A348" s="12">
        <v>1100552556</v>
      </c>
      <c r="B348" s="12" t="s">
        <v>68</v>
      </c>
      <c r="C348" s="12" t="s">
        <v>2</v>
      </c>
      <c r="D348" s="13">
        <v>16516</v>
      </c>
      <c r="E348" s="13">
        <f t="shared" si="4"/>
        <v>2147.08</v>
      </c>
      <c r="F348" s="7"/>
    </row>
    <row r="349" spans="1:6" x14ac:dyDescent="0.2">
      <c r="A349" s="12">
        <v>1100552557</v>
      </c>
      <c r="B349" s="12" t="s">
        <v>69</v>
      </c>
      <c r="C349" s="12" t="s">
        <v>2</v>
      </c>
      <c r="D349" s="13">
        <v>16647</v>
      </c>
      <c r="E349" s="13">
        <f t="shared" si="4"/>
        <v>2164.11</v>
      </c>
      <c r="F349" s="7"/>
    </row>
    <row r="350" spans="1:6" x14ac:dyDescent="0.2">
      <c r="A350" s="12">
        <v>1100552558</v>
      </c>
      <c r="B350" s="12" t="s">
        <v>70</v>
      </c>
      <c r="C350" s="12" t="s">
        <v>4</v>
      </c>
      <c r="D350" s="13">
        <v>11255</v>
      </c>
      <c r="E350" s="13">
        <f t="shared" si="4"/>
        <v>1463.15</v>
      </c>
      <c r="F350" s="7"/>
    </row>
    <row r="351" spans="1:6" x14ac:dyDescent="0.2">
      <c r="A351" s="12">
        <v>1100552559</v>
      </c>
      <c r="B351" s="12" t="s">
        <v>71</v>
      </c>
      <c r="C351" s="12" t="s">
        <v>4</v>
      </c>
      <c r="D351" s="13">
        <v>12326</v>
      </c>
      <c r="E351" s="13">
        <f t="shared" si="4"/>
        <v>1602.38</v>
      </c>
      <c r="F351" s="7"/>
    </row>
    <row r="352" spans="1:6" x14ac:dyDescent="0.2">
      <c r="A352" s="12">
        <v>1100552560</v>
      </c>
      <c r="B352" s="12" t="s">
        <v>72</v>
      </c>
      <c r="C352" s="12" t="s">
        <v>4</v>
      </c>
      <c r="D352" s="13">
        <v>7643</v>
      </c>
      <c r="E352" s="13">
        <f t="shared" si="4"/>
        <v>993.59</v>
      </c>
      <c r="F352" s="7"/>
    </row>
    <row r="353" spans="1:6" x14ac:dyDescent="0.2">
      <c r="A353" s="12">
        <v>1100552561</v>
      </c>
      <c r="B353" s="12" t="s">
        <v>73</v>
      </c>
      <c r="C353" s="12" t="s">
        <v>4</v>
      </c>
      <c r="D353" s="13">
        <v>13463</v>
      </c>
      <c r="E353" s="13">
        <f t="shared" si="4"/>
        <v>1750.19</v>
      </c>
      <c r="F353" s="7"/>
    </row>
    <row r="354" spans="1:6" x14ac:dyDescent="0.2">
      <c r="A354" s="12">
        <v>1100552562</v>
      </c>
      <c r="B354" s="12" t="s">
        <v>74</v>
      </c>
      <c r="C354" s="12" t="s">
        <v>4</v>
      </c>
      <c r="D354" s="13">
        <v>5414</v>
      </c>
      <c r="E354" s="13">
        <f t="shared" si="4"/>
        <v>703.82</v>
      </c>
      <c r="F354" s="7"/>
    </row>
    <row r="355" spans="1:6" x14ac:dyDescent="0.2">
      <c r="A355" s="12">
        <v>1100552563</v>
      </c>
      <c r="B355" s="12" t="s">
        <v>75</v>
      </c>
      <c r="C355" s="12" t="s">
        <v>2</v>
      </c>
      <c r="D355" s="13">
        <v>4105</v>
      </c>
      <c r="E355" s="13" t="str">
        <f t="shared" si="4"/>
        <v>No Discount</v>
      </c>
      <c r="F355" s="7"/>
    </row>
    <row r="356" spans="1:6" x14ac:dyDescent="0.2">
      <c r="A356" s="12">
        <v>1100552564</v>
      </c>
      <c r="B356" s="12" t="s">
        <v>76</v>
      </c>
      <c r="C356" s="12" t="s">
        <v>4</v>
      </c>
      <c r="D356" s="13">
        <v>11262</v>
      </c>
      <c r="E356" s="13">
        <f t="shared" si="4"/>
        <v>1464.06</v>
      </c>
      <c r="F356" s="7"/>
    </row>
    <row r="357" spans="1:6" x14ac:dyDescent="0.2">
      <c r="A357" s="12">
        <v>1100552565</v>
      </c>
      <c r="B357" s="12" t="s">
        <v>77</v>
      </c>
      <c r="C357" s="12" t="s">
        <v>2</v>
      </c>
      <c r="D357" s="13">
        <v>20895</v>
      </c>
      <c r="E357" s="13">
        <f t="shared" si="4"/>
        <v>2716.35</v>
      </c>
      <c r="F357" s="7"/>
    </row>
    <row r="358" spans="1:6" x14ac:dyDescent="0.2">
      <c r="A358" s="12">
        <v>1100552566</v>
      </c>
      <c r="B358" s="12" t="s">
        <v>78</v>
      </c>
      <c r="C358" s="12" t="s">
        <v>2</v>
      </c>
      <c r="D358" s="13">
        <v>7244</v>
      </c>
      <c r="E358" s="13">
        <f t="shared" si="4"/>
        <v>941.72</v>
      </c>
      <c r="F358" s="7"/>
    </row>
    <row r="359" spans="1:6" x14ac:dyDescent="0.2">
      <c r="A359" s="12">
        <v>1100552567</v>
      </c>
      <c r="B359" s="12" t="s">
        <v>79</v>
      </c>
      <c r="C359" s="12" t="s">
        <v>2</v>
      </c>
      <c r="D359" s="13">
        <v>6390</v>
      </c>
      <c r="E359" s="13">
        <f t="shared" si="4"/>
        <v>830.7</v>
      </c>
      <c r="F359" s="7"/>
    </row>
    <row r="360" spans="1:6" x14ac:dyDescent="0.2">
      <c r="A360" s="12">
        <v>1100552568</v>
      </c>
      <c r="B360" s="12" t="s">
        <v>80</v>
      </c>
      <c r="C360" s="12" t="s">
        <v>4</v>
      </c>
      <c r="D360" s="13">
        <v>3189</v>
      </c>
      <c r="E360" s="13" t="str">
        <f t="shared" si="4"/>
        <v>No Discount</v>
      </c>
      <c r="F360" s="7"/>
    </row>
    <row r="361" spans="1:6" x14ac:dyDescent="0.2">
      <c r="A361" s="12">
        <v>1100552569</v>
      </c>
      <c r="B361" s="12" t="s">
        <v>202</v>
      </c>
      <c r="C361" s="12" t="s">
        <v>4</v>
      </c>
      <c r="D361" s="13">
        <v>9046</v>
      </c>
      <c r="E361" s="13">
        <f t="shared" si="4"/>
        <v>1175.98</v>
      </c>
      <c r="F361" s="7"/>
    </row>
    <row r="362" spans="1:6" x14ac:dyDescent="0.2">
      <c r="A362" s="12">
        <v>1100552570</v>
      </c>
      <c r="B362" s="12" t="s">
        <v>203</v>
      </c>
      <c r="C362" s="12" t="s">
        <v>4</v>
      </c>
      <c r="D362" s="13">
        <v>22584</v>
      </c>
      <c r="E362" s="13">
        <f t="shared" si="4"/>
        <v>2935.92</v>
      </c>
      <c r="F362" s="7"/>
    </row>
    <row r="363" spans="1:6" x14ac:dyDescent="0.2">
      <c r="A363" s="12">
        <v>1100552571</v>
      </c>
      <c r="B363" s="12" t="s">
        <v>204</v>
      </c>
      <c r="C363" s="12" t="s">
        <v>4</v>
      </c>
      <c r="D363" s="13">
        <v>24616</v>
      </c>
      <c r="E363" s="13">
        <f t="shared" si="4"/>
        <v>3200.08</v>
      </c>
      <c r="F363" s="7"/>
    </row>
    <row r="364" spans="1:6" x14ac:dyDescent="0.2">
      <c r="A364" s="12">
        <v>1100552572</v>
      </c>
      <c r="B364" s="12" t="s">
        <v>205</v>
      </c>
      <c r="C364" s="12" t="s">
        <v>4</v>
      </c>
      <c r="D364" s="13">
        <v>14806</v>
      </c>
      <c r="E364" s="13">
        <f t="shared" si="4"/>
        <v>1924.78</v>
      </c>
      <c r="F364" s="7"/>
    </row>
    <row r="365" spans="1:6" x14ac:dyDescent="0.2">
      <c r="A365" s="12">
        <v>1100552573</v>
      </c>
      <c r="B365" s="12" t="s">
        <v>206</v>
      </c>
      <c r="C365" s="12" t="s">
        <v>2</v>
      </c>
      <c r="D365" s="13">
        <v>14659</v>
      </c>
      <c r="E365" s="13">
        <f t="shared" si="4"/>
        <v>1905.67</v>
      </c>
      <c r="F365" s="7"/>
    </row>
    <row r="366" spans="1:6" x14ac:dyDescent="0.2">
      <c r="A366" s="12">
        <v>1100552574</v>
      </c>
      <c r="B366" s="12" t="s">
        <v>207</v>
      </c>
      <c r="C366" s="12" t="s">
        <v>4</v>
      </c>
      <c r="D366" s="13">
        <v>22757</v>
      </c>
      <c r="E366" s="13">
        <f t="shared" si="4"/>
        <v>2958.4100000000003</v>
      </c>
      <c r="F366" s="7"/>
    </row>
    <row r="367" spans="1:6" x14ac:dyDescent="0.2">
      <c r="A367" s="12">
        <v>1100552575</v>
      </c>
      <c r="B367" s="12" t="s">
        <v>208</v>
      </c>
      <c r="C367" s="12" t="s">
        <v>2</v>
      </c>
      <c r="D367" s="13">
        <v>6413</v>
      </c>
      <c r="E367" s="13">
        <f t="shared" si="4"/>
        <v>833.69</v>
      </c>
      <c r="F367" s="7"/>
    </row>
    <row r="368" spans="1:6" x14ac:dyDescent="0.2">
      <c r="A368" s="12">
        <v>1100552576</v>
      </c>
      <c r="B368" s="12" t="s">
        <v>209</v>
      </c>
      <c r="C368" s="12" t="s">
        <v>2</v>
      </c>
      <c r="D368" s="13">
        <v>20955</v>
      </c>
      <c r="E368" s="13">
        <f t="shared" si="4"/>
        <v>2724.15</v>
      </c>
      <c r="F368" s="7"/>
    </row>
    <row r="369" spans="1:6" x14ac:dyDescent="0.2">
      <c r="A369" s="12">
        <v>1100552577</v>
      </c>
      <c r="B369" s="12" t="s">
        <v>210</v>
      </c>
      <c r="C369" s="12" t="s">
        <v>2</v>
      </c>
      <c r="D369" s="13">
        <v>19761</v>
      </c>
      <c r="E369" s="13">
        <f t="shared" si="4"/>
        <v>2568.9300000000003</v>
      </c>
      <c r="F369" s="7"/>
    </row>
    <row r="370" spans="1:6" x14ac:dyDescent="0.2">
      <c r="A370" s="12">
        <v>1100552578</v>
      </c>
      <c r="B370" s="12" t="s">
        <v>211</v>
      </c>
      <c r="C370" s="12" t="s">
        <v>4</v>
      </c>
      <c r="D370" s="13">
        <v>17355</v>
      </c>
      <c r="E370" s="13">
        <f t="shared" si="4"/>
        <v>2256.15</v>
      </c>
      <c r="F370" s="7"/>
    </row>
    <row r="371" spans="1:6" x14ac:dyDescent="0.2">
      <c r="A371" s="12">
        <v>1100552579</v>
      </c>
      <c r="B371" s="12" t="s">
        <v>212</v>
      </c>
      <c r="C371" s="12" t="s">
        <v>4</v>
      </c>
      <c r="D371" s="13">
        <v>6888</v>
      </c>
      <c r="E371" s="13">
        <f t="shared" si="4"/>
        <v>895.44</v>
      </c>
      <c r="F371" s="7"/>
    </row>
    <row r="372" spans="1:6" x14ac:dyDescent="0.2">
      <c r="A372" s="12">
        <v>1100552580</v>
      </c>
      <c r="B372" s="12" t="s">
        <v>213</v>
      </c>
      <c r="C372" s="12" t="s">
        <v>4</v>
      </c>
      <c r="D372" s="13">
        <v>2225</v>
      </c>
      <c r="E372" s="13" t="str">
        <f t="shared" si="4"/>
        <v>No Discount</v>
      </c>
      <c r="F372" s="7"/>
    </row>
    <row r="373" spans="1:6" x14ac:dyDescent="0.2">
      <c r="A373" s="12">
        <v>1100552581</v>
      </c>
      <c r="B373" s="12" t="s">
        <v>214</v>
      </c>
      <c r="C373" s="12" t="s">
        <v>4</v>
      </c>
      <c r="D373" s="13">
        <v>7427</v>
      </c>
      <c r="E373" s="13">
        <f t="shared" si="4"/>
        <v>965.51</v>
      </c>
      <c r="F373" s="7"/>
    </row>
    <row r="374" spans="1:6" x14ac:dyDescent="0.2">
      <c r="A374" s="12">
        <v>1100552582</v>
      </c>
      <c r="B374" s="12" t="s">
        <v>215</v>
      </c>
      <c r="C374" s="12" t="s">
        <v>4</v>
      </c>
      <c r="D374" s="13">
        <v>24889</v>
      </c>
      <c r="E374" s="13">
        <f t="shared" si="4"/>
        <v>3235.57</v>
      </c>
      <c r="F374" s="7"/>
    </row>
    <row r="375" spans="1:6" x14ac:dyDescent="0.2">
      <c r="A375" s="12">
        <v>1100552583</v>
      </c>
      <c r="B375" s="12" t="s">
        <v>216</v>
      </c>
      <c r="C375" s="12" t="s">
        <v>2</v>
      </c>
      <c r="D375" s="13">
        <v>19198</v>
      </c>
      <c r="E375" s="13">
        <f t="shared" si="4"/>
        <v>2495.7400000000002</v>
      </c>
      <c r="F375" s="7"/>
    </row>
    <row r="376" spans="1:6" x14ac:dyDescent="0.2">
      <c r="A376" s="12">
        <v>1100552584</v>
      </c>
      <c r="B376" s="12" t="s">
        <v>217</v>
      </c>
      <c r="C376" s="12" t="s">
        <v>4</v>
      </c>
      <c r="D376" s="13">
        <v>10578</v>
      </c>
      <c r="E376" s="13">
        <f t="shared" si="4"/>
        <v>1375.14</v>
      </c>
      <c r="F376" s="7"/>
    </row>
    <row r="377" spans="1:6" x14ac:dyDescent="0.2">
      <c r="A377" s="12">
        <v>1100552585</v>
      </c>
      <c r="B377" s="12" t="s">
        <v>218</v>
      </c>
      <c r="C377" s="12" t="s">
        <v>2</v>
      </c>
      <c r="D377" s="13">
        <v>8006</v>
      </c>
      <c r="E377" s="13">
        <f t="shared" si="4"/>
        <v>1040.78</v>
      </c>
      <c r="F377" s="7"/>
    </row>
    <row r="378" spans="1:6" x14ac:dyDescent="0.2">
      <c r="A378" s="12">
        <v>1100552586</v>
      </c>
      <c r="B378" s="12" t="s">
        <v>219</v>
      </c>
      <c r="C378" s="12" t="s">
        <v>2</v>
      </c>
      <c r="D378" s="13">
        <v>8702</v>
      </c>
      <c r="E378" s="13">
        <f t="shared" si="4"/>
        <v>1131.26</v>
      </c>
      <c r="F378" s="7"/>
    </row>
    <row r="379" spans="1:6" x14ac:dyDescent="0.2">
      <c r="A379" s="12">
        <v>1100552587</v>
      </c>
      <c r="B379" s="12" t="s">
        <v>84</v>
      </c>
      <c r="C379" s="12" t="s">
        <v>2</v>
      </c>
      <c r="D379" s="13">
        <v>21919</v>
      </c>
      <c r="E379" s="13">
        <f t="shared" si="4"/>
        <v>2849.4700000000003</v>
      </c>
      <c r="F379" s="7"/>
    </row>
    <row r="380" spans="1:6" x14ac:dyDescent="0.2">
      <c r="A380" s="12">
        <v>1100552588</v>
      </c>
      <c r="B380" s="12" t="s">
        <v>220</v>
      </c>
      <c r="C380" s="12" t="s">
        <v>4</v>
      </c>
      <c r="D380" s="13">
        <v>8009</v>
      </c>
      <c r="E380" s="13">
        <f t="shared" si="4"/>
        <v>1041.17</v>
      </c>
      <c r="F380" s="7"/>
    </row>
    <row r="381" spans="1:6" x14ac:dyDescent="0.2">
      <c r="A381" s="12">
        <v>1100552589</v>
      </c>
      <c r="B381" s="12" t="s">
        <v>221</v>
      </c>
      <c r="C381" s="12" t="s">
        <v>4</v>
      </c>
      <c r="D381" s="13">
        <v>19152</v>
      </c>
      <c r="E381" s="13">
        <f t="shared" si="4"/>
        <v>2489.7600000000002</v>
      </c>
      <c r="F381" s="7"/>
    </row>
    <row r="382" spans="1:6" x14ac:dyDescent="0.2">
      <c r="A382" s="12">
        <v>1100552590</v>
      </c>
      <c r="B382" s="12" t="s">
        <v>222</v>
      </c>
      <c r="C382" s="12" t="s">
        <v>4</v>
      </c>
      <c r="D382" s="13">
        <v>11441</v>
      </c>
      <c r="E382" s="13">
        <f t="shared" si="4"/>
        <v>1487.3300000000002</v>
      </c>
      <c r="F382" s="7"/>
    </row>
    <row r="383" spans="1:6" x14ac:dyDescent="0.2">
      <c r="A383" s="12">
        <v>1100552591</v>
      </c>
      <c r="B383" s="12" t="s">
        <v>223</v>
      </c>
      <c r="C383" s="12" t="s">
        <v>4</v>
      </c>
      <c r="D383" s="13">
        <v>6545</v>
      </c>
      <c r="E383" s="13">
        <f t="shared" si="4"/>
        <v>850.85</v>
      </c>
      <c r="F383" s="7"/>
    </row>
    <row r="384" spans="1:6" x14ac:dyDescent="0.2">
      <c r="A384" s="12">
        <v>1100552592</v>
      </c>
      <c r="B384" s="12" t="s">
        <v>224</v>
      </c>
      <c r="C384" s="12" t="s">
        <v>4</v>
      </c>
      <c r="D384" s="13">
        <v>13407</v>
      </c>
      <c r="E384" s="13">
        <f t="shared" si="4"/>
        <v>1742.91</v>
      </c>
      <c r="F384" s="7"/>
    </row>
    <row r="385" spans="1:6" x14ac:dyDescent="0.2">
      <c r="A385" s="12">
        <v>1100552593</v>
      </c>
      <c r="B385" s="12" t="s">
        <v>225</v>
      </c>
      <c r="C385" s="12" t="s">
        <v>2</v>
      </c>
      <c r="D385" s="13">
        <v>7673</v>
      </c>
      <c r="E385" s="13">
        <f t="shared" si="4"/>
        <v>997.49</v>
      </c>
      <c r="F385" s="7"/>
    </row>
    <row r="386" spans="1:6" x14ac:dyDescent="0.2">
      <c r="A386" s="12">
        <v>1100552594</v>
      </c>
      <c r="B386" s="12" t="s">
        <v>226</v>
      </c>
      <c r="C386" s="12" t="s">
        <v>4</v>
      </c>
      <c r="D386" s="13">
        <v>3286</v>
      </c>
      <c r="E386" s="13" t="str">
        <f t="shared" si="4"/>
        <v>No Discount</v>
      </c>
      <c r="F386" s="7"/>
    </row>
    <row r="387" spans="1:6" x14ac:dyDescent="0.2">
      <c r="A387" s="12">
        <v>1100552595</v>
      </c>
      <c r="B387" s="12" t="s">
        <v>227</v>
      </c>
      <c r="C387" s="12" t="s">
        <v>2</v>
      </c>
      <c r="D387" s="13">
        <v>15714</v>
      </c>
      <c r="E387" s="13">
        <f t="shared" ref="E387:E389" si="5">IF(D387&gt;5000,D387*13%,"No Discount")</f>
        <v>2042.8200000000002</v>
      </c>
      <c r="F387" s="7"/>
    </row>
    <row r="388" spans="1:6" x14ac:dyDescent="0.2">
      <c r="A388" s="12">
        <v>1100552596</v>
      </c>
      <c r="B388" s="12" t="s">
        <v>228</v>
      </c>
      <c r="C388" s="12" t="s">
        <v>2</v>
      </c>
      <c r="D388" s="13">
        <v>16363</v>
      </c>
      <c r="E388" s="13">
        <f t="shared" si="5"/>
        <v>2127.19</v>
      </c>
      <c r="F388" s="7"/>
    </row>
    <row r="389" spans="1:6" x14ac:dyDescent="0.2">
      <c r="A389" s="12">
        <v>1100552597</v>
      </c>
      <c r="B389" s="12" t="s">
        <v>229</v>
      </c>
      <c r="C389" s="12" t="s">
        <v>2</v>
      </c>
      <c r="D389" s="13">
        <v>16010</v>
      </c>
      <c r="E389" s="13">
        <f t="shared" si="5"/>
        <v>2081.3000000000002</v>
      </c>
      <c r="F38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Discount_Data</vt:lpstr>
      <vt:lpstr>Shipping_Cost_Data</vt:lpstr>
      <vt:lpstr>Order_Status_Data</vt:lpstr>
      <vt:lpstr>Discount_Allow_Products</vt:lpstr>
      <vt:lpstr>Order_Data</vt:lpstr>
      <vt:lpstr>Discount_Allow_Products!Extract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2025-10-23T23:07:10Z</dcterms:created>
  <dcterms:modified xsi:type="dcterms:W3CDTF">2025-11-08T07:31:45Z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3032756570bc4b72964b56921ed4997a</vt:lpwstr>
  </property>
</Properties>
</file>