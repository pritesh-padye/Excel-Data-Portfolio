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13_ncr:41000001_{44B5B7F6-A13A-9B41-AA1F-EBE09490EAA5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Tally_Data" sheetId="1" r:id="rId1"/>
    <sheet name="GST_Portal_Data" sheetId="2" r:id="rId2"/>
    <sheet name="Reconciliation_Data" sheetId="3" r:id="rId3"/>
    <sheet name="Summary " sheetId="5" r:id="rId4"/>
  </sheets>
  <definedNames>
    <definedName name="_xlnm._FilterDatabase" localSheetId="1" hidden="1">GST_Portal_Data!$A$1:$I$501</definedName>
    <definedName name="_xlnm._FilterDatabase" localSheetId="2" hidden="1">Reconciliation_Data!$A$1:$M$1001</definedName>
  </definedNames>
  <calcPr calcId="191028"/>
  <pivotCaches>
    <pivotCache cacheId="3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A2" i="3" a="1"/>
  <c r="A2" i="3"/>
  <c r="L2" i="3"/>
  <c r="L4" i="3"/>
  <c r="L5" i="3"/>
  <c r="L6" i="3"/>
  <c r="L7" i="3"/>
  <c r="L8" i="3"/>
  <c r="K9" i="3"/>
  <c r="L9" i="3"/>
  <c r="L10" i="3"/>
  <c r="L11" i="3"/>
  <c r="L12" i="3"/>
  <c r="L13" i="3"/>
  <c r="L14" i="3"/>
  <c r="L15" i="3"/>
  <c r="L16" i="3"/>
  <c r="L17" i="3"/>
  <c r="L18" i="3"/>
  <c r="L19" i="3"/>
  <c r="L20" i="3"/>
  <c r="K21" i="3"/>
  <c r="L21" i="3"/>
  <c r="L22" i="3"/>
  <c r="L23" i="3"/>
  <c r="L24" i="3"/>
  <c r="L25" i="3"/>
  <c r="L26" i="3"/>
  <c r="L27" i="3"/>
  <c r="L28" i="3"/>
  <c r="L29" i="3"/>
  <c r="L30" i="3"/>
  <c r="K31" i="3"/>
  <c r="L31" i="3"/>
  <c r="L32" i="3"/>
  <c r="L33" i="3"/>
  <c r="L34" i="3"/>
  <c r="L35" i="3"/>
  <c r="L36" i="3"/>
  <c r="L37" i="3"/>
  <c r="L38" i="3"/>
  <c r="L39" i="3"/>
  <c r="K40" i="3"/>
  <c r="L40" i="3"/>
  <c r="L41" i="3"/>
  <c r="L42" i="3"/>
  <c r="L43" i="3"/>
  <c r="L44" i="3"/>
  <c r="L45" i="3"/>
  <c r="L46" i="3"/>
  <c r="L47" i="3"/>
  <c r="L48" i="3"/>
  <c r="L49" i="3"/>
  <c r="L50" i="3"/>
  <c r="K51" i="3"/>
  <c r="L51" i="3"/>
  <c r="L52" i="3"/>
  <c r="L53" i="3"/>
  <c r="L54" i="3"/>
  <c r="L55" i="3"/>
  <c r="L56" i="3"/>
  <c r="K57" i="3"/>
  <c r="L57" i="3"/>
  <c r="K58" i="3"/>
  <c r="L58" i="3"/>
  <c r="L59" i="3"/>
  <c r="L60" i="3"/>
  <c r="L61" i="3"/>
  <c r="K62" i="3"/>
  <c r="L62" i="3"/>
  <c r="L63" i="3"/>
  <c r="L64" i="3"/>
  <c r="L65" i="3"/>
  <c r="L66" i="3"/>
  <c r="K67" i="3"/>
  <c r="L67" i="3"/>
  <c r="L68" i="3"/>
  <c r="K69" i="3"/>
  <c r="L69" i="3"/>
  <c r="L70" i="3"/>
  <c r="L71" i="3"/>
  <c r="K72" i="3"/>
  <c r="L72" i="3"/>
  <c r="L73" i="3"/>
  <c r="K74" i="3"/>
  <c r="L74" i="3"/>
  <c r="L75" i="3"/>
  <c r="K76" i="3"/>
  <c r="L76" i="3"/>
  <c r="L77" i="3"/>
  <c r="K78" i="3"/>
  <c r="L78" i="3"/>
  <c r="L79" i="3"/>
  <c r="L80" i="3"/>
  <c r="L81" i="3"/>
  <c r="L82" i="3"/>
  <c r="K83" i="3"/>
  <c r="L83" i="3"/>
  <c r="L84" i="3"/>
  <c r="L85" i="3"/>
  <c r="L86" i="3"/>
  <c r="L87" i="3"/>
  <c r="L88" i="3"/>
  <c r="L89" i="3"/>
  <c r="L90" i="3"/>
  <c r="L91" i="3"/>
  <c r="L92" i="3"/>
  <c r="K93" i="3"/>
  <c r="L93" i="3"/>
  <c r="L94" i="3"/>
  <c r="L95" i="3"/>
  <c r="L96" i="3"/>
  <c r="K97" i="3"/>
  <c r="L97" i="3"/>
  <c r="L98" i="3"/>
  <c r="K99" i="3"/>
  <c r="L99" i="3"/>
  <c r="L100" i="3"/>
  <c r="L101" i="3"/>
  <c r="L102" i="3"/>
  <c r="L103" i="3"/>
  <c r="L104" i="3"/>
  <c r="L105" i="3"/>
  <c r="L106" i="3"/>
  <c r="L107" i="3"/>
  <c r="K108" i="3"/>
  <c r="L108" i="3"/>
  <c r="K109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K125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K148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K170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K219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K245" i="3"/>
  <c r="L245" i="3"/>
  <c r="L246" i="3"/>
  <c r="K247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K260" i="3"/>
  <c r="L260" i="3"/>
  <c r="L261" i="3"/>
  <c r="L262" i="3"/>
  <c r="L263" i="3"/>
  <c r="L264" i="3"/>
  <c r="L265" i="3"/>
  <c r="L266" i="3"/>
  <c r="L267" i="3"/>
  <c r="L268" i="3"/>
  <c r="L269" i="3"/>
  <c r="L270" i="3"/>
  <c r="K271" i="3"/>
  <c r="L271" i="3"/>
  <c r="L272" i="3"/>
  <c r="L273" i="3"/>
  <c r="L274" i="3"/>
  <c r="L275" i="3"/>
  <c r="L276" i="3"/>
  <c r="L277" i="3"/>
  <c r="K278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K290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K306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K319" i="3"/>
  <c r="L319" i="3"/>
  <c r="L320" i="3"/>
  <c r="L321" i="3"/>
  <c r="L322" i="3"/>
  <c r="L323" i="3"/>
  <c r="L324" i="3"/>
  <c r="L325" i="3"/>
  <c r="L326" i="3"/>
  <c r="L327" i="3"/>
  <c r="L328" i="3"/>
  <c r="L329" i="3"/>
  <c r="K330" i="3"/>
  <c r="L330" i="3"/>
  <c r="L331" i="3"/>
  <c r="L332" i="3"/>
  <c r="L333" i="3"/>
  <c r="L334" i="3"/>
  <c r="L335" i="3"/>
  <c r="L336" i="3"/>
  <c r="K337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K353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K366" i="3"/>
  <c r="L366" i="3"/>
  <c r="L367" i="3"/>
  <c r="K368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K410" i="3"/>
  <c r="L410" i="3"/>
  <c r="K411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K425" i="3"/>
  <c r="L425" i="3"/>
  <c r="L426" i="3"/>
  <c r="L427" i="3"/>
  <c r="K428" i="3"/>
  <c r="L428" i="3"/>
  <c r="L429" i="3"/>
  <c r="L430" i="3"/>
  <c r="L431" i="3"/>
  <c r="L432" i="3"/>
  <c r="L433" i="3"/>
  <c r="L434" i="3"/>
  <c r="L435" i="3"/>
  <c r="L436" i="3"/>
  <c r="L437" i="3"/>
  <c r="L438" i="3"/>
  <c r="K439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K463" i="3"/>
  <c r="L463" i="3"/>
  <c r="L464" i="3"/>
  <c r="L465" i="3"/>
  <c r="L466" i="3"/>
  <c r="L467" i="3"/>
  <c r="K468" i="3"/>
  <c r="L468" i="3"/>
  <c r="K469" i="3"/>
  <c r="L469" i="3"/>
  <c r="L470" i="3"/>
  <c r="L471" i="3"/>
  <c r="L472" i="3"/>
  <c r="L473" i="3"/>
  <c r="K474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K493" i="3"/>
  <c r="L493" i="3"/>
  <c r="L494" i="3"/>
  <c r="L495" i="3"/>
  <c r="K496" i="3"/>
  <c r="L496" i="3"/>
  <c r="L497" i="3"/>
  <c r="L498" i="3"/>
  <c r="L499" i="3"/>
  <c r="L500" i="3"/>
  <c r="L501" i="3"/>
  <c r="K502" i="3"/>
  <c r="L502" i="3"/>
  <c r="K503" i="3"/>
  <c r="L503" i="3"/>
  <c r="L504" i="3"/>
  <c r="K505" i="3"/>
  <c r="L505" i="3"/>
  <c r="K506" i="3"/>
  <c r="L506" i="3"/>
  <c r="K507" i="3"/>
  <c r="L507" i="3"/>
  <c r="L508" i="3"/>
  <c r="K509" i="3"/>
  <c r="L509" i="3"/>
  <c r="K510" i="3"/>
  <c r="L510" i="3"/>
  <c r="K511" i="3"/>
  <c r="L511" i="3"/>
  <c r="K512" i="3"/>
  <c r="L512" i="3"/>
  <c r="K513" i="3"/>
  <c r="L513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L530" i="3"/>
  <c r="L531" i="3"/>
  <c r="K532" i="3"/>
  <c r="L532" i="3"/>
  <c r="L533" i="3"/>
  <c r="K534" i="3"/>
  <c r="L534" i="3"/>
  <c r="K535" i="3"/>
  <c r="L535" i="3"/>
  <c r="L536" i="3"/>
  <c r="K537" i="3"/>
  <c r="L537" i="3"/>
  <c r="K538" i="3"/>
  <c r="L538" i="3"/>
  <c r="K539" i="3"/>
  <c r="L539" i="3"/>
  <c r="K540" i="3"/>
  <c r="L540" i="3"/>
  <c r="L541" i="3"/>
  <c r="K542" i="3"/>
  <c r="L542" i="3"/>
  <c r="L543" i="3"/>
  <c r="K544" i="3"/>
  <c r="L544" i="3"/>
  <c r="K545" i="3"/>
  <c r="L545" i="3"/>
  <c r="K546" i="3"/>
  <c r="L546" i="3"/>
  <c r="K547" i="3"/>
  <c r="L547" i="3"/>
  <c r="L548" i="3"/>
  <c r="K549" i="3"/>
  <c r="L549" i="3"/>
  <c r="L550" i="3"/>
  <c r="K551" i="3"/>
  <c r="L551" i="3"/>
  <c r="L552" i="3"/>
  <c r="L553" i="3"/>
  <c r="L554" i="3"/>
  <c r="L555" i="3"/>
  <c r="L556" i="3"/>
  <c r="L557" i="3"/>
  <c r="K558" i="3"/>
  <c r="L558" i="3"/>
  <c r="L559" i="3"/>
  <c r="L560" i="3"/>
  <c r="L561" i="3"/>
  <c r="K562" i="3"/>
  <c r="L562" i="3"/>
  <c r="L563" i="3"/>
  <c r="L564" i="3"/>
  <c r="L565" i="3"/>
  <c r="L566" i="3"/>
  <c r="K567" i="3"/>
  <c r="L567" i="3"/>
  <c r="L568" i="3"/>
  <c r="L569" i="3"/>
  <c r="L570" i="3"/>
  <c r="L571" i="3"/>
  <c r="K572" i="3"/>
  <c r="L572" i="3"/>
  <c r="L573" i="3"/>
  <c r="K574" i="3"/>
  <c r="L574" i="3"/>
  <c r="L575" i="3"/>
  <c r="K576" i="3"/>
  <c r="L576" i="3"/>
  <c r="L577" i="3"/>
  <c r="K578" i="3"/>
  <c r="L578" i="3"/>
  <c r="L579" i="3"/>
  <c r="L580" i="3"/>
  <c r="L581" i="3"/>
  <c r="L582" i="3"/>
  <c r="K583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K599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K3" i="3"/>
  <c r="K4" i="3"/>
  <c r="K5" i="3"/>
  <c r="K6" i="3"/>
  <c r="K7" i="3"/>
  <c r="K8" i="3"/>
  <c r="K10" i="3"/>
  <c r="K11" i="3"/>
  <c r="K12" i="3"/>
  <c r="K13" i="3"/>
  <c r="K14" i="3"/>
  <c r="K15" i="3"/>
  <c r="K16" i="3"/>
  <c r="K17" i="3"/>
  <c r="K18" i="3"/>
  <c r="K19" i="3"/>
  <c r="K20" i="3"/>
  <c r="K22" i="3"/>
  <c r="K23" i="3"/>
  <c r="K24" i="3"/>
  <c r="K25" i="3"/>
  <c r="K26" i="3"/>
  <c r="K27" i="3"/>
  <c r="K28" i="3"/>
  <c r="K29" i="3"/>
  <c r="K30" i="3"/>
  <c r="K32" i="3"/>
  <c r="K33" i="3"/>
  <c r="K34" i="3"/>
  <c r="K35" i="3"/>
  <c r="K36" i="3"/>
  <c r="K37" i="3"/>
  <c r="K38" i="3"/>
  <c r="K39" i="3"/>
  <c r="K41" i="3"/>
  <c r="K42" i="3"/>
  <c r="K43" i="3"/>
  <c r="K44" i="3"/>
  <c r="K45" i="3"/>
  <c r="K46" i="3"/>
  <c r="K47" i="3"/>
  <c r="K48" i="3"/>
  <c r="K49" i="3"/>
  <c r="K50" i="3"/>
  <c r="K52" i="3"/>
  <c r="K53" i="3"/>
  <c r="K54" i="3"/>
  <c r="K55" i="3"/>
  <c r="K56" i="3"/>
  <c r="K59" i="3"/>
  <c r="K60" i="3"/>
  <c r="K61" i="3"/>
  <c r="K63" i="3"/>
  <c r="K64" i="3"/>
  <c r="K65" i="3"/>
  <c r="K66" i="3"/>
  <c r="K68" i="3"/>
  <c r="K70" i="3"/>
  <c r="K71" i="3"/>
  <c r="K73" i="3"/>
  <c r="K75" i="3"/>
  <c r="K77" i="3"/>
  <c r="K79" i="3"/>
  <c r="K80" i="3"/>
  <c r="K81" i="3"/>
  <c r="K82" i="3"/>
  <c r="K84" i="3"/>
  <c r="K85" i="3"/>
  <c r="K86" i="3"/>
  <c r="K87" i="3"/>
  <c r="K88" i="3"/>
  <c r="K89" i="3"/>
  <c r="K90" i="3"/>
  <c r="K91" i="3"/>
  <c r="K92" i="3"/>
  <c r="K94" i="3"/>
  <c r="K95" i="3"/>
  <c r="K96" i="3"/>
  <c r="K98" i="3"/>
  <c r="K100" i="3"/>
  <c r="K101" i="3"/>
  <c r="K102" i="3"/>
  <c r="K103" i="3"/>
  <c r="K104" i="3"/>
  <c r="K105" i="3"/>
  <c r="K106" i="3"/>
  <c r="K107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6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1" i="3"/>
  <c r="K262" i="3"/>
  <c r="K263" i="3"/>
  <c r="K264" i="3"/>
  <c r="K265" i="3"/>
  <c r="K266" i="3"/>
  <c r="K267" i="3"/>
  <c r="K268" i="3"/>
  <c r="K269" i="3"/>
  <c r="K270" i="3"/>
  <c r="K272" i="3"/>
  <c r="K273" i="3"/>
  <c r="K274" i="3"/>
  <c r="K275" i="3"/>
  <c r="K276" i="3"/>
  <c r="K277" i="3"/>
  <c r="K279" i="3"/>
  <c r="K280" i="3"/>
  <c r="K281" i="3"/>
  <c r="K282" i="3"/>
  <c r="K283" i="3"/>
  <c r="K284" i="3"/>
  <c r="K285" i="3"/>
  <c r="K286" i="3"/>
  <c r="K287" i="3"/>
  <c r="K288" i="3"/>
  <c r="K289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20" i="3"/>
  <c r="K321" i="3"/>
  <c r="K322" i="3"/>
  <c r="K323" i="3"/>
  <c r="K324" i="3"/>
  <c r="K325" i="3"/>
  <c r="K326" i="3"/>
  <c r="K327" i="3"/>
  <c r="K328" i="3"/>
  <c r="K329" i="3"/>
  <c r="K331" i="3"/>
  <c r="K332" i="3"/>
  <c r="K333" i="3"/>
  <c r="K334" i="3"/>
  <c r="K335" i="3"/>
  <c r="K336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7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6" i="3"/>
  <c r="K427" i="3"/>
  <c r="K429" i="3"/>
  <c r="K430" i="3"/>
  <c r="K431" i="3"/>
  <c r="K432" i="3"/>
  <c r="K433" i="3"/>
  <c r="K434" i="3"/>
  <c r="K435" i="3"/>
  <c r="K436" i="3"/>
  <c r="K437" i="3"/>
  <c r="K438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4" i="3"/>
  <c r="K465" i="3"/>
  <c r="K466" i="3"/>
  <c r="K467" i="3"/>
  <c r="K470" i="3"/>
  <c r="K471" i="3"/>
  <c r="K472" i="3"/>
  <c r="K473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4" i="3"/>
  <c r="K495" i="3"/>
  <c r="K497" i="3"/>
  <c r="K498" i="3"/>
  <c r="K499" i="3"/>
  <c r="K500" i="3"/>
  <c r="K501" i="3"/>
  <c r="K504" i="3"/>
  <c r="K508" i="3"/>
  <c r="K514" i="3"/>
  <c r="K530" i="3"/>
  <c r="K531" i="3"/>
  <c r="K533" i="3"/>
  <c r="K536" i="3"/>
  <c r="K541" i="3"/>
  <c r="K543" i="3"/>
  <c r="K548" i="3"/>
  <c r="K550" i="3"/>
  <c r="K552" i="3"/>
  <c r="K553" i="3"/>
  <c r="K554" i="3"/>
  <c r="K555" i="3"/>
  <c r="K556" i="3"/>
  <c r="K557" i="3"/>
  <c r="K559" i="3"/>
  <c r="K560" i="3"/>
  <c r="K561" i="3"/>
  <c r="K563" i="3"/>
  <c r="K564" i="3"/>
  <c r="K565" i="3"/>
  <c r="K566" i="3"/>
  <c r="K568" i="3"/>
  <c r="K569" i="3"/>
  <c r="K570" i="3"/>
  <c r="K571" i="3"/>
  <c r="K573" i="3"/>
  <c r="K575" i="3"/>
  <c r="K577" i="3"/>
  <c r="K579" i="3"/>
  <c r="K580" i="3"/>
  <c r="K581" i="3"/>
  <c r="K582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<sst xmlns="http://schemas.openxmlformats.org/spreadsheetml/2006/main" count="5043" uniqueCount="1025">
  <si>
    <t>Invoice_No</t>
  </si>
  <si>
    <t>Invoice_Date</t>
  </si>
  <si>
    <t>Supplier_GSTIN</t>
  </si>
  <si>
    <t>Supplier_Name</t>
  </si>
  <si>
    <t>Taxable_Value</t>
  </si>
  <si>
    <t>CGST</t>
  </si>
  <si>
    <t>SGST</t>
  </si>
  <si>
    <t>Total_Invoice_Value</t>
  </si>
  <si>
    <t xml:space="preserve">Source </t>
  </si>
  <si>
    <t>INV1000</t>
  </si>
  <si>
    <t>24-05-2024</t>
  </si>
  <si>
    <t>24LMNOP4321K1Z7</t>
  </si>
  <si>
    <t>Patel Industries</t>
  </si>
  <si>
    <t>Tally</t>
  </si>
  <si>
    <t>INV1001</t>
  </si>
  <si>
    <t>04-06-2024</t>
  </si>
  <si>
    <t>19ASDFG2468H1Z9</t>
  </si>
  <si>
    <t>Eastern Distributors</t>
  </si>
  <si>
    <t>INV1002</t>
  </si>
  <si>
    <t>02-06-2024</t>
  </si>
  <si>
    <t>07ZXCVB9876M1Z3</t>
  </si>
  <si>
    <t>Gupta Supplies</t>
  </si>
  <si>
    <t>INV1003</t>
  </si>
  <si>
    <t>22-06-2024</t>
  </si>
  <si>
    <t>27ABCDE1234F1Z5</t>
  </si>
  <si>
    <t>Sharma Traders</t>
  </si>
  <si>
    <t>INV1004</t>
  </si>
  <si>
    <t>17-06-2024</t>
  </si>
  <si>
    <t>INV1005</t>
  </si>
  <si>
    <t>18-05-2024</t>
  </si>
  <si>
    <t>INV1006</t>
  </si>
  <si>
    <t>09-06-2024</t>
  </si>
  <si>
    <t>29PQRSX5678L1Z2</t>
  </si>
  <si>
    <t>Kiran Enterprises</t>
  </si>
  <si>
    <t>INV1007</t>
  </si>
  <si>
    <t>INV1008</t>
  </si>
  <si>
    <t>11-04-2024</t>
  </si>
  <si>
    <t>INV1009</t>
  </si>
  <si>
    <t>06-04-2024</t>
  </si>
  <si>
    <t>INV1010</t>
  </si>
  <si>
    <t>07-05-2024</t>
  </si>
  <si>
    <t>INV1011</t>
  </si>
  <si>
    <t>06-06-2024</t>
  </si>
  <si>
    <t>INV1012</t>
  </si>
  <si>
    <t>INV1013</t>
  </si>
  <si>
    <t>19-06-2024</t>
  </si>
  <si>
    <t>INV1014</t>
  </si>
  <si>
    <t>09-05-2024</t>
  </si>
  <si>
    <t>INV1015</t>
  </si>
  <si>
    <t>09-04-2024</t>
  </si>
  <si>
    <t>INV1016</t>
  </si>
  <si>
    <t>31-05-2024</t>
  </si>
  <si>
    <t>INV1017</t>
  </si>
  <si>
    <t>INV1018</t>
  </si>
  <si>
    <t>17-04-2024</t>
  </si>
  <si>
    <t>INV1019</t>
  </si>
  <si>
    <t>11-05-2024</t>
  </si>
  <si>
    <t>INV1020</t>
  </si>
  <si>
    <t>23-05-2024</t>
  </si>
  <si>
    <t>INV1021</t>
  </si>
  <si>
    <t>05-06-2024</t>
  </si>
  <si>
    <t>INV1022</t>
  </si>
  <si>
    <t>INV1023</t>
  </si>
  <si>
    <t>28-04-2024</t>
  </si>
  <si>
    <t>INV1024</t>
  </si>
  <si>
    <t>15-06-2024</t>
  </si>
  <si>
    <t>INV1025</t>
  </si>
  <si>
    <t>INV1026</t>
  </si>
  <si>
    <t>19-04-2024</t>
  </si>
  <si>
    <t>INV1027</t>
  </si>
  <si>
    <t>INV1028</t>
  </si>
  <si>
    <t>02-05-2024</t>
  </si>
  <si>
    <t>INV1029</t>
  </si>
  <si>
    <t>01-05-2024</t>
  </si>
  <si>
    <t>INV1030</t>
  </si>
  <si>
    <t>03-04-2024</t>
  </si>
  <si>
    <t>INV1031</t>
  </si>
  <si>
    <t>07-06-2024</t>
  </si>
  <si>
    <t>INV1032</t>
  </si>
  <si>
    <t>INV1033</t>
  </si>
  <si>
    <t>INV1034</t>
  </si>
  <si>
    <t>05-04-2024</t>
  </si>
  <si>
    <t>INV1035</t>
  </si>
  <si>
    <t>26-06-2024</t>
  </si>
  <si>
    <t>INV1036</t>
  </si>
  <si>
    <t>INV1037</t>
  </si>
  <si>
    <t>INV1038</t>
  </si>
  <si>
    <t>10-04-2024</t>
  </si>
  <si>
    <t>INV1039</t>
  </si>
  <si>
    <t>INV1040</t>
  </si>
  <si>
    <t>INV1041</t>
  </si>
  <si>
    <t>18-04-2024</t>
  </si>
  <si>
    <t>INV1042</t>
  </si>
  <si>
    <t>13-04-2024</t>
  </si>
  <si>
    <t>INV1043</t>
  </si>
  <si>
    <t>10-05-2024</t>
  </si>
  <si>
    <t>INV1044</t>
  </si>
  <si>
    <t>15-05-2024</t>
  </si>
  <si>
    <t>INV1045</t>
  </si>
  <si>
    <t>INV1046</t>
  </si>
  <si>
    <t>29-06-2024</t>
  </si>
  <si>
    <t>INV1047</t>
  </si>
  <si>
    <t>INV1048</t>
  </si>
  <si>
    <t>04-05-2024</t>
  </si>
  <si>
    <t>INV1049</t>
  </si>
  <si>
    <t>12-05-2024</t>
  </si>
  <si>
    <t>INV1050</t>
  </si>
  <si>
    <t>25-06-2024</t>
  </si>
  <si>
    <t>INV1051</t>
  </si>
  <si>
    <t>18-06-2024</t>
  </si>
  <si>
    <t>INV1052</t>
  </si>
  <si>
    <t>INV1053</t>
  </si>
  <si>
    <t>03-05-2024</t>
  </si>
  <si>
    <t>INV1054</t>
  </si>
  <si>
    <t>27-06-2024</t>
  </si>
  <si>
    <t>INV1055</t>
  </si>
  <si>
    <t>27-05-2024</t>
  </si>
  <si>
    <t>INV1056</t>
  </si>
  <si>
    <t>13-06-2024</t>
  </si>
  <si>
    <t>INV1057</t>
  </si>
  <si>
    <t>INV1058</t>
  </si>
  <si>
    <t>24-06-2024</t>
  </si>
  <si>
    <t>INV1059</t>
  </si>
  <si>
    <t>INV1060</t>
  </si>
  <si>
    <t>20-06-2024</t>
  </si>
  <si>
    <t>INV1061</t>
  </si>
  <si>
    <t>INV1062</t>
  </si>
  <si>
    <t>INV1063</t>
  </si>
  <si>
    <t>25-05-2024</t>
  </si>
  <si>
    <t>INV1064</t>
  </si>
  <si>
    <t>16-06-2024</t>
  </si>
  <si>
    <t>INV1065</t>
  </si>
  <si>
    <t>30-04-2024</t>
  </si>
  <si>
    <t>INV1066</t>
  </si>
  <si>
    <t>26-04-2024</t>
  </si>
  <si>
    <t>INV1067</t>
  </si>
  <si>
    <t>INV1068</t>
  </si>
  <si>
    <t>INV1069</t>
  </si>
  <si>
    <t>INV1070</t>
  </si>
  <si>
    <t>INV1071</t>
  </si>
  <si>
    <t>22-04-2024</t>
  </si>
  <si>
    <t>INV1072</t>
  </si>
  <si>
    <t>INV1073</t>
  </si>
  <si>
    <t>INV1074</t>
  </si>
  <si>
    <t>INV1075</t>
  </si>
  <si>
    <t>INV1076</t>
  </si>
  <si>
    <t>15-04-2024</t>
  </si>
  <si>
    <t>INV1077</t>
  </si>
  <si>
    <t>INV1078</t>
  </si>
  <si>
    <t>INV1079</t>
  </si>
  <si>
    <t>26-05-2024</t>
  </si>
  <si>
    <t>INV1080</t>
  </si>
  <si>
    <t>29-04-2024</t>
  </si>
  <si>
    <t>INV1081</t>
  </si>
  <si>
    <t>INV1082</t>
  </si>
  <si>
    <t>06-05-2024</t>
  </si>
  <si>
    <t>INV1083</t>
  </si>
  <si>
    <t>08-06-2024</t>
  </si>
  <si>
    <t>INV1084</t>
  </si>
  <si>
    <t>24-04-2024</t>
  </si>
  <si>
    <t>INV1085</t>
  </si>
  <si>
    <t>21-05-2024</t>
  </si>
  <si>
    <t>INV1086</t>
  </si>
  <si>
    <t>INV1087</t>
  </si>
  <si>
    <t>INV1088</t>
  </si>
  <si>
    <t>16-04-2024</t>
  </si>
  <si>
    <t>INV1089</t>
  </si>
  <si>
    <t>INV1090</t>
  </si>
  <si>
    <t>07-04-2024</t>
  </si>
  <si>
    <t>INV1091</t>
  </si>
  <si>
    <t>14-05-2024</t>
  </si>
  <si>
    <t>INV1092</t>
  </si>
  <si>
    <t>14-06-2024</t>
  </si>
  <si>
    <t>INV1093</t>
  </si>
  <si>
    <t>16-05-2024</t>
  </si>
  <si>
    <t>INV1094</t>
  </si>
  <si>
    <t>01-04-2024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</si>
  <si>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</si>
  <si>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</si>
  <si>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</si>
  <si>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</si>
  <si>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</si>
  <si>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</si>
  <si>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</si>
  <si>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</si>
  <si>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28-05-2024</t>
  </si>
  <si>
    <t>INV1103</t>
  </si>
  <si>
    <t>INV1104</t>
  </si>
  <si>
    <t>11-06-2024</t>
  </si>
  <si>
    <t>INV1105</t>
  </si>
  <si>
    <t>INV1106</t>
  </si>
  <si>
    <t>INV1107</t>
  </si>
  <si>
    <t>12-06-2024</t>
  </si>
  <si>
    <t>INV1108</t>
  </si>
  <si>
    <t>INV1109</t>
  </si>
  <si>
    <t>19-05-2024</t>
  </si>
  <si>
    <t>INV1110</t>
  </si>
  <si>
    <t>INV1111</t>
  </si>
  <si>
    <t>INV1112</t>
  </si>
  <si>
    <t>INV1113</t>
  </si>
  <si>
    <t>INV1114</t>
  </si>
  <si>
    <t>28-06-2024</t>
  </si>
  <si>
    <t>INV1115</t>
  </si>
  <si>
    <t>INV1116</t>
  </si>
  <si>
    <t>INV1117</t>
  </si>
  <si>
    <t>13-05-2024</t>
  </si>
  <si>
    <t>INV1118</t>
  </si>
  <si>
    <t>INV1119</t>
  </si>
  <si>
    <t>INV1120</t>
  </si>
  <si>
    <t>INV1121</t>
  </si>
  <si>
    <t>INV1122</t>
  </si>
  <si>
    <t>INV1123</t>
  </si>
  <si>
    <t>02-04-2024</t>
  </si>
  <si>
    <t>INV1124</t>
  </si>
  <si>
    <t>INV1125</t>
  </si>
  <si>
    <t>22-05-2024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</si>
  <si>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</si>
  <si>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</si>
  <si>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</si>
  <si>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</si>
  <si>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</si>
  <si>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</si>
  <si>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</si>
  <si>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</si>
  <si>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</si>
  <si>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</si>
  <si>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</si>
  <si>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</si>
  <si>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</si>
  <si>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</si>
  <si>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</si>
  <si>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</si>
  <si>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</si>
  <si>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</si>
  <si>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27-04-2024</t>
  </si>
  <si>
    <t>INV1144</t>
  </si>
  <si>
    <t>INV1145</t>
  </si>
  <si>
    <t>INV1146</t>
  </si>
  <si>
    <t>05-05-2024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</si>
  <si>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</si>
  <si>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</si>
  <si>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</si>
  <si>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</si>
  <si>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</si>
  <si>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</si>
  <si>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</si>
  <si>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</si>
  <si>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</si>
  <si>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</si>
  <si>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</si>
  <si>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</si>
  <si>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</si>
  <si>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08-04-2024</t>
  </si>
  <si>
    <t>INV1160</t>
  </si>
  <si>
    <t>INV1161</t>
  </si>
  <si>
    <t>INV1162</t>
  </si>
  <si>
    <t>INV1163</t>
  </si>
  <si>
    <t>INV1164</t>
  </si>
  <si>
    <t>29-05-2024</t>
  </si>
  <si>
    <t>INV1165</t>
  </si>
  <si>
    <t>20-05-2024</t>
  </si>
  <si>
    <t>INV1166</t>
  </si>
  <si>
    <t>INV1167</t>
  </si>
  <si>
    <t>INV1168</t>
  </si>
  <si>
    <t>INV1169</t>
  </si>
  <si>
    <t>INV1170</t>
  </si>
  <si>
    <t>INV1171</t>
  </si>
  <si>
    <t>INV1172</t>
  </si>
  <si>
    <t>23-04-2024</t>
  </si>
  <si>
    <t>INV1173</t>
  </si>
  <si>
    <t>INV1174</t>
  </si>
  <si>
    <t>INV1175</t>
  </si>
  <si>
    <t>INV1176</t>
  </si>
  <si>
    <t>08-05-2024</t>
  </si>
  <si>
    <t>INV1177</t>
  </si>
  <si>
    <t>10-06-2024</t>
  </si>
  <si>
    <t>INV1178</t>
  </si>
  <si>
    <t>INV1179</t>
  </si>
  <si>
    <t>21-04-2024</t>
  </si>
  <si>
    <t>INV1180</t>
  </si>
  <si>
    <t>INV1181</t>
  </si>
  <si>
    <t>INV1182</t>
  </si>
  <si>
    <t>INV1183</t>
  </si>
  <si>
    <t>INV1184</t>
  </si>
  <si>
    <t>INV1185</t>
  </si>
  <si>
    <t>14-04-2024</t>
  </si>
  <si>
    <t>INV1186</t>
  </si>
  <si>
    <t>20-04-2024</t>
  </si>
  <si>
    <t>INV1187</t>
  </si>
  <si>
    <t>INV1188</t>
  </si>
  <si>
    <t>INV1189</t>
  </si>
  <si>
    <t>INV1190</t>
  </si>
  <si>
    <t>12-04-2024</t>
  </si>
  <si>
    <t>INV1191</t>
  </si>
  <si>
    <t>INV1192</t>
  </si>
  <si>
    <t>INV1193</t>
  </si>
  <si>
    <t>INV1194</t>
  </si>
  <si>
    <t>INV1195</t>
  </si>
  <si>
    <t>INV1196</t>
  </si>
  <si>
    <t>INV1197</t>
  </si>
  <si>
    <t>INV1198</t>
  </si>
  <si>
    <t>INV1199</t>
  </si>
  <si>
    <t>INV1200</t>
  </si>
  <si>
    <t>INV1201</t>
  </si>
  <si>
    <t>INV1202</t>
  </si>
  <si>
    <t>INV1203</t>
  </si>
  <si>
    <t>INV1204</t>
  </si>
  <si>
    <t>INV1205</t>
  </si>
  <si>
    <t>INV1206</t>
  </si>
  <si>
    <t>INV1207</t>
  </si>
  <si>
    <t>INV1208</t>
  </si>
  <si>
    <t>25-04-2024</t>
  </si>
  <si>
    <t>INV1209</t>
  </si>
  <si>
    <t>17-05-2024</t>
  </si>
  <si>
    <t>INV1210</t>
  </si>
  <si>
    <t>INV1211</t>
  </si>
  <si>
    <t>INV1212</t>
  </si>
  <si>
    <t>INV1213</t>
  </si>
  <si>
    <t>INV1214</t>
  </si>
  <si>
    <t>INV1215</t>
  </si>
  <si>
    <t>INV1216</t>
  </si>
  <si>
    <t>INV1217</t>
  </si>
  <si>
    <t>INV1218</t>
  </si>
  <si>
    <t>INV1219</t>
  </si>
  <si>
    <t>INV1220</t>
  </si>
  <si>
    <t>INV1221</t>
  </si>
  <si>
    <t>INV1222</t>
  </si>
  <si>
    <t>INV1223</t>
  </si>
  <si>
    <t>INV1224</t>
  </si>
  <si>
    <t>INV1225</t>
  </si>
  <si>
    <t>INV1226</t>
  </si>
  <si>
    <t>INV1227</t>
  </si>
  <si>
    <t>INV1228</t>
  </si>
  <si>
    <t>INV1229</t>
  </si>
  <si>
    <t>INV1230</t>
  </si>
  <si>
    <t>INV1231</t>
  </si>
  <si>
    <t>INV1232</t>
  </si>
  <si>
    <t>INV1233</t>
  </si>
  <si>
    <t>01-06-2024</t>
  </si>
  <si>
    <t>INV1234</t>
  </si>
  <si>
    <t>INV1235</t>
  </si>
  <si>
    <t>INV1236</t>
  </si>
  <si>
    <t>INV1237</t>
  </si>
  <si>
    <t>INV1238</t>
  </si>
  <si>
    <t>INV1239</t>
  </si>
  <si>
    <t>INV1240</t>
  </si>
  <si>
    <t>INV1241</t>
  </si>
  <si>
    <t>INV1242</t>
  </si>
  <si>
    <t>INV1243</t>
  </si>
  <si>
    <t>INV1244</t>
  </si>
  <si>
    <t>INV1245</t>
  </si>
  <si>
    <t>INV1246</t>
  </si>
  <si>
    <t>INV1247</t>
  </si>
  <si>
    <t>INV1248</t>
  </si>
  <si>
    <t>INV1249</t>
  </si>
  <si>
    <t>INV1250</t>
  </si>
  <si>
    <t>INV1251</t>
  </si>
  <si>
    <t>INV1252</t>
  </si>
  <si>
    <t>INV1253</t>
  </si>
  <si>
    <t>INV1254</t>
  </si>
  <si>
    <t>INV1255</t>
  </si>
  <si>
    <t>INV1256</t>
  </si>
  <si>
    <t>INV1257</t>
  </si>
  <si>
    <t>INV1258</t>
  </si>
  <si>
    <t>INV1259</t>
  </si>
  <si>
    <t>INV1260</t>
  </si>
  <si>
    <t>INV1261</t>
  </si>
  <si>
    <t>INV1262</t>
  </si>
  <si>
    <t>INV1263</t>
  </si>
  <si>
    <t>INV1264</t>
  </si>
  <si>
    <t>INV1265</t>
  </si>
  <si>
    <t>INV1266</t>
  </si>
  <si>
    <t>INV1267</t>
  </si>
  <si>
    <t>INV1268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</si>
  <si>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</si>
  <si>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</si>
  <si>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</si>
  <si>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</si>
  <si>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</si>
  <si>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</si>
  <si>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</si>
  <si>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</si>
  <si>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</si>
  <si>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INV1278</t>
  </si>
  <si>
    <t>INV1279</t>
  </si>
  <si>
    <t>INV1280</t>
  </si>
  <si>
    <t>INV1281</t>
  </si>
  <si>
    <t>INV1282</t>
  </si>
  <si>
    <t>INV1283</t>
  </si>
  <si>
    <t>INV1284</t>
  </si>
  <si>
    <t>03-06-2024</t>
  </si>
  <si>
    <t>INV1285</t>
  </si>
  <si>
    <t>INV1286</t>
  </si>
  <si>
    <t>INV1287</t>
  </si>
  <si>
    <t>INV1288</t>
  </si>
  <si>
    <t>INV1289</t>
  </si>
  <si>
    <t>INV1290</t>
  </si>
  <si>
    <t>INV1291</t>
  </si>
  <si>
    <t>INV1292</t>
  </si>
  <si>
    <t>INV1293</t>
  </si>
  <si>
    <t>INV1294</t>
  </si>
  <si>
    <t>INV1295</t>
  </si>
  <si>
    <t>INV1296</t>
  </si>
  <si>
    <t>INV1297</t>
  </si>
  <si>
    <t>INV1298</t>
  </si>
  <si>
    <t>INV1299</t>
  </si>
  <si>
    <t>INV1300</t>
  </si>
  <si>
    <t>INV1301</t>
  </si>
  <si>
    <t>INV1302</t>
  </si>
  <si>
    <t>INV1303</t>
  </si>
  <si>
    <t>INV1304</t>
  </si>
  <si>
    <t>INV1305</t>
  </si>
  <si>
    <t>INV1306</t>
  </si>
  <si>
    <t>INV1307</t>
  </si>
  <si>
    <t>INV1308</t>
  </si>
  <si>
    <t>INV1309</t>
  </si>
  <si>
    <t>INV1310</t>
  </si>
  <si>
    <t>INV1311</t>
  </si>
  <si>
    <t>INV1312</t>
  </si>
  <si>
    <t>INV1313</t>
  </si>
  <si>
    <t>30-05-2024</t>
  </si>
  <si>
    <t>INV1314</t>
  </si>
  <si>
    <t>INV1315</t>
  </si>
  <si>
    <t>INV1316</t>
  </si>
  <si>
    <t>INV1317</t>
  </si>
  <si>
    <t>INV1318</t>
  </si>
  <si>
    <t>INV1319</t>
  </si>
  <si>
    <t>INV1320</t>
  </si>
  <si>
    <t>INV1321</t>
  </si>
  <si>
    <t>23-06-2024</t>
  </si>
  <si>
    <t>INV1322</t>
  </si>
  <si>
    <t>INV1323</t>
  </si>
  <si>
    <t>INV1324</t>
  </si>
  <si>
    <t>INV1325</t>
  </si>
  <si>
    <t>INV1326</t>
  </si>
  <si>
    <t>INV1327</t>
  </si>
  <si>
    <t>INV1328</t>
  </si>
  <si>
    <t>INV1329</t>
  </si>
  <si>
    <t>INV1330</t>
  </si>
  <si>
    <t>INV1331</t>
  </si>
  <si>
    <t>INV1332</t>
  </si>
  <si>
    <t>INV1333</t>
  </si>
  <si>
    <t>INV1334</t>
  </si>
  <si>
    <t>INV1335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</si>
  <si>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</si>
  <si>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</si>
  <si>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</si>
  <si>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</si>
  <si>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</si>
  <si>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</si>
  <si>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</si>
  <si>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</si>
  <si>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</si>
  <si>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</si>
  <si>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</si>
  <si>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</si>
  <si>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INV1348</t>
  </si>
  <si>
    <t>INV1349</t>
  </si>
  <si>
    <t>INV1350</t>
  </si>
  <si>
    <t>INV1351</t>
  </si>
  <si>
    <t>INV1352</t>
  </si>
  <si>
    <t>INV1353</t>
  </si>
  <si>
    <t>INV1354</t>
  </si>
  <si>
    <t>INV1355</t>
  </si>
  <si>
    <t>INV1356</t>
  </si>
  <si>
    <t>INV1357</t>
  </si>
  <si>
    <t>INV1358</t>
  </si>
  <si>
    <t>INV1359</t>
  </si>
  <si>
    <t>INV1360</t>
  </si>
  <si>
    <t>INV1361</t>
  </si>
  <si>
    <t>INV1362</t>
  </si>
  <si>
    <t>30-06-2024</t>
  </si>
  <si>
    <t>INV1363</t>
  </si>
  <si>
    <t>INV1364</t>
  </si>
  <si>
    <t>INV1365</t>
  </si>
  <si>
    <t>INV1366</t>
  </si>
  <si>
    <t>INV1367</t>
  </si>
  <si>
    <t>INV1368</t>
  </si>
  <si>
    <t>INV1369</t>
  </si>
  <si>
    <t>INV1370</t>
  </si>
  <si>
    <t>INV1371</t>
  </si>
  <si>
    <t>INV1372</t>
  </si>
  <si>
    <t>INV1373</t>
  </si>
  <si>
    <t>INV1374</t>
  </si>
  <si>
    <t>INV1375</t>
  </si>
  <si>
    <t>INV1376</t>
  </si>
  <si>
    <t>INV1377</t>
  </si>
  <si>
    <t>INV1378</t>
  </si>
  <si>
    <t>INV1379</t>
  </si>
  <si>
    <t>INV1380</t>
  </si>
  <si>
    <t>INV1381</t>
  </si>
  <si>
    <t>INV1382</t>
  </si>
  <si>
    <t>INV1383</t>
  </si>
  <si>
    <t>INV1384</t>
  </si>
  <si>
    <t>INV1385</t>
  </si>
  <si>
    <t>INV1386</t>
  </si>
  <si>
    <t>INV1387</t>
  </si>
  <si>
    <t>INV1388</t>
  </si>
  <si>
    <t>INV1389</t>
  </si>
  <si>
    <t>INV1390</t>
  </si>
  <si>
    <t>INV1391</t>
  </si>
  <si>
    <t>INV1392</t>
  </si>
  <si>
    <t>INV1393</t>
  </si>
  <si>
    <t>INV1394</t>
  </si>
  <si>
    <t>INV1395</t>
  </si>
  <si>
    <t>INV1396</t>
  </si>
  <si>
    <t>INV1397</t>
  </si>
  <si>
    <t>INV1398</t>
  </si>
  <si>
    <t>INV1399</t>
  </si>
  <si>
    <t>INV1400</t>
  </si>
  <si>
    <t>INV1401</t>
  </si>
  <si>
    <t>INV1402</t>
  </si>
  <si>
    <t>INV1403</t>
  </si>
  <si>
    <t>INV1404</t>
  </si>
  <si>
    <t>INV1405</t>
  </si>
  <si>
    <t>INV1406</t>
  </si>
  <si>
    <t>INV1407</t>
  </si>
  <si>
    <t>INV1408</t>
  </si>
  <si>
    <t>INV1409</t>
  </si>
  <si>
    <t>INV1410</t>
  </si>
  <si>
    <t>INV1411</t>
  </si>
  <si>
    <t>INV1412</t>
  </si>
  <si>
    <t>INV1413</t>
  </si>
  <si>
    <t>INV1414</t>
  </si>
  <si>
    <t>INV1415</t>
  </si>
  <si>
    <t>INV1416</t>
  </si>
  <si>
    <t>INV1417</t>
  </si>
  <si>
    <t>INV1418</t>
  </si>
  <si>
    <t>INV1419</t>
  </si>
  <si>
    <t>INV1420</t>
  </si>
  <si>
    <t>INV1421</t>
  </si>
  <si>
    <t>INV1422</t>
  </si>
  <si>
    <t>INV1423</t>
  </si>
  <si>
    <t>INV1424</t>
  </si>
  <si>
    <t>INV1425</t>
  </si>
  <si>
    <t>INV1426</t>
  </si>
  <si>
    <t>INV1427</t>
  </si>
  <si>
    <t>INV1428</t>
  </si>
  <si>
    <t>INV1429</t>
  </si>
  <si>
    <t>INV1430</t>
  </si>
  <si>
    <t>INV1431</t>
  </si>
  <si>
    <t>INV1432</t>
  </si>
  <si>
    <t>INV1433</t>
  </si>
  <si>
    <t>INV1434</t>
  </si>
  <si>
    <t>INV1435</t>
  </si>
  <si>
    <t>INV1436</t>
  </si>
  <si>
    <t>INV1437</t>
  </si>
  <si>
    <t>INV1438</t>
  </si>
  <si>
    <t>21-06-2024</t>
  </si>
  <si>
    <t>INV1439</t>
  </si>
  <si>
    <t>INV1440</t>
  </si>
  <si>
    <t>INV1441</t>
  </si>
  <si>
    <t>INV1442</t>
  </si>
  <si>
    <t>INV1443</t>
  </si>
  <si>
    <t>INV1444</t>
  </si>
  <si>
    <t>INV1445</t>
  </si>
  <si>
    <t>INV1446</t>
  </si>
  <si>
    <t>INV1447</t>
  </si>
  <si>
    <t>INV1448</t>
  </si>
  <si>
    <t>INV1449</t>
  </si>
  <si>
    <t>INV1450</t>
  </si>
  <si>
    <t>INV1451</t>
  </si>
  <si>
    <t>INV1452</t>
  </si>
  <si>
    <t>INV1453</t>
  </si>
  <si>
    <t>INV1454</t>
  </si>
  <si>
    <t>INV1455</t>
  </si>
  <si>
    <t>INV1456</t>
  </si>
  <si>
    <t>INV1457</t>
  </si>
  <si>
    <t>INV1458</t>
  </si>
  <si>
    <t>INV1459</t>
  </si>
  <si>
    <t>INV1460</t>
  </si>
  <si>
    <t>INV1461</t>
  </si>
  <si>
    <t>INV1462</t>
  </si>
  <si>
    <t>INV1463</t>
  </si>
  <si>
    <t>INV1464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</si>
  <si>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</si>
  <si>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</si>
  <si>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</si>
  <si>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</si>
  <si>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</si>
  <si>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</si>
  <si>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</si>
  <si>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</si>
  <si>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</si>
  <si>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</si>
  <si>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INV1475</t>
  </si>
  <si>
    <t>INV1476</t>
  </si>
  <si>
    <t>INV1477</t>
  </si>
  <si>
    <t>INV1478</t>
  </si>
  <si>
    <t>INV1479</t>
  </si>
  <si>
    <t>INV1480</t>
  </si>
  <si>
    <t>INV1481</t>
  </si>
  <si>
    <t>INV1482</t>
  </si>
  <si>
    <t>INV1483</t>
  </si>
  <si>
    <t>INV1484</t>
  </si>
  <si>
    <t>INV1485</t>
  </si>
  <si>
    <t>INV1486</t>
  </si>
  <si>
    <t>INV1487</t>
  </si>
  <si>
    <t>INV1488</t>
  </si>
  <si>
    <t>INV1489</t>
  </si>
  <si>
    <t>INV1490</t>
  </si>
  <si>
    <t>INV1491</t>
  </si>
  <si>
    <t>INV1492</t>
  </si>
  <si>
    <t>INV1493</t>
  </si>
  <si>
    <t>INV1494</t>
  </si>
  <si>
    <t>INV1495</t>
  </si>
  <si>
    <t>INV1496</t>
  </si>
  <si>
    <t>INV1497</t>
  </si>
  <si>
    <t>INV1498</t>
  </si>
  <si>
    <t>INV1499</t>
  </si>
  <si>
    <t>GST</t>
  </si>
  <si>
    <t>04-04-2024</t>
  </si>
  <si>
    <t>INV2100</t>
  </si>
  <si>
    <t>INV2101</t>
  </si>
  <si>
    <t>INV2102</t>
  </si>
  <si>
    <t>INV2103</t>
  </si>
  <si>
    <t>INV2104</t>
  </si>
  <si>
    <t>INV2105</t>
  </si>
  <si>
    <t>INV2106</t>
  </si>
  <si>
    <t>INV2107</t>
  </si>
  <si>
    <t>INV2108</t>
  </si>
  <si>
    <t>INV2109</t>
  </si>
  <si>
    <t>INV2110</t>
  </si>
  <si>
    <t>INV2111</t>
  </si>
  <si>
    <t>INV2112</t>
  </si>
  <si>
    <t>INV2113</t>
  </si>
  <si>
    <t>INV2114</t>
  </si>
  <si>
    <t>INV2115</t>
  </si>
  <si>
    <t>INV2116</t>
  </si>
  <si>
    <t>INV2117</t>
  </si>
  <si>
    <t>INV2118</t>
  </si>
  <si>
    <t>INV2119</t>
  </si>
  <si>
    <t>INV2120</t>
  </si>
  <si>
    <t>INV2121</t>
  </si>
  <si>
    <t>INV2122</t>
  </si>
  <si>
    <t>INV2123</t>
  </si>
  <si>
    <t>INV2124</t>
  </si>
  <si>
    <t>INV2125</t>
  </si>
  <si>
    <t>INV2126</t>
  </si>
  <si>
    <t>INV2127</t>
  </si>
  <si>
    <t>INV2128</t>
  </si>
  <si>
    <t>INV2129</t>
  </si>
  <si>
    <t>INV2130</t>
  </si>
  <si>
    <t>INV2131</t>
  </si>
  <si>
    <t>INV2132</t>
  </si>
  <si>
    <t>INV2133</t>
  </si>
  <si>
    <t>INV2134</t>
  </si>
  <si>
    <t>INV2135</t>
  </si>
  <si>
    <t>INV2136</t>
  </si>
  <si>
    <t>INV2137</t>
  </si>
  <si>
    <t>INV2138</t>
  </si>
  <si>
    <t>INV2139</t>
  </si>
  <si>
    <t>INV2140</t>
  </si>
  <si>
    <t>INV2141</t>
  </si>
  <si>
    <t>INV2142</t>
  </si>
  <si>
    <t>INV2143</t>
  </si>
  <si>
    <t>INV2144</t>
  </si>
  <si>
    <t>INV2145</t>
  </si>
  <si>
    <t>INV2146</t>
  </si>
  <si>
    <t>INV2147</t>
  </si>
  <si>
    <t>INV2148</t>
  </si>
  <si>
    <t>INV2149</t>
  </si>
  <si>
    <t>INV2150</t>
  </si>
  <si>
    <t>INV2151</t>
  </si>
  <si>
    <t>INV2152</t>
  </si>
  <si>
    <t>INV2153</t>
  </si>
  <si>
    <t>INV2154</t>
  </si>
  <si>
    <t>INV2155</t>
  </si>
  <si>
    <t>INV2156</t>
  </si>
  <si>
    <t>INV2157</t>
  </si>
  <si>
    <t>INV2158</t>
  </si>
  <si>
    <t>INV2159</t>
  </si>
  <si>
    <t>INV2160</t>
  </si>
  <si>
    <t>INV2161</t>
  </si>
  <si>
    <t>INV2162</t>
  </si>
  <si>
    <t>INV2163</t>
  </si>
  <si>
    <t>INV2164</t>
  </si>
  <si>
    <t>INV2165</t>
  </si>
  <si>
    <t>INV2166</t>
  </si>
  <si>
    <t>INV2167</t>
  </si>
  <si>
    <t>INV2168</t>
  </si>
  <si>
    <t>INV2169</t>
  </si>
  <si>
    <t>INV2170</t>
  </si>
  <si>
    <t>INV2171</t>
  </si>
  <si>
    <t>INV2172</t>
  </si>
  <si>
    <t>INV2173</t>
  </si>
  <si>
    <t>INV2174</t>
  </si>
  <si>
    <t>INV2175</t>
  </si>
  <si>
    <t>INV2176</t>
  </si>
  <si>
    <t>INV2177</t>
  </si>
  <si>
    <t>INV2178</t>
  </si>
  <si>
    <t>INV2179</t>
  </si>
  <si>
    <t>INV2180</t>
  </si>
  <si>
    <t>INV2181</t>
  </si>
  <si>
    <t>INV2182</t>
  </si>
  <si>
    <t>INV2183</t>
  </si>
  <si>
    <t>INV2184</t>
  </si>
  <si>
    <t>INV2185</t>
  </si>
  <si>
    <t>INV2186</t>
  </si>
  <si>
    <t>INV2187</t>
  </si>
  <si>
    <t>INV2188</t>
  </si>
  <si>
    <t>INV2189</t>
  </si>
  <si>
    <t>INV2190</t>
  </si>
  <si>
    <t>INV2191</t>
  </si>
  <si>
    <t>INV2192</t>
  </si>
  <si>
    <t>INV2193</t>
  </si>
  <si>
    <t>INV2194</t>
  </si>
  <si>
    <t>INV2195</t>
  </si>
  <si>
    <t>INV2196</t>
  </si>
  <si>
    <t>INV2197</t>
  </si>
  <si>
    <t>INV2198</t>
  </si>
  <si>
    <t>INV2199</t>
  </si>
  <si>
    <t>INV2200</t>
  </si>
  <si>
    <t>INV2201</t>
  </si>
  <si>
    <t>INV2202</t>
  </si>
  <si>
    <t>INV2203</t>
  </si>
  <si>
    <t>INV2204</t>
  </si>
  <si>
    <t>INV2205</t>
  </si>
  <si>
    <t>INV2206</t>
  </si>
  <si>
    <t>INV2207</t>
  </si>
  <si>
    <t>INV2208</t>
  </si>
  <si>
    <t>INV2209</t>
  </si>
  <si>
    <t>INV2210</t>
  </si>
  <si>
    <t>INV2211</t>
  </si>
  <si>
    <t>INV2212</t>
  </si>
  <si>
    <t>INV2213</t>
  </si>
  <si>
    <t>INV2214</t>
  </si>
  <si>
    <t>INV2215</t>
  </si>
  <si>
    <t>INV2216</t>
  </si>
  <si>
    <t>INV2217</t>
  </si>
  <si>
    <t>INV2218</t>
  </si>
  <si>
    <t>INV2219</t>
  </si>
  <si>
    <t>INV2220</t>
  </si>
  <si>
    <t>INV2221</t>
  </si>
  <si>
    <t>INV2222</t>
  </si>
  <si>
    <t>INV2223</t>
  </si>
  <si>
    <t>INV2224</t>
  </si>
  <si>
    <t>INV2225</t>
  </si>
  <si>
    <t>INV2226</t>
  </si>
  <si>
    <t>INV2227</t>
  </si>
  <si>
    <t>INV2228</t>
  </si>
  <si>
    <t>INV2229</t>
  </si>
  <si>
    <t>INV2230</t>
  </si>
  <si>
    <t>INV2231</t>
  </si>
  <si>
    <t>INV2232</t>
  </si>
  <si>
    <t>INV2233</t>
  </si>
  <si>
    <t>INV2234</t>
  </si>
  <si>
    <t>INV2235</t>
  </si>
  <si>
    <t>INV2236</t>
  </si>
  <si>
    <t>INV2237</t>
  </si>
  <si>
    <t>INV2238</t>
  </si>
  <si>
    <t>INV2239</t>
  </si>
  <si>
    <t>INV2240</t>
  </si>
  <si>
    <t>INV2241</t>
  </si>
  <si>
    <t>INV2242</t>
  </si>
  <si>
    <t>INV2243</t>
  </si>
  <si>
    <t>INV2244</t>
  </si>
  <si>
    <t>INV2245</t>
  </si>
  <si>
    <t>INV2246</t>
  </si>
  <si>
    <t>INV2247</t>
  </si>
  <si>
    <t>INV2248</t>
  </si>
  <si>
    <t>INV2249</t>
  </si>
  <si>
    <t>INV2250</t>
  </si>
  <si>
    <t>INV2251</t>
  </si>
  <si>
    <t>INV2252</t>
  </si>
  <si>
    <t>INV2253</t>
  </si>
  <si>
    <t>INV2254</t>
  </si>
  <si>
    <t>INV2255</t>
  </si>
  <si>
    <t>INV2256</t>
  </si>
  <si>
    <t>INV2257</t>
  </si>
  <si>
    <t>INV2258</t>
  </si>
  <si>
    <t>INV2259</t>
  </si>
  <si>
    <t>INV2260</t>
  </si>
  <si>
    <t>INV2261</t>
  </si>
  <si>
    <t>INV2262</t>
  </si>
  <si>
    <t>INV2263</t>
  </si>
  <si>
    <t>INV2264</t>
  </si>
  <si>
    <t>INV2265</t>
  </si>
  <si>
    <t>INV2266</t>
  </si>
  <si>
    <t>INV2267</t>
  </si>
  <si>
    <t>INV2268</t>
  </si>
  <si>
    <t>INV2269</t>
  </si>
  <si>
    <t>INV2270</t>
  </si>
  <si>
    <t>INV2271</t>
  </si>
  <si>
    <t>INV2272</t>
  </si>
  <si>
    <t>INV2273</t>
  </si>
  <si>
    <t>INV2274</t>
  </si>
  <si>
    <t>INV2275</t>
  </si>
  <si>
    <t>INV2276</t>
  </si>
  <si>
    <t>INV2277</t>
  </si>
  <si>
    <t>INV2278</t>
  </si>
  <si>
    <t>INV2279</t>
  </si>
  <si>
    <t>INV2280</t>
  </si>
  <si>
    <t>INV2281</t>
  </si>
  <si>
    <t>INV2282</t>
  </si>
  <si>
    <t>INV2283</t>
  </si>
  <si>
    <t>INV2284</t>
  </si>
  <si>
    <t>INV2285</t>
  </si>
  <si>
    <t>INV2286</t>
  </si>
  <si>
    <t>INV2287</t>
  </si>
  <si>
    <t>INV2288</t>
  </si>
  <si>
    <t>INV2289</t>
  </si>
  <si>
    <t>INV2290</t>
  </si>
  <si>
    <t>INV2291</t>
  </si>
  <si>
    <t>INV2292</t>
  </si>
  <si>
    <t>INV2293</t>
  </si>
  <si>
    <t>INV2294</t>
  </si>
  <si>
    <t>INV2295</t>
  </si>
  <si>
    <t>INV2296</t>
  </si>
  <si>
    <t>INV2297</t>
  </si>
  <si>
    <t>INV2298</t>
  </si>
  <si>
    <t>INV2299</t>
  </si>
  <si>
    <t>INV2300</t>
  </si>
  <si>
    <t>INV2301</t>
  </si>
  <si>
    <t>INV2302</t>
  </si>
  <si>
    <t>INV2303</t>
  </si>
  <si>
    <t>INV2304</t>
  </si>
  <si>
    <t>INV2305</t>
  </si>
  <si>
    <t>INV2306</t>
  </si>
  <si>
    <t>INV2307</t>
  </si>
  <si>
    <t>INV2308</t>
  </si>
  <si>
    <t>INV2309</t>
  </si>
  <si>
    <t>INV2310</t>
  </si>
  <si>
    <t>INV2311</t>
  </si>
  <si>
    <t>INV2312</t>
  </si>
  <si>
    <t>INV2313</t>
  </si>
  <si>
    <t>INV2314</t>
  </si>
  <si>
    <t>INV2315</t>
  </si>
  <si>
    <t>INV2316</t>
  </si>
  <si>
    <t>INV2317</t>
  </si>
  <si>
    <t>INV2318</t>
  </si>
  <si>
    <t>INV2319</t>
  </si>
  <si>
    <t>INV2320</t>
  </si>
  <si>
    <t>INV2321</t>
  </si>
  <si>
    <t>INV2322</t>
  </si>
  <si>
    <t>INV2323</t>
  </si>
  <si>
    <t>INV2324</t>
  </si>
  <si>
    <t>INV2325</t>
  </si>
  <si>
    <t>INV2326</t>
  </si>
  <si>
    <t>INV2327</t>
  </si>
  <si>
    <t>INV2328</t>
  </si>
  <si>
    <t>INV2329</t>
  </si>
  <si>
    <t>INV2330</t>
  </si>
  <si>
    <t>INV2331</t>
  </si>
  <si>
    <t>INV2332</t>
  </si>
  <si>
    <t>INV2333</t>
  </si>
  <si>
    <t>INV2334</t>
  </si>
  <si>
    <t>INV2335</t>
  </si>
  <si>
    <t>INV2336</t>
  </si>
  <si>
    <t>INV2337</t>
  </si>
  <si>
    <t>INV2338</t>
  </si>
  <si>
    <t>INV2339</t>
  </si>
  <si>
    <t>INV2340</t>
  </si>
  <si>
    <t>INV2341</t>
  </si>
  <si>
    <t>INV2342</t>
  </si>
  <si>
    <t>INV2343</t>
  </si>
  <si>
    <t>INV2344</t>
  </si>
  <si>
    <t>INV2345</t>
  </si>
  <si>
    <t>INV2346</t>
  </si>
  <si>
    <t>INV2347</t>
  </si>
  <si>
    <t>INV2348</t>
  </si>
  <si>
    <t>INV2349</t>
  </si>
  <si>
    <t>INV2350</t>
  </si>
  <si>
    <t>INV2351</t>
  </si>
  <si>
    <t>INV2352</t>
  </si>
  <si>
    <t>INV2353</t>
  </si>
  <si>
    <t>INV2354</t>
  </si>
  <si>
    <t>INV2355</t>
  </si>
  <si>
    <t>INV2356</t>
  </si>
  <si>
    <t>INV2357</t>
  </si>
  <si>
    <t>INV2358</t>
  </si>
  <si>
    <t>INV2359</t>
  </si>
  <si>
    <t>INV2360</t>
  </si>
  <si>
    <t>INV2361</t>
  </si>
  <si>
    <t>INV2362</t>
  </si>
  <si>
    <t>INV2363</t>
  </si>
  <si>
    <t>INV2364</t>
  </si>
  <si>
    <t>INV2365</t>
  </si>
  <si>
    <t>INV2366</t>
  </si>
  <si>
    <t>INV2367</t>
  </si>
  <si>
    <t>INV2368</t>
  </si>
  <si>
    <t>INV2369</t>
  </si>
  <si>
    <t>INV2370</t>
  </si>
  <si>
    <t>INV2371</t>
  </si>
  <si>
    <t>INV2372</t>
  </si>
  <si>
    <t>INV2373</t>
  </si>
  <si>
    <t>INV2374</t>
  </si>
  <si>
    <t>INV2375</t>
  </si>
  <si>
    <t>INV2376</t>
  </si>
  <si>
    <t>INV2377</t>
  </si>
  <si>
    <t>INV2378</t>
  </si>
  <si>
    <t>INV2379</t>
  </si>
  <si>
    <t>INV2380</t>
  </si>
  <si>
    <t>INV2381</t>
  </si>
  <si>
    <t>INV2382</t>
  </si>
  <si>
    <t>INV2383</t>
  </si>
  <si>
    <t>INV2384</t>
  </si>
  <si>
    <t>INV2385</t>
  </si>
  <si>
    <t>INV2386</t>
  </si>
  <si>
    <t>INV2387</t>
  </si>
  <si>
    <t>INV2388</t>
  </si>
  <si>
    <t>INV2389</t>
  </si>
  <si>
    <t>INV2390</t>
  </si>
  <si>
    <t>INV2391</t>
  </si>
  <si>
    <t>INV2392</t>
  </si>
  <si>
    <t>INV2393</t>
  </si>
  <si>
    <t>INV2394</t>
  </si>
  <si>
    <t>INV2395</t>
  </si>
  <si>
    <t>INV2396</t>
  </si>
  <si>
    <t>INV2397</t>
  </si>
  <si>
    <t>INV2398</t>
  </si>
  <si>
    <t>INV2399</t>
  </si>
  <si>
    <t>INV2400</t>
  </si>
  <si>
    <t>INV2401</t>
  </si>
  <si>
    <t>INV2402</t>
  </si>
  <si>
    <t>INV2403</t>
  </si>
  <si>
    <t>INV2404</t>
  </si>
  <si>
    <t>INV2405</t>
  </si>
  <si>
    <t>INV2406</t>
  </si>
  <si>
    <t>INV2407</t>
  </si>
  <si>
    <t>INV2408</t>
  </si>
  <si>
    <t>INV2409</t>
  </si>
  <si>
    <t>INV2410</t>
  </si>
  <si>
    <t>INV2411</t>
  </si>
  <si>
    <t>INV2412</t>
  </si>
  <si>
    <t>INV2413</t>
  </si>
  <si>
    <t>INV2414</t>
  </si>
  <si>
    <t>INV2415</t>
  </si>
  <si>
    <t>INV2416</t>
  </si>
  <si>
    <t>INV2417</t>
  </si>
  <si>
    <t>INV2418</t>
  </si>
  <si>
    <t>INV2419</t>
  </si>
  <si>
    <t>INV2420</t>
  </si>
  <si>
    <t>INV2421</t>
  </si>
  <si>
    <t>INV2422</t>
  </si>
  <si>
    <t>INV2423</t>
  </si>
  <si>
    <t>INV2424</t>
  </si>
  <si>
    <t>INV2425</t>
  </si>
  <si>
    <t>INV2426</t>
  </si>
  <si>
    <t>INV2427</t>
  </si>
  <si>
    <t>INV2428</t>
  </si>
  <si>
    <t>INV2429</t>
  </si>
  <si>
    <t>INV2430</t>
  </si>
  <si>
    <t>INV2431</t>
  </si>
  <si>
    <t>INV2432</t>
  </si>
  <si>
    <t>INV2433</t>
  </si>
  <si>
    <t>INV2434</t>
  </si>
  <si>
    <t>INV2435</t>
  </si>
  <si>
    <t>INV2436</t>
  </si>
  <si>
    <t>INV2437</t>
  </si>
  <si>
    <t>INV2438</t>
  </si>
  <si>
    <t>INV2439</t>
  </si>
  <si>
    <t>INV2440</t>
  </si>
  <si>
    <t>INV2441</t>
  </si>
  <si>
    <t>INV2442</t>
  </si>
  <si>
    <t>INV2443</t>
  </si>
  <si>
    <t>INV2444</t>
  </si>
  <si>
    <t>INV2445</t>
  </si>
  <si>
    <t>INV2446</t>
  </si>
  <si>
    <t>INV2447</t>
  </si>
  <si>
    <t>INV2448</t>
  </si>
  <si>
    <t>INV2449</t>
  </si>
  <si>
    <t>INV2450</t>
  </si>
  <si>
    <t>INV2451</t>
  </si>
  <si>
    <t>INV2452</t>
  </si>
  <si>
    <t>INV2453</t>
  </si>
  <si>
    <t>INV2454</t>
  </si>
  <si>
    <t>INV2455</t>
  </si>
  <si>
    <t>INV2456</t>
  </si>
  <si>
    <t>INV2457</t>
  </si>
  <si>
    <t>INV2458</t>
  </si>
  <si>
    <t>INV2459</t>
  </si>
  <si>
    <t>INV2460</t>
  </si>
  <si>
    <t>INV2461</t>
  </si>
  <si>
    <t>INV2462</t>
  </si>
  <si>
    <t>INV2463</t>
  </si>
  <si>
    <t>INV2464</t>
  </si>
  <si>
    <t>INV2465</t>
  </si>
  <si>
    <t>INV2466</t>
  </si>
  <si>
    <t>INV2467</t>
  </si>
  <si>
    <t>INV2468</t>
  </si>
  <si>
    <t>INV2469</t>
  </si>
  <si>
    <t>INV2470</t>
  </si>
  <si>
    <t>INV2471</t>
  </si>
  <si>
    <t>INV2472</t>
  </si>
  <si>
    <t>INV2473</t>
  </si>
  <si>
    <t>INV2474</t>
  </si>
  <si>
    <t>INV2475</t>
  </si>
  <si>
    <t>INV2476</t>
  </si>
  <si>
    <t>INV2477</t>
  </si>
  <si>
    <t>INV2478</t>
  </si>
  <si>
    <t>INV2479</t>
  </si>
  <si>
    <t>INV2480</t>
  </si>
  <si>
    <t>INV2481</t>
  </si>
  <si>
    <t>INV2482</t>
  </si>
  <si>
    <t>INV2483</t>
  </si>
  <si>
    <t>INV2484</t>
  </si>
  <si>
    <t>INV2485</t>
  </si>
  <si>
    <t>INV2486</t>
  </si>
  <si>
    <t>INV2487</t>
  </si>
  <si>
    <t>INV2488</t>
  </si>
  <si>
    <t>INV2489</t>
  </si>
  <si>
    <t>INV2490</t>
  </si>
  <si>
    <t>INV2491</t>
  </si>
  <si>
    <t>INV2492</t>
  </si>
  <si>
    <t>INV2493</t>
  </si>
  <si>
    <t>INV2494</t>
  </si>
  <si>
    <t>INV2495</t>
  </si>
  <si>
    <t>INV2496</t>
  </si>
  <si>
    <t>INV2497</t>
  </si>
  <si>
    <t>INV2498</t>
  </si>
  <si>
    <t>INV2499</t>
  </si>
  <si>
    <t xml:space="preserve">Reconciliation_Status </t>
  </si>
  <si>
    <t>Count of Invoice_No</t>
  </si>
  <si>
    <t>Matched</t>
  </si>
  <si>
    <t>Missing in GST</t>
  </si>
  <si>
    <t>Missing in Tally</t>
  </si>
  <si>
    <t>Value Mismatch</t>
  </si>
  <si>
    <t>Grand Total</t>
  </si>
  <si>
    <t>Duplicate_Check</t>
  </si>
  <si>
    <t>Duplicate</t>
  </si>
  <si>
    <t>Unique</t>
  </si>
  <si>
    <t xml:space="preserve">Status </t>
  </si>
  <si>
    <t>Value_Mismatch_Detection</t>
  </si>
  <si>
    <t>Difference_Check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</si>
</sst>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0" fontId="0" fillId="0" borderId="0" xfId="0" pivotButton="1"/>
    <xf numFmtId="0" fontId="0" fillId="0" borderId="0" xfId="0" applyNumberFormat="1"/>
    <xf numFmtId="0" fontId="0" fillId="3" borderId="1" xfId="0" applyFont="1" applyFill="1" applyBorder="1"/>
    <xf numFmtId="14" fontId="0" fillId="3" borderId="1" xfId="0" applyNumberFormat="1" applyFont="1" applyFill="1" applyBorder="1"/>
    <xf numFmtId="49" fontId="0" fillId="3" borderId="1" xfId="0" applyNumberFormat="1" applyFont="1" applyFill="1" applyBorder="1"/>
    <xf numFmtId="164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2" xfId="0" applyNumberFormat="1" applyBorder="1"/>
    <xf numFmtId="49" fontId="0" fillId="3" borderId="3" xfId="0" applyNumberFormat="1" applyFont="1" applyFill="1" applyBorder="1"/>
    <xf numFmtId="49" fontId="0" fillId="0" borderId="3" xfId="0" applyNumberFormat="1" applyBorder="1"/>
    <xf numFmtId="49" fontId="1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pivotCacheDefinition" Target="pivotCache/pivotCacheDefinition1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eetMetadata" Target="metadata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071.584478935183" createdVersion="8" refreshedVersion="8" minRefreshableVersion="3" recordCount="1000" xr:uid="{9CA8C782-89D8-46AD-AE12-43559802BD4B}">
  <cacheSource type="worksheet">
    <worksheetSource ref="A1:M1001" sheet="Reconciliation_Data"/>
  </cacheSource>
  <cacheFields count="13">
    <cacheField name="Invoice_No" numFmtId="0">
      <sharedItems/>
    </cacheField>
    <cacheField name="Invoice_Date" numFmtId="14">
      <sharedItems/>
    </cacheField>
    <cacheField name="Supplier_GSTIN" numFmtId="0">
      <sharedItems/>
    </cacheField>
    <cacheField name="Supplier_Name" numFmtId="49">
      <sharedItems/>
    </cacheField>
    <cacheField name="Taxable_Value" numFmtId="164">
      <sharedItems containsSemiMixedTypes="0" containsString="0" containsNumber="1" minValue="1061.1400000000001" maxValue="50114.31"/>
    </cacheField>
    <cacheField name="CGST" numFmtId="164">
      <sharedItems containsSemiMixedTypes="0" containsString="0" containsNumber="1" minValue="95.5" maxValue="4499.87"/>
    </cacheField>
    <cacheField name="SGST" numFmtId="164">
      <sharedItems containsSemiMixedTypes="0" containsString="0" containsNumber="1" minValue="95.5" maxValue="4499.87"/>
    </cacheField>
    <cacheField name="Total_Invoice_Value" numFmtId="164">
      <sharedItems containsSemiMixedTypes="0" containsString="0" containsNumber="1" minValue="1252.1400000000001" maxValue="59044.89"/>
    </cacheField>
    <cacheField name="Status " numFmtId="49">
      <sharedItems/>
    </cacheField>
    <cacheField name="Duplicate_Check" numFmtId="0">
      <sharedItems count="4">
        <s v="Unique"/>
        <s v="Duplicate"/>
        <s v="U" u="1"/>
        <s v="D" u="1"/>
      </sharedItems>
    </cacheField>
    <cacheField name="Value_Mismatch_Detection" numFmtId="49">
      <sharedItems/>
    </cacheField>
    <cacheField name="Reconciliation_Status " numFmtId="49">
      <sharedItems count="4">
        <s v="Missing in GST"/>
        <s v="Matched"/>
        <s v="Value Mismatch"/>
        <s v="Missing in Tally"/>
      </sharedItems>
    </cacheField>
    <cacheField name="Difference_Check" numFmtId="164">
      <sharedItems containsMixedTypes="1" containsNumber="1" minValue="-36897.35" maxValue="36897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INV1000"/>
    <s v="24-05-2024"/>
    <s v="24LMNOP4321K1Z7"/>
    <s v="Patel Industries"/>
    <n v="25694.94"/>
    <n v="2312.54"/>
    <n v="2312.54"/>
    <n v="30320.02"/>
    <s v="Tally"/>
    <x v="0"/>
    <s v=""/>
    <x v="0"/>
    <s v=""/>
  </r>
  <r>
    <s v="INV1001"/>
    <s v="04-06-2024"/>
    <s v="19ASDFG2468H1Z9"/>
    <s v="Eastern Distributors"/>
    <n v="39747.74"/>
    <n v="3577.3"/>
    <n v="3577.3"/>
    <n v="46902.34"/>
    <s v="Tally"/>
    <x v="0"/>
    <s v=""/>
    <x v="0"/>
    <s v=""/>
  </r>
  <r>
    <s v="INV1002"/>
    <s v="02-06-2024"/>
    <s v="07ZXCVB9876M1Z3"/>
    <s v="Gupta Supplies"/>
    <n v="3722.42"/>
    <n v="335.02"/>
    <n v="335.02"/>
    <n v="4392.46"/>
    <s v="Tally"/>
    <x v="0"/>
    <s v=""/>
    <x v="0"/>
    <s v=""/>
  </r>
  <r>
    <s v="INV1003"/>
    <s v="22-06-2024"/>
    <s v="27ABCDE1234F1Z5"/>
    <s v="Sharma Traders"/>
    <n v="44040.36"/>
    <n v="3963.63"/>
    <n v="3963.63"/>
    <n v="51967.62"/>
    <s v="Tally"/>
    <x v="0"/>
    <s v=""/>
    <x v="0"/>
    <s v=""/>
  </r>
  <r>
    <s v="INV1004"/>
    <s v="17-06-2024"/>
    <s v="19ASDFG2468H1Z9"/>
    <s v="Eastern Distributors"/>
    <n v="41564.97"/>
    <n v="3740.85"/>
    <n v="3740.85"/>
    <n v="49046.67"/>
    <s v="Tally"/>
    <x v="0"/>
    <s v=""/>
    <x v="0"/>
    <s v=""/>
  </r>
  <r>
    <s v="INV1005"/>
    <s v="18-05-2024"/>
    <s v="19ASDFG2468H1Z9"/>
    <s v="Eastern Distributors"/>
    <n v="24499.7"/>
    <n v="2204.9699999999998"/>
    <n v="2204.9699999999998"/>
    <n v="28909.64"/>
    <s v="Tally"/>
    <x v="0"/>
    <s v=""/>
    <x v="0"/>
    <s v=""/>
  </r>
  <r>
    <s v="INV1006"/>
    <s v="09-06-2024"/>
    <s v="29PQRSX5678L1Z2"/>
    <s v="Kiran Enterprises"/>
    <n v="16158.02"/>
    <n v="1454.22"/>
    <n v="1454.22"/>
    <n v="19066.46"/>
    <s v="Tally"/>
    <x v="0"/>
    <s v=""/>
    <x v="0"/>
    <s v=""/>
  </r>
  <r>
    <s v="INV1007"/>
    <s v="02-06-2024"/>
    <s v="19ASDFG2468H1Z9"/>
    <s v="Eastern Distributors"/>
    <n v="29107.09"/>
    <n v="2619.64"/>
    <n v="2619.64"/>
    <n v="34346.370000000003"/>
    <s v="Tally"/>
    <x v="0"/>
    <s v="Matched"/>
    <x v="1"/>
    <n v="0"/>
  </r>
  <r>
    <s v="INV1008"/>
    <s v="11-04-2024"/>
    <s v="29PQRSX5678L1Z2"/>
    <s v="Kiran Enterprises"/>
    <n v="19595.52"/>
    <n v="1763.6"/>
    <n v="1763.6"/>
    <n v="23122.720000000001"/>
    <s v="Tally"/>
    <x v="0"/>
    <s v=""/>
    <x v="0"/>
    <s v=""/>
  </r>
  <r>
    <s v="INV1009"/>
    <s v="06-04-2024"/>
    <s v="29PQRSX5678L1Z2"/>
    <s v="Kiran Enterprises"/>
    <n v="28660.799999999999"/>
    <n v="2579.4699999999998"/>
    <n v="2579.4699999999998"/>
    <n v="33819.74"/>
    <s v="Tally"/>
    <x v="0"/>
    <s v=""/>
    <x v="0"/>
    <s v=""/>
  </r>
  <r>
    <s v="INV1010"/>
    <s v="07-05-2024"/>
    <s v="24LMNOP4321K1Z7"/>
    <s v="Patel Industries"/>
    <n v="31233.919999999998"/>
    <n v="2811.05"/>
    <n v="2811.05"/>
    <n v="36856.019999999997"/>
    <s v="Tally"/>
    <x v="0"/>
    <s v=""/>
    <x v="0"/>
    <s v=""/>
  </r>
  <r>
    <s v="INV1011"/>
    <s v="06-06-2024"/>
    <s v="27ABCDE1234F1Z5"/>
    <s v="Sharma Traders"/>
    <n v="14485.35"/>
    <n v="1303.68"/>
    <n v="1303.68"/>
    <n v="17092.71"/>
    <s v="Tally"/>
    <x v="0"/>
    <s v=""/>
    <x v="0"/>
    <s v=""/>
  </r>
  <r>
    <s v="INV1012"/>
    <s v="24-05-2024"/>
    <s v="19ASDFG2468H1Z9"/>
    <s v="Eastern Distributors"/>
    <n v="13965.23"/>
    <n v="1256.8699999999999"/>
    <n v="1256.8699999999999"/>
    <n v="16478.97"/>
    <s v="Tally"/>
    <x v="0"/>
    <s v=""/>
    <x v="0"/>
    <s v=""/>
  </r>
  <r>
    <s v="INV1013"/>
    <s v="19-06-2024"/>
    <s v="07ZXCVB9876M1Z3"/>
    <s v="Gupta Supplies"/>
    <n v="48785.53"/>
    <n v="4390.7"/>
    <n v="4390.7"/>
    <n v="57566.93"/>
    <s v="Tally"/>
    <x v="0"/>
    <s v=""/>
    <x v="0"/>
    <s v=""/>
  </r>
  <r>
    <s v="INV1014"/>
    <s v="09-05-2024"/>
    <s v="24LMNOP4321K1Z7"/>
    <s v="Patel Industries"/>
    <n v="49562.13"/>
    <n v="4460.59"/>
    <n v="4460.59"/>
    <n v="58483.31"/>
    <s v="Tally"/>
    <x v="0"/>
    <s v=""/>
    <x v="0"/>
    <s v=""/>
  </r>
  <r>
    <s v="INV1015"/>
    <s v="09-04-2024"/>
    <s v="27ABCDE1234F1Z5"/>
    <s v="Sharma Traders"/>
    <n v="26226.25"/>
    <n v="2360.36"/>
    <n v="2360.36"/>
    <n v="30946.97"/>
    <s v="Tally"/>
    <x v="0"/>
    <s v=""/>
    <x v="0"/>
    <s v=""/>
  </r>
  <r>
    <s v="INV1016"/>
    <s v="31-05-2024"/>
    <s v="27ABCDE1234F1Z5"/>
    <s v="Sharma Traders"/>
    <n v="32810.870000000003"/>
    <n v="2952.98"/>
    <n v="2952.98"/>
    <n v="38716.83"/>
    <s v="Tally"/>
    <x v="0"/>
    <s v=""/>
    <x v="0"/>
    <s v=""/>
  </r>
  <r>
    <s v="INV1017"/>
    <s v="02-06-2024"/>
    <s v="07ZXCVB9876M1Z3"/>
    <s v="Gupta Supplies"/>
    <n v="14249.06"/>
    <n v="1282.42"/>
    <n v="1282.42"/>
    <n v="16813.900000000001"/>
    <s v="Tally"/>
    <x v="0"/>
    <s v=""/>
    <x v="0"/>
    <s v=""/>
  </r>
  <r>
    <s v="INV1018"/>
    <s v="17-04-2024"/>
    <s v="24LMNOP4321K1Z7"/>
    <s v="Patel Industries"/>
    <n v="40719.56"/>
    <n v="3664.76"/>
    <n v="3664.76"/>
    <n v="48049.08"/>
    <s v="Tally"/>
    <x v="0"/>
    <s v=""/>
    <x v="0"/>
    <s v=""/>
  </r>
  <r>
    <s v="INV1019"/>
    <s v="11-05-2024"/>
    <s v="24LMNOP4321K1Z7"/>
    <s v="Patel Industries"/>
    <n v="37378.43"/>
    <n v="3364.06"/>
    <n v="3364.06"/>
    <n v="44106.55"/>
    <s v="Tally"/>
    <x v="0"/>
    <s v="Matched"/>
    <x v="1"/>
    <n v="0"/>
  </r>
  <r>
    <s v="INV1020"/>
    <s v="23-05-2024"/>
    <s v="24LMNOP4321K1Z7"/>
    <s v="Patel Industries"/>
    <n v="28472.92"/>
    <n v="2562.56"/>
    <n v="2562.56"/>
    <n v="33598.04"/>
    <s v="Tally"/>
    <x v="0"/>
    <s v=""/>
    <x v="0"/>
    <s v=""/>
  </r>
  <r>
    <s v="INV1021"/>
    <s v="05-06-2024"/>
    <s v="19ASDFG2468H1Z9"/>
    <s v="Eastern Distributors"/>
    <n v="24883.14"/>
    <n v="2239.48"/>
    <n v="2239.48"/>
    <n v="29362.1"/>
    <s v="Tally"/>
    <x v="0"/>
    <s v=""/>
    <x v="0"/>
    <s v=""/>
  </r>
  <r>
    <s v="INV1022"/>
    <s v="31-05-2024"/>
    <s v="07ZXCVB9876M1Z3"/>
    <s v="Gupta Supplies"/>
    <n v="15724.13"/>
    <n v="1415.17"/>
    <n v="1415.17"/>
    <n v="18554.47"/>
    <s v="Tally"/>
    <x v="0"/>
    <s v=""/>
    <x v="0"/>
    <s v=""/>
  </r>
  <r>
    <s v="INV1023"/>
    <s v="28-04-2024"/>
    <s v="29PQRSX5678L1Z2"/>
    <s v="Kiran Enterprises"/>
    <n v="10499.98"/>
    <n v="945"/>
    <n v="945"/>
    <n v="12389.98"/>
    <s v="Tally"/>
    <x v="0"/>
    <s v=""/>
    <x v="0"/>
    <s v=""/>
  </r>
  <r>
    <s v="INV1024"/>
    <s v="15-06-2024"/>
    <s v="07ZXCVB9876M1Z3"/>
    <s v="Gupta Supplies"/>
    <n v="47599.97"/>
    <n v="4284"/>
    <n v="4284"/>
    <n v="56167.97"/>
    <s v="Tally"/>
    <x v="0"/>
    <s v=""/>
    <x v="0"/>
    <s v=""/>
  </r>
  <r>
    <s v="INV1025"/>
    <s v="11-05-2024"/>
    <s v="24LMNOP4321K1Z7"/>
    <s v="Patel Industries"/>
    <n v="6762.77"/>
    <n v="608.65"/>
    <n v="608.65"/>
    <n v="7980.07"/>
    <s v="Tally"/>
    <x v="0"/>
    <s v=""/>
    <x v="0"/>
    <s v=""/>
  </r>
  <r>
    <s v="INV1026"/>
    <s v="19-04-2024"/>
    <s v="29PQRSX5678L1Z2"/>
    <s v="Kiran Enterprises"/>
    <n v="23014.85"/>
    <n v="2071.34"/>
    <n v="2071.34"/>
    <n v="27157.53"/>
    <s v="Tally"/>
    <x v="0"/>
    <s v=""/>
    <x v="0"/>
    <s v=""/>
  </r>
  <r>
    <s v="INV1027"/>
    <s v="09-04-2024"/>
    <s v="27ABCDE1234F1Z5"/>
    <s v="Sharma Traders"/>
    <n v="28074.6"/>
    <n v="2526.71"/>
    <n v="2526.71"/>
    <n v="33128.019999999997"/>
    <s v="Tally"/>
    <x v="0"/>
    <s v=""/>
    <x v="0"/>
    <s v=""/>
  </r>
  <r>
    <s v="INV1028"/>
    <s v="02-05-2024"/>
    <s v="29PQRSX5678L1Z2"/>
    <s v="Kiran Enterprises"/>
    <n v="41642.120000000003"/>
    <n v="3747.79"/>
    <n v="3747.79"/>
    <n v="49137.7"/>
    <s v="Tally"/>
    <x v="0"/>
    <s v=""/>
    <x v="0"/>
    <s v=""/>
  </r>
  <r>
    <s v="INV1029"/>
    <s v="01-05-2024"/>
    <s v="19ASDFG2468H1Z9"/>
    <s v="Eastern Distributors"/>
    <n v="38382.44"/>
    <n v="3454.42"/>
    <n v="3454.42"/>
    <n v="45291.28"/>
    <s v="Tally"/>
    <x v="0"/>
    <s v="Matched"/>
    <x v="1"/>
    <n v="0"/>
  </r>
  <r>
    <s v="INV1030"/>
    <s v="03-04-2024"/>
    <s v="24LMNOP4321K1Z7"/>
    <s v="Patel Industries"/>
    <n v="2979.72"/>
    <n v="268.17"/>
    <n v="268.17"/>
    <n v="3516.06"/>
    <s v="Tally"/>
    <x v="0"/>
    <s v=""/>
    <x v="0"/>
    <s v=""/>
  </r>
  <r>
    <s v="INV1031"/>
    <s v="07-06-2024"/>
    <s v="27ABCDE1234F1Z5"/>
    <s v="Sharma Traders"/>
    <n v="36114.959999999999"/>
    <n v="3250.35"/>
    <n v="3250.35"/>
    <n v="42615.66"/>
    <s v="Tally"/>
    <x v="0"/>
    <s v=""/>
    <x v="0"/>
    <s v=""/>
  </r>
  <r>
    <s v="INV1032"/>
    <s v="19-04-2024"/>
    <s v="24LMNOP4321K1Z7"/>
    <s v="Patel Industries"/>
    <n v="19033.77"/>
    <n v="1713.04"/>
    <n v="1713.04"/>
    <n v="22459.85"/>
    <s v="Tally"/>
    <x v="0"/>
    <s v=""/>
    <x v="0"/>
    <s v=""/>
  </r>
  <r>
    <s v="INV1033"/>
    <s v="01-05-2024"/>
    <s v="27ABCDE1234F1Z5"/>
    <s v="Sharma Traders"/>
    <n v="3327.85"/>
    <n v="299.51"/>
    <n v="299.51"/>
    <n v="3926.87"/>
    <s v="Tally"/>
    <x v="0"/>
    <s v=""/>
    <x v="0"/>
    <s v=""/>
  </r>
  <r>
    <s v="INV1034"/>
    <s v="05-04-2024"/>
    <s v="27ABCDE1234F1Z5"/>
    <s v="Sharma Traders"/>
    <n v="44915.06"/>
    <n v="4042.36"/>
    <n v="4042.36"/>
    <n v="52999.78"/>
    <s v="Tally"/>
    <x v="0"/>
    <s v=""/>
    <x v="0"/>
    <s v=""/>
  </r>
  <r>
    <s v="INV1035"/>
    <s v="26-06-2024"/>
    <s v="19ASDFG2468H1Z9"/>
    <s v="Eastern Distributors"/>
    <n v="35188.17"/>
    <n v="3166.94"/>
    <n v="3166.94"/>
    <n v="41522.050000000003"/>
    <s v="Tally"/>
    <x v="0"/>
    <s v=""/>
    <x v="0"/>
    <s v=""/>
  </r>
  <r>
    <s v="INV1036"/>
    <s v="17-06-2024"/>
    <s v="24LMNOP4321K1Z7"/>
    <s v="Patel Industries"/>
    <n v="4633.16"/>
    <n v="416.98"/>
    <n v="416.98"/>
    <n v="5467.12"/>
    <s v="Tally"/>
    <x v="0"/>
    <s v=""/>
    <x v="0"/>
    <s v=""/>
  </r>
  <r>
    <s v="INV1037"/>
    <s v="23-05-2024"/>
    <s v="24LMNOP4321K1Z7"/>
    <s v="Patel Industries"/>
    <n v="15285.54"/>
    <n v="1375.7"/>
    <n v="1375.7"/>
    <n v="18036.939999999999"/>
    <s v="Tally"/>
    <x v="0"/>
    <s v=""/>
    <x v="0"/>
    <s v=""/>
  </r>
  <r>
    <s v="INV1038"/>
    <s v="10-04-2024"/>
    <s v="29PQRSX5678L1Z2"/>
    <s v="Kiran Enterprises"/>
    <n v="14784.51"/>
    <n v="1330.61"/>
    <n v="1330.61"/>
    <n v="17445.73"/>
    <s v="Tally"/>
    <x v="0"/>
    <s v="Matched"/>
    <x v="1"/>
    <n v="0"/>
  </r>
  <r>
    <s v="INV1039"/>
    <s v="28-04-2024"/>
    <s v="29PQRSX5678L1Z2"/>
    <s v="Kiran Enterprises"/>
    <n v="43999.02"/>
    <n v="3959.91"/>
    <n v="3959.91"/>
    <n v="51918.84"/>
    <s v="Tally"/>
    <x v="0"/>
    <s v=""/>
    <x v="0"/>
    <s v=""/>
  </r>
  <r>
    <s v="INV1040"/>
    <s v="17-06-2024"/>
    <s v="19ASDFG2468H1Z9"/>
    <s v="Eastern Distributors"/>
    <n v="44019.37"/>
    <n v="3961.74"/>
    <n v="3961.74"/>
    <n v="51942.85"/>
    <s v="Tally"/>
    <x v="0"/>
    <s v=""/>
    <x v="0"/>
    <s v=""/>
  </r>
  <r>
    <s v="INV1041"/>
    <s v="18-04-2024"/>
    <s v="19ASDFG2468H1Z9"/>
    <s v="Eastern Distributors"/>
    <n v="10870.27"/>
    <n v="978.32"/>
    <n v="978.32"/>
    <n v="12826.91"/>
    <s v="Tally"/>
    <x v="0"/>
    <s v=""/>
    <x v="0"/>
    <s v=""/>
  </r>
  <r>
    <s v="INV1042"/>
    <s v="13-04-2024"/>
    <s v="07ZXCVB9876M1Z3"/>
    <s v="Gupta Supplies"/>
    <n v="26707.08"/>
    <n v="2403.64"/>
    <n v="2403.64"/>
    <n v="31514.36"/>
    <s v="Tally"/>
    <x v="0"/>
    <s v=""/>
    <x v="0"/>
    <s v=""/>
  </r>
  <r>
    <s v="INV1043"/>
    <s v="10-05-2024"/>
    <s v="07ZXCVB9876M1Z3"/>
    <s v="Gupta Supplies"/>
    <n v="26708.48"/>
    <n v="2403.7600000000002"/>
    <n v="2403.7600000000002"/>
    <n v="31516"/>
    <s v="Tally"/>
    <x v="0"/>
    <s v=""/>
    <x v="0"/>
    <s v=""/>
  </r>
  <r>
    <s v="INV1044"/>
    <s v="15-05-2024"/>
    <s v="07ZXCVB9876M1Z3"/>
    <s v="Gupta Supplies"/>
    <n v="15516.61"/>
    <n v="1396.49"/>
    <n v="1396.49"/>
    <n v="18309.59"/>
    <s v="Tally"/>
    <x v="0"/>
    <s v=""/>
    <x v="0"/>
    <s v=""/>
  </r>
  <r>
    <s v="INV1045"/>
    <s v="06-06-2024"/>
    <s v="27ABCDE1234F1Z5"/>
    <s v="Sharma Traders"/>
    <n v="15516.19"/>
    <n v="1396.46"/>
    <n v="1396.46"/>
    <n v="18309.11"/>
    <s v="Tally"/>
    <x v="0"/>
    <s v=""/>
    <x v="0"/>
    <s v=""/>
  </r>
  <r>
    <s v="INV1046"/>
    <s v="29-06-2024"/>
    <s v="07ZXCVB9876M1Z3"/>
    <s v="Gupta Supplies"/>
    <n v="27948.14"/>
    <n v="2515.33"/>
    <n v="2515.33"/>
    <n v="32978.800000000003"/>
    <s v="Tally"/>
    <x v="0"/>
    <s v=""/>
    <x v="0"/>
    <s v=""/>
  </r>
  <r>
    <s v="INV1047"/>
    <s v="06-04-2024"/>
    <s v="27ABCDE1234F1Z5"/>
    <s v="Sharma Traders"/>
    <n v="17540.689999999999"/>
    <n v="1578.66"/>
    <n v="1578.66"/>
    <n v="20698.009999999998"/>
    <s v="Tally"/>
    <x v="0"/>
    <s v=""/>
    <x v="0"/>
    <s v=""/>
  </r>
  <r>
    <s v="INV1048"/>
    <s v="04-05-2024"/>
    <s v="24LMNOP4321K1Z7"/>
    <s v="Patel Industries"/>
    <n v="48154.47"/>
    <n v="4333.8999999999996"/>
    <n v="4333.8999999999996"/>
    <n v="56822.27"/>
    <s v="Tally"/>
    <x v="0"/>
    <s v=""/>
    <x v="0"/>
    <s v=""/>
  </r>
  <r>
    <s v="INV1049"/>
    <s v="12-05-2024"/>
    <s v="29PQRSX5678L1Z2"/>
    <s v="Kiran Enterprises"/>
    <n v="26513.16"/>
    <n v="2386.1799999999998"/>
    <n v="2386.1799999999998"/>
    <n v="31285.52"/>
    <s v="Tally"/>
    <x v="0"/>
    <s v="Matched"/>
    <x v="1"/>
    <n v="0"/>
  </r>
  <r>
    <s v="INV1050"/>
    <s v="25-06-2024"/>
    <s v="07ZXCVB9876M1Z3"/>
    <s v="Gupta Supplies"/>
    <n v="41817.54"/>
    <n v="3763.58"/>
    <n v="3763.58"/>
    <n v="49344.7"/>
    <s v="Tally"/>
    <x v="0"/>
    <s v=""/>
    <x v="0"/>
    <s v=""/>
  </r>
  <r>
    <s v="INV1051"/>
    <s v="18-06-2024"/>
    <s v="24LMNOP4321K1Z7"/>
    <s v="Patel Industries"/>
    <n v="1858.65"/>
    <n v="167.28"/>
    <n v="167.28"/>
    <n v="2193.21"/>
    <s v="Tally"/>
    <x v="0"/>
    <s v=""/>
    <x v="0"/>
    <s v=""/>
  </r>
  <r>
    <s v="INV1052"/>
    <s v="12-05-2024"/>
    <s v="29PQRSX5678L1Z2"/>
    <s v="Kiran Enterprises"/>
    <n v="24623.85"/>
    <n v="2216.15"/>
    <n v="2216.15"/>
    <n v="29056.15"/>
    <s v="Tally"/>
    <x v="0"/>
    <s v=""/>
    <x v="0"/>
    <s v=""/>
  </r>
  <r>
    <s v="INV1053"/>
    <s v="03-05-2024"/>
    <s v="19ASDFG2468H1Z9"/>
    <s v="Eastern Distributors"/>
    <n v="31633.46"/>
    <n v="2847.01"/>
    <n v="2847.01"/>
    <n v="37327.480000000003"/>
    <s v="Tally"/>
    <x v="0"/>
    <s v=""/>
    <x v="0"/>
    <s v=""/>
  </r>
  <r>
    <s v="INV1054"/>
    <s v="27-06-2024"/>
    <s v="07ZXCVB9876M1Z3"/>
    <s v="Gupta Supplies"/>
    <n v="36326.11"/>
    <n v="3269.35"/>
    <n v="3269.35"/>
    <n v="42864.81"/>
    <s v="Tally"/>
    <x v="0"/>
    <s v=""/>
    <x v="0"/>
    <s v=""/>
  </r>
  <r>
    <s v="INV1055"/>
    <s v="27-05-2024"/>
    <s v="29PQRSX5678L1Z2"/>
    <s v="Kiran Enterprises"/>
    <n v="20484.740000000002"/>
    <n v="1843.63"/>
    <n v="1843.63"/>
    <n v="24172"/>
    <s v="Tally"/>
    <x v="0"/>
    <s v="Matched"/>
    <x v="1"/>
    <n v="0"/>
  </r>
  <r>
    <s v="INV1056"/>
    <s v="13-06-2024"/>
    <s v="29PQRSX5678L1Z2"/>
    <s v="Kiran Enterprises"/>
    <n v="39527.22"/>
    <n v="3557.45"/>
    <n v="3557.45"/>
    <n v="46642.12"/>
    <s v="Tally"/>
    <x v="0"/>
    <s v="Mismatch"/>
    <x v="2"/>
    <n v="-5330.5599999999977"/>
  </r>
  <r>
    <s v="INV1057"/>
    <s v="29-06-2024"/>
    <s v="29PQRSX5678L1Z2"/>
    <s v="Kiran Enterprises"/>
    <n v="42338.400000000001"/>
    <n v="3810.46"/>
    <n v="3810.46"/>
    <n v="49959.32"/>
    <s v="Tally"/>
    <x v="0"/>
    <s v=""/>
    <x v="0"/>
    <s v=""/>
  </r>
  <r>
    <s v="INV1058"/>
    <s v="24-06-2024"/>
    <s v="07ZXCVB9876M1Z3"/>
    <s v="Gupta Supplies"/>
    <n v="37088.65"/>
    <n v="3337.98"/>
    <n v="3337.98"/>
    <n v="43764.61"/>
    <s v="Tally"/>
    <x v="0"/>
    <s v=""/>
    <x v="0"/>
    <s v=""/>
  </r>
  <r>
    <s v="INV1059"/>
    <s v="27-05-2024"/>
    <s v="29PQRSX5678L1Z2"/>
    <s v="Kiran Enterprises"/>
    <n v="44289.59"/>
    <n v="3986.06"/>
    <n v="3986.06"/>
    <n v="52261.71"/>
    <s v="Tally"/>
    <x v="0"/>
    <s v=""/>
    <x v="0"/>
    <s v=""/>
  </r>
  <r>
    <s v="INV1060"/>
    <s v="20-06-2024"/>
    <s v="27ABCDE1234F1Z5"/>
    <s v="Sharma Traders"/>
    <n v="13216.96"/>
    <n v="1189.53"/>
    <n v="1189.53"/>
    <n v="15596.02"/>
    <s v="Tally"/>
    <x v="0"/>
    <s v="Mismatch"/>
    <x v="2"/>
    <n v="36897.35"/>
  </r>
  <r>
    <s v="INV1061"/>
    <s v="07-05-2024"/>
    <s v="24LMNOP4321K1Z7"/>
    <s v="Patel Industries"/>
    <n v="15452.98"/>
    <n v="1390.77"/>
    <n v="1390.77"/>
    <n v="18234.52"/>
    <s v="Tally"/>
    <x v="0"/>
    <s v=""/>
    <x v="0"/>
    <s v=""/>
  </r>
  <r>
    <s v="INV1062"/>
    <s v="27-05-2024"/>
    <s v="27ABCDE1234F1Z5"/>
    <s v="Sharma Traders"/>
    <n v="6151.48"/>
    <n v="553.63"/>
    <n v="553.63"/>
    <n v="7258.74"/>
    <s v="Tally"/>
    <x v="0"/>
    <s v=""/>
    <x v="0"/>
    <s v=""/>
  </r>
  <r>
    <s v="INV1063"/>
    <s v="25-05-2024"/>
    <s v="29PQRSX5678L1Z2"/>
    <s v="Kiran Enterprises"/>
    <n v="28248.77"/>
    <n v="2542.39"/>
    <n v="2542.39"/>
    <n v="33333.550000000003"/>
    <s v="Tally"/>
    <x v="0"/>
    <s v=""/>
    <x v="0"/>
    <s v=""/>
  </r>
  <r>
    <s v="INV1064"/>
    <s v="16-06-2024"/>
    <s v="07ZXCVB9876M1Z3"/>
    <s v="Gupta Supplies"/>
    <n v="45940.31"/>
    <n v="4134.63"/>
    <n v="4134.63"/>
    <n v="54209.57"/>
    <s v="Tally"/>
    <x v="0"/>
    <s v=""/>
    <x v="0"/>
    <s v=""/>
  </r>
  <r>
    <s v="INV1065"/>
    <s v="30-04-2024"/>
    <s v="24LMNOP4321K1Z7"/>
    <s v="Patel Industries"/>
    <n v="35841.07"/>
    <n v="3225.7"/>
    <n v="3225.7"/>
    <n v="42292.47"/>
    <s v="Tally"/>
    <x v="0"/>
    <s v="Mismatch"/>
    <x v="2"/>
    <n v="-5437.4499999999971"/>
  </r>
  <r>
    <s v="INV1066"/>
    <s v="26-04-2024"/>
    <s v="24LMNOP4321K1Z7"/>
    <s v="Patel Industries"/>
    <n v="32720.02"/>
    <n v="2944.8"/>
    <n v="2944.8"/>
    <n v="38609.620000000003"/>
    <s v="Tally"/>
    <x v="0"/>
    <s v=""/>
    <x v="0"/>
    <s v=""/>
  </r>
  <r>
    <s v="INV1067"/>
    <s v="30-04-2024"/>
    <s v="27ABCDE1234F1Z5"/>
    <s v="Sharma Traders"/>
    <n v="2999.91"/>
    <n v="269.99"/>
    <n v="269.99"/>
    <n v="3539.89"/>
    <s v="Tally"/>
    <x v="0"/>
    <s v="Matched"/>
    <x v="1"/>
    <n v="0"/>
  </r>
  <r>
    <s v="INV1068"/>
    <s v="04-05-2024"/>
    <s v="19ASDFG2468H1Z9"/>
    <s v="Eastern Distributors"/>
    <n v="43321.42"/>
    <n v="3898.93"/>
    <n v="3898.93"/>
    <n v="51119.28"/>
    <s v="Tally"/>
    <x v="0"/>
    <s v=""/>
    <x v="0"/>
    <s v=""/>
  </r>
  <r>
    <s v="INV1069"/>
    <s v="26-06-2024"/>
    <s v="24LMNOP4321K1Z7"/>
    <s v="Patel Industries"/>
    <n v="5859.28"/>
    <n v="527.34"/>
    <n v="527.34"/>
    <n v="6913.96"/>
    <s v="Tally"/>
    <x v="0"/>
    <s v=""/>
    <x v="0"/>
    <s v=""/>
  </r>
  <r>
    <s v="INV1070"/>
    <s v="13-04-2024"/>
    <s v="29PQRSX5678L1Z2"/>
    <s v="Kiran Enterprises"/>
    <n v="45087.519999999997"/>
    <n v="4057.88"/>
    <n v="4057.88"/>
    <n v="53203.28"/>
    <s v="Tally"/>
    <x v="0"/>
    <s v="Mismatch"/>
    <x v="2"/>
    <n v="-23334.309999999998"/>
  </r>
  <r>
    <s v="INV1071"/>
    <s v="22-04-2024"/>
    <s v="07ZXCVB9876M1Z3"/>
    <s v="Gupta Supplies"/>
    <n v="6621.01"/>
    <n v="595.89"/>
    <n v="595.89"/>
    <n v="7812.79"/>
    <s v="Tally"/>
    <x v="0"/>
    <s v=""/>
    <x v="0"/>
    <s v=""/>
  </r>
  <r>
    <s v="INV1072"/>
    <s v="02-05-2024"/>
    <s v="19ASDFG2468H1Z9"/>
    <s v="Eastern Distributors"/>
    <n v="10547.14"/>
    <n v="949.24"/>
    <n v="949.24"/>
    <n v="12445.62"/>
    <s v="Tally"/>
    <x v="0"/>
    <s v="Mismatch"/>
    <x v="2"/>
    <n v="5324.4599999999991"/>
  </r>
  <r>
    <s v="INV1073"/>
    <s v="05-04-2024"/>
    <s v="27ABCDE1234F1Z5"/>
    <s v="Sharma Traders"/>
    <n v="30113.66"/>
    <n v="2710.23"/>
    <n v="2710.23"/>
    <n v="35534.120000000003"/>
    <s v="Tally"/>
    <x v="0"/>
    <s v=""/>
    <x v="0"/>
    <s v=""/>
  </r>
  <r>
    <s v="INV1074"/>
    <s v="25-05-2024"/>
    <s v="07ZXCVB9876M1Z3"/>
    <s v="Gupta Supplies"/>
    <n v="42518.48"/>
    <n v="3826.66"/>
    <n v="3826.66"/>
    <n v="50171.8"/>
    <s v="Tally"/>
    <x v="0"/>
    <s v="Mismatch"/>
    <x v="2"/>
    <n v="-1862.4100000000035"/>
  </r>
  <r>
    <s v="INV1075"/>
    <s v="10-05-2024"/>
    <s v="29PQRSX5678L1Z2"/>
    <s v="Kiran Enterprises"/>
    <n v="29881.43"/>
    <n v="2689.33"/>
    <n v="2689.33"/>
    <n v="35260.089999999997"/>
    <s v="Tally"/>
    <x v="0"/>
    <s v=""/>
    <x v="0"/>
    <s v=""/>
  </r>
  <r>
    <s v="INV1076"/>
    <s v="15-04-2024"/>
    <s v="19ASDFG2468H1Z9"/>
    <s v="Eastern Distributors"/>
    <n v="9695.99"/>
    <n v="872.64"/>
    <n v="872.64"/>
    <n v="11441.27"/>
    <s v="Tally"/>
    <x v="0"/>
    <s v="Mismatch"/>
    <x v="2"/>
    <n v="33613.479999999996"/>
  </r>
  <r>
    <s v="INV1077"/>
    <s v="05-06-2024"/>
    <s v="27ABCDE1234F1Z5"/>
    <s v="Sharma Traders"/>
    <n v="42333.26"/>
    <n v="3809.99"/>
    <n v="3809.99"/>
    <n v="49953.24"/>
    <s v="Tally"/>
    <x v="0"/>
    <s v=""/>
    <x v="0"/>
    <s v=""/>
  </r>
  <r>
    <s v="INV1078"/>
    <s v="15-04-2024"/>
    <s v="27ABCDE1234F1Z5"/>
    <s v="Sharma Traders"/>
    <n v="24042.9"/>
    <n v="2163.86"/>
    <n v="2163.86"/>
    <n v="28370.62"/>
    <s v="Tally"/>
    <x v="0"/>
    <s v=""/>
    <x v="0"/>
    <s v=""/>
  </r>
  <r>
    <s v="INV1079"/>
    <s v="26-05-2024"/>
    <s v="27ABCDE1234F1Z5"/>
    <s v="Sharma Traders"/>
    <n v="1256.1500000000001"/>
    <n v="113.05"/>
    <n v="113.05"/>
    <n v="1482.25"/>
    <s v="Tally"/>
    <x v="0"/>
    <s v=""/>
    <x v="0"/>
    <s v=""/>
  </r>
  <r>
    <s v="INV1080"/>
    <s v="29-04-2024"/>
    <s v="07ZXCVB9876M1Z3"/>
    <s v="Gupta Supplies"/>
    <n v="23038.61"/>
    <n v="2073.4699999999998"/>
    <n v="2073.4699999999998"/>
    <n v="27185.55"/>
    <s v="Tally"/>
    <x v="0"/>
    <s v=""/>
    <x v="0"/>
    <s v=""/>
  </r>
  <r>
    <s v="INV1081"/>
    <s v="20-06-2024"/>
    <s v="24LMNOP4321K1Z7"/>
    <s v="Patel Industries"/>
    <n v="29316.880000000001"/>
    <n v="2638.52"/>
    <n v="2638.52"/>
    <n v="34593.919999999998"/>
    <s v="Tally"/>
    <x v="0"/>
    <s v="Mismatch"/>
    <x v="2"/>
    <n v="2890.2099999999991"/>
  </r>
  <r>
    <s v="INV1082"/>
    <s v="06-05-2024"/>
    <s v="24LMNOP4321K1Z7"/>
    <s v="Patel Industries"/>
    <n v="44882.64"/>
    <n v="4039.44"/>
    <n v="4039.44"/>
    <n v="52961.52"/>
    <s v="Tally"/>
    <x v="0"/>
    <s v=""/>
    <x v="0"/>
    <s v=""/>
  </r>
  <r>
    <s v="INV1083"/>
    <s v="08-06-2024"/>
    <s v="27ABCDE1234F1Z5"/>
    <s v="Sharma Traders"/>
    <n v="3670.87"/>
    <n v="330.38"/>
    <n v="330.38"/>
    <n v="4331.63"/>
    <s v="Tally"/>
    <x v="0"/>
    <s v=""/>
    <x v="0"/>
    <s v=""/>
  </r>
  <r>
    <s v="INV1084"/>
    <s v="24-04-2024"/>
    <s v="29PQRSX5678L1Z2"/>
    <s v="Kiran Enterprises"/>
    <n v="38675.870000000003"/>
    <n v="3480.83"/>
    <n v="3480.83"/>
    <n v="45637.53"/>
    <s v="Tally"/>
    <x v="0"/>
    <s v=""/>
    <x v="0"/>
    <s v=""/>
  </r>
  <r>
    <s v="INV1085"/>
    <s v="21-05-2024"/>
    <s v="07ZXCVB9876M1Z3"/>
    <s v="Gupta Supplies"/>
    <n v="38816.519999999997"/>
    <n v="3493.49"/>
    <n v="3493.49"/>
    <n v="45803.5"/>
    <s v="Tally"/>
    <x v="0"/>
    <s v=""/>
    <x v="0"/>
    <s v=""/>
  </r>
  <r>
    <s v="INV1086"/>
    <s v="24-04-2024"/>
    <s v="07ZXCVB9876M1Z3"/>
    <s v="Gupta Supplies"/>
    <n v="26767.42"/>
    <n v="2409.0700000000002"/>
    <n v="2409.0700000000002"/>
    <n v="31585.56"/>
    <s v="Tally"/>
    <x v="0"/>
    <s v=""/>
    <x v="0"/>
    <s v=""/>
  </r>
  <r>
    <s v="INV1087"/>
    <s v="08-06-2024"/>
    <s v="27ABCDE1234F1Z5"/>
    <s v="Sharma Traders"/>
    <n v="20569.27"/>
    <n v="1851.23"/>
    <n v="1851.23"/>
    <n v="24271.73"/>
    <s v="Tally"/>
    <x v="0"/>
    <s v=""/>
    <x v="0"/>
    <s v=""/>
  </r>
  <r>
    <s v="INV1088"/>
    <s v="16-04-2024"/>
    <s v="19ASDFG2468H1Z9"/>
    <s v="Eastern Distributors"/>
    <n v="30282.04"/>
    <n v="2725.38"/>
    <n v="2725.38"/>
    <n v="35732.800000000003"/>
    <s v="Tally"/>
    <x v="0"/>
    <s v=""/>
    <x v="0"/>
    <s v=""/>
  </r>
  <r>
    <s v="INV1089"/>
    <s v="15-04-2024"/>
    <s v="24LMNOP4321K1Z7"/>
    <s v="Patel Industries"/>
    <n v="44678.11"/>
    <n v="4021.03"/>
    <n v="4021.03"/>
    <n v="52720.17"/>
    <s v="Tally"/>
    <x v="0"/>
    <s v=""/>
    <x v="0"/>
    <s v=""/>
  </r>
  <r>
    <s v="INV1090"/>
    <s v="07-04-2024"/>
    <s v="29PQRSX5678L1Z2"/>
    <s v="Kiran Enterprises"/>
    <n v="13168.6"/>
    <n v="1185.17"/>
    <n v="1185.17"/>
    <n v="15538.94"/>
    <s v="Tally"/>
    <x v="0"/>
    <s v=""/>
    <x v="0"/>
    <s v=""/>
  </r>
  <r>
    <s v="INV1091"/>
    <s v="14-05-2024"/>
    <s v="29PQRSX5678L1Z2"/>
    <s v="Kiran Enterprises"/>
    <n v="28782.54"/>
    <n v="2590.4299999999998"/>
    <n v="2590.4299999999998"/>
    <n v="33963.4"/>
    <s v="Tally"/>
    <x v="0"/>
    <s v="Matched"/>
    <x v="1"/>
    <n v="0"/>
  </r>
  <r>
    <s v="INV1092"/>
    <s v="14-06-2024"/>
    <s v="27ABCDE1234F1Z5"/>
    <s v="Sharma Traders"/>
    <n v="30722.12"/>
    <n v="2764.99"/>
    <n v="2764.99"/>
    <n v="36252.1"/>
    <s v="Tally"/>
    <x v="0"/>
    <s v=""/>
    <x v="0"/>
    <s v=""/>
  </r>
  <r>
    <s v="INV1093"/>
    <s v="16-05-2024"/>
    <s v="29PQRSX5678L1Z2"/>
    <s v="Kiran Enterprises"/>
    <n v="21429.09"/>
    <n v="1928.62"/>
    <n v="1928.62"/>
    <n v="25286.33"/>
    <s v="Tally"/>
    <x v="0"/>
    <s v=""/>
    <x v="0"/>
    <s v=""/>
  </r>
  <r>
    <s v="INV1094"/>
    <s v="01-04-2024"/>
    <s v="07ZXCVB9876M1Z3"/>
    <s v="Gupta Supplies"/>
    <n v="47423.23"/>
    <n v="4268.09"/>
    <n v="4268.09"/>
    <n v="55959.41"/>
    <s v="Tally"/>
    <x v="0"/>
    <s v=""/>
    <x v="0"/>
    <s v=""/>
  </r>
  <r>
    <s v="INV1095"/>
    <s v="26-06-2024"/>
    <s v="29PQRSX5678L1Z2"/>
    <s v="Kiran Enterprises"/>
    <n v="7177.44"/>
    <n v="645.97"/>
    <n v="645.97"/>
    <n v="8469.3799999999992"/>
    <s v="Tally"/>
    <x v="0"/>
    <s v="Matched"/>
    <x v="1"/>
    <n v="0"/>
  </r>
  <r>
    <s v="INV1096"/>
    <s v="27-06-2024"/>
    <s v="19ASDFG2468H1Z9"/>
    <s v="Eastern Distributors"/>
    <n v="13381.51"/>
    <n v="1204.3399999999999"/>
    <n v="1204.3399999999999"/>
    <n v="15790.19"/>
    <s v="Tally"/>
    <x v="0"/>
    <s v=""/>
    <x v="0"/>
    <s v=""/>
  </r>
  <r>
    <s v="INV1097"/>
    <s v="20-06-2024"/>
    <s v="24LMNOP4321K1Z7"/>
    <s v="Patel Industries"/>
    <n v="4577.5"/>
    <n v="411.97"/>
    <n v="411.97"/>
    <n v="5401.44"/>
    <s v="Tally"/>
    <x v="0"/>
    <s v="Mismatch"/>
    <x v="2"/>
    <n v="17079.150000000001"/>
  </r>
  <r>
    <s v="INV1098"/>
    <s v="03-04-2024"/>
    <s v="24LMNOP4321K1Z7"/>
    <s v="Patel Industries"/>
    <n v="9316.02"/>
    <n v="838.44"/>
    <n v="838.44"/>
    <n v="10992.9"/>
    <s v="Tally"/>
    <x v="0"/>
    <s v=""/>
    <x v="0"/>
    <s v=""/>
  </r>
  <r>
    <s v="INV1099"/>
    <s v="15-04-2024"/>
    <s v="29PQRSX5678L1Z2"/>
    <s v="Kiran Enterprises"/>
    <n v="34772.1"/>
    <n v="3129.49"/>
    <n v="3129.49"/>
    <n v="41031.08"/>
    <s v="Tally"/>
    <x v="0"/>
    <s v=""/>
    <x v="0"/>
    <s v=""/>
  </r>
  <r>
    <s v="INV1100"/>
    <s v="25-06-2024"/>
    <s v="07ZXCVB9876M1Z3"/>
    <s v="Gupta Supplies"/>
    <n v="48040.3"/>
    <n v="4323.63"/>
    <n v="4323.63"/>
    <n v="56687.56"/>
    <s v="Tally"/>
    <x v="0"/>
    <s v=""/>
    <x v="0"/>
    <s v=""/>
  </r>
  <r>
    <s v="INV1101"/>
    <s v="24-06-2024"/>
    <s v="29PQRSX5678L1Z2"/>
    <s v="Kiran Enterprises"/>
    <n v="17782.43"/>
    <n v="1600.42"/>
    <n v="1600.42"/>
    <n v="20983.27"/>
    <s v="Tally"/>
    <x v="0"/>
    <s v=""/>
    <x v="0"/>
    <s v=""/>
  </r>
  <r>
    <s v="INV1102"/>
    <s v="28-05-2024"/>
    <s v="19ASDFG2468H1Z9"/>
    <s v="Eastern Distributors"/>
    <n v="16896.13"/>
    <n v="1520.65"/>
    <n v="1520.65"/>
    <n v="19937.43"/>
    <s v="Tally"/>
    <x v="0"/>
    <s v=""/>
    <x v="0"/>
    <s v=""/>
  </r>
  <r>
    <s v="INV1103"/>
    <s v="10-04-2024"/>
    <s v="24LMNOP4321K1Z7"/>
    <s v="Patel Industries"/>
    <n v="47058.239999999998"/>
    <n v="4235.24"/>
    <n v="4235.24"/>
    <n v="55528.72"/>
    <s v="Tally"/>
    <x v="0"/>
    <s v=""/>
    <x v="0"/>
    <s v=""/>
  </r>
  <r>
    <s v="INV1104"/>
    <s v="11-06-2024"/>
    <s v="24LMNOP4321K1Z7"/>
    <s v="Patel Industries"/>
    <n v="3049.25"/>
    <n v="274.43"/>
    <n v="274.43"/>
    <n v="3598.11"/>
    <s v="Tally"/>
    <x v="0"/>
    <s v=""/>
    <x v="0"/>
    <s v=""/>
  </r>
  <r>
    <s v="INV1105"/>
    <s v="12-05-2024"/>
    <s v="07ZXCVB9876M1Z3"/>
    <s v="Gupta Supplies"/>
    <n v="24144.29"/>
    <n v="2172.9899999999998"/>
    <n v="2172.9899999999998"/>
    <n v="28490.27"/>
    <s v="Tally"/>
    <x v="0"/>
    <s v=""/>
    <x v="0"/>
    <s v=""/>
  </r>
  <r>
    <s v="INV1106"/>
    <s v="27-05-2024"/>
    <s v="19ASDFG2468H1Z9"/>
    <s v="Eastern Distributors"/>
    <n v="49107.12"/>
    <n v="4419.6400000000003"/>
    <n v="4419.6400000000003"/>
    <n v="57946.400000000001"/>
    <s v="Tally"/>
    <x v="0"/>
    <s v="Matched"/>
    <x v="1"/>
    <n v="0"/>
  </r>
  <r>
    <s v="INV1107"/>
    <s v="12-06-2024"/>
    <s v="19ASDFG2468H1Z9"/>
    <s v="Eastern Distributors"/>
    <n v="13242.61"/>
    <n v="1191.83"/>
    <n v="1191.83"/>
    <n v="15626.27"/>
    <s v="Tally"/>
    <x v="0"/>
    <s v="Matched"/>
    <x v="1"/>
    <n v="0"/>
  </r>
  <r>
    <s v="INV1108"/>
    <s v="03-05-2024"/>
    <s v="19ASDFG2468H1Z9"/>
    <s v="Eastern Distributors"/>
    <n v="45305.05"/>
    <n v="4077.45"/>
    <n v="4077.45"/>
    <n v="53459.95"/>
    <s v="Tally"/>
    <x v="0"/>
    <s v=""/>
    <x v="0"/>
    <s v=""/>
  </r>
  <r>
    <s v="INV1109"/>
    <s v="19-05-2024"/>
    <s v="27ABCDE1234F1Z5"/>
    <s v="Sharma Traders"/>
    <n v="14180.68"/>
    <n v="1276.26"/>
    <n v="1276.26"/>
    <n v="16733.2"/>
    <s v="Tally"/>
    <x v="0"/>
    <s v=""/>
    <x v="0"/>
    <s v=""/>
  </r>
  <r>
    <s v="INV1110"/>
    <s v="07-04-2024"/>
    <s v="27ABCDE1234F1Z5"/>
    <s v="Sharma Traders"/>
    <n v="17817.560000000001"/>
    <n v="1603.58"/>
    <n v="1603.58"/>
    <n v="21024.720000000001"/>
    <s v="Tally"/>
    <x v="0"/>
    <s v=""/>
    <x v="0"/>
    <s v=""/>
  </r>
  <r>
    <s v="INV1111"/>
    <s v="10-04-2024"/>
    <s v="29PQRSX5678L1Z2"/>
    <s v="Kiran Enterprises"/>
    <n v="8614.41"/>
    <n v="775.3"/>
    <n v="775.3"/>
    <n v="10165.01"/>
    <s v="Tally"/>
    <x v="0"/>
    <s v=""/>
    <x v="0"/>
    <s v=""/>
  </r>
  <r>
    <s v="INV1112"/>
    <s v="24-06-2024"/>
    <s v="27ABCDE1234F1Z5"/>
    <s v="Sharma Traders"/>
    <n v="4767.2700000000004"/>
    <n v="429.05"/>
    <n v="429.05"/>
    <n v="5625.37"/>
    <s v="Tally"/>
    <x v="0"/>
    <s v=""/>
    <x v="0"/>
    <s v=""/>
  </r>
  <r>
    <s v="INV1113"/>
    <s v="15-05-2024"/>
    <s v="29PQRSX5678L1Z2"/>
    <s v="Kiran Enterprises"/>
    <n v="12689.1"/>
    <n v="1142.02"/>
    <n v="1142.02"/>
    <n v="14973.14"/>
    <s v="Tally"/>
    <x v="0"/>
    <s v=""/>
    <x v="0"/>
    <s v=""/>
  </r>
  <r>
    <s v="INV1114"/>
    <s v="28-06-2024"/>
    <s v="24LMNOP4321K1Z7"/>
    <s v="Patel Industries"/>
    <n v="5592.5"/>
    <n v="503.32"/>
    <n v="503.32"/>
    <n v="6599.14"/>
    <s v="Tally"/>
    <x v="0"/>
    <s v=""/>
    <x v="0"/>
    <s v=""/>
  </r>
  <r>
    <s v="INV1115"/>
    <s v="25-06-2024"/>
    <s v="29PQRSX5678L1Z2"/>
    <s v="Kiran Enterprises"/>
    <n v="30673.94"/>
    <n v="2760.65"/>
    <n v="2760.65"/>
    <n v="36195.24"/>
    <s v="Tally"/>
    <x v="0"/>
    <s v=""/>
    <x v="0"/>
    <s v=""/>
  </r>
  <r>
    <s v="INV1116"/>
    <s v="24-04-2024"/>
    <s v="19ASDFG2468H1Z9"/>
    <s v="Eastern Distributors"/>
    <n v="38301.43"/>
    <n v="3447.13"/>
    <n v="3447.13"/>
    <n v="45195.69"/>
    <s v="Tally"/>
    <x v="0"/>
    <s v=""/>
    <x v="0"/>
    <s v=""/>
  </r>
  <r>
    <s v="INV1117"/>
    <s v="13-05-2024"/>
    <s v="19ASDFG2468H1Z9"/>
    <s v="Eastern Distributors"/>
    <n v="34201.910000000003"/>
    <n v="3078.17"/>
    <n v="3078.17"/>
    <n v="40358.25"/>
    <s v="Tally"/>
    <x v="0"/>
    <s v=""/>
    <x v="0"/>
    <s v=""/>
  </r>
  <r>
    <s v="INV1118"/>
    <s v="16-04-2024"/>
    <s v="29PQRSX5678L1Z2"/>
    <s v="Kiran Enterprises"/>
    <n v="10214.33"/>
    <n v="919.29"/>
    <n v="919.29"/>
    <n v="12052.91"/>
    <s v="Tally"/>
    <x v="0"/>
    <s v=""/>
    <x v="0"/>
    <s v=""/>
  </r>
  <r>
    <s v="INV1119"/>
    <s v="11-04-2024"/>
    <s v="19ASDFG2468H1Z9"/>
    <s v="Eastern Distributors"/>
    <n v="10961.64"/>
    <n v="986.55"/>
    <n v="986.55"/>
    <n v="12934.74"/>
    <s v="Tally"/>
    <x v="0"/>
    <s v=""/>
    <x v="0"/>
    <s v=""/>
  </r>
  <r>
    <s v="INV1120"/>
    <s v="10-04-2024"/>
    <s v="24LMNOP4321K1Z7"/>
    <s v="Patel Industries"/>
    <n v="19990.240000000002"/>
    <n v="1799.12"/>
    <n v="1799.12"/>
    <n v="23588.48"/>
    <s v="Tally"/>
    <x v="0"/>
    <s v=""/>
    <x v="0"/>
    <s v=""/>
  </r>
  <r>
    <s v="INV1121"/>
    <s v="11-05-2024"/>
    <s v="19ASDFG2468H1Z9"/>
    <s v="Eastern Distributors"/>
    <n v="5922.37"/>
    <n v="533.01"/>
    <n v="533.01"/>
    <n v="6988.39"/>
    <s v="Tally"/>
    <x v="0"/>
    <s v=""/>
    <x v="0"/>
    <s v=""/>
  </r>
  <r>
    <s v="INV1122"/>
    <s v="10-04-2024"/>
    <s v="24LMNOP4321K1Z7"/>
    <s v="Patel Industries"/>
    <n v="41982.48"/>
    <n v="3778.42"/>
    <n v="3778.42"/>
    <n v="49539.32"/>
    <s v="Tally"/>
    <x v="0"/>
    <s v=""/>
    <x v="0"/>
    <s v=""/>
  </r>
  <r>
    <s v="INV1123"/>
    <s v="02-04-2024"/>
    <s v="24LMNOP4321K1Z7"/>
    <s v="Patel Industries"/>
    <n v="38965.550000000003"/>
    <n v="3506.9"/>
    <n v="3506.9"/>
    <n v="45979.35"/>
    <s v="Tally"/>
    <x v="0"/>
    <s v="Matched"/>
    <x v="1"/>
    <n v="0"/>
  </r>
  <r>
    <s v="INV1124"/>
    <s v="16-06-2024"/>
    <s v="07ZXCVB9876M1Z3"/>
    <s v="Gupta Supplies"/>
    <n v="20530.77"/>
    <n v="1847.77"/>
    <n v="1847.77"/>
    <n v="24226.31"/>
    <s v="Tally"/>
    <x v="0"/>
    <s v=""/>
    <x v="0"/>
    <s v=""/>
  </r>
  <r>
    <s v="INV1125"/>
    <s v="22-05-2024"/>
    <s v="19ASDFG2468H1Z9"/>
    <s v="Eastern Distributors"/>
    <n v="38008.300000000003"/>
    <n v="3420.75"/>
    <n v="3420.75"/>
    <n v="44849.8"/>
    <s v="Tally"/>
    <x v="0"/>
    <s v=""/>
    <x v="0"/>
    <s v=""/>
  </r>
  <r>
    <s v="INV1126"/>
    <s v="26-06-2024"/>
    <s v="24LMNOP4321K1Z7"/>
    <s v="Patel Industries"/>
    <n v="31223.21"/>
    <n v="2810.09"/>
    <n v="2810.09"/>
    <n v="36843.39"/>
    <s v="Tally"/>
    <x v="0"/>
    <s v=""/>
    <x v="0"/>
    <s v=""/>
  </r>
  <r>
    <s v="INV1127"/>
    <s v="10-04-2024"/>
    <s v="29PQRSX5678L1Z2"/>
    <s v="Kiran Enterprises"/>
    <n v="2341.7399999999998"/>
    <n v="210.76"/>
    <n v="210.76"/>
    <n v="2763.26"/>
    <s v="Tally"/>
    <x v="0"/>
    <s v=""/>
    <x v="0"/>
    <s v=""/>
  </r>
  <r>
    <s v="INV1128"/>
    <s v="13-04-2024"/>
    <s v="24LMNOP4321K1Z7"/>
    <s v="Patel Industries"/>
    <n v="8176.91"/>
    <n v="735.92"/>
    <n v="735.92"/>
    <n v="9648.75"/>
    <s v="Tally"/>
    <x v="0"/>
    <s v=""/>
    <x v="0"/>
    <s v=""/>
  </r>
  <r>
    <s v="INV1129"/>
    <s v="29-04-2024"/>
    <s v="27ABCDE1234F1Z5"/>
    <s v="Sharma Traders"/>
    <n v="27506.42"/>
    <n v="2475.58"/>
    <n v="2475.58"/>
    <n v="32457.58"/>
    <s v="Tally"/>
    <x v="0"/>
    <s v=""/>
    <x v="0"/>
    <s v=""/>
  </r>
  <r>
    <s v="INV1130"/>
    <s v="06-06-2024"/>
    <s v="07ZXCVB9876M1Z3"/>
    <s v="Gupta Supplies"/>
    <n v="27514.05"/>
    <n v="2476.2600000000002"/>
    <n v="2476.2600000000002"/>
    <n v="32466.57"/>
    <s v="Tally"/>
    <x v="0"/>
    <s v=""/>
    <x v="0"/>
    <s v=""/>
  </r>
  <r>
    <s v="INV1131"/>
    <s v="01-05-2024"/>
    <s v="07ZXCVB9876M1Z3"/>
    <s v="Gupta Supplies"/>
    <n v="49176.07"/>
    <n v="4425.8500000000004"/>
    <n v="4425.8500000000004"/>
    <n v="58027.77"/>
    <s v="Tally"/>
    <x v="0"/>
    <s v=""/>
    <x v="0"/>
    <s v=""/>
  </r>
  <r>
    <s v="INV1132"/>
    <s v="02-06-2024"/>
    <s v="24LMNOP4321K1Z7"/>
    <s v="Patel Industries"/>
    <n v="44464.6"/>
    <n v="4001.81"/>
    <n v="4001.81"/>
    <n v="52468.22"/>
    <s v="Tally"/>
    <x v="0"/>
    <s v=""/>
    <x v="0"/>
    <s v=""/>
  </r>
  <r>
    <s v="INV1133"/>
    <s v="28-04-2024"/>
    <s v="27ABCDE1234F1Z5"/>
    <s v="Sharma Traders"/>
    <n v="47113.82"/>
    <n v="4240.24"/>
    <n v="4240.24"/>
    <n v="55594.3"/>
    <s v="Tally"/>
    <x v="0"/>
    <s v=""/>
    <x v="0"/>
    <s v=""/>
  </r>
  <r>
    <s v="INV1134"/>
    <s v="19-05-2024"/>
    <s v="19ASDFG2468H1Z9"/>
    <s v="Eastern Distributors"/>
    <n v="47712.6"/>
    <n v="4294.13"/>
    <n v="4294.13"/>
    <n v="56300.86"/>
    <s v="Tally"/>
    <x v="0"/>
    <s v=""/>
    <x v="0"/>
    <s v=""/>
  </r>
  <r>
    <s v="INV1135"/>
    <s v="03-04-2024"/>
    <s v="27ABCDE1234F1Z5"/>
    <s v="Sharma Traders"/>
    <n v="22775.75"/>
    <n v="2049.8200000000002"/>
    <n v="2049.8200000000002"/>
    <n v="26875.39"/>
    <s v="Tally"/>
    <x v="0"/>
    <s v=""/>
    <x v="0"/>
    <s v=""/>
  </r>
  <r>
    <s v="INV1136"/>
    <s v="13-05-2024"/>
    <s v="07ZXCVB9876M1Z3"/>
    <s v="Gupta Supplies"/>
    <n v="35684.67"/>
    <n v="3211.62"/>
    <n v="3211.62"/>
    <n v="42107.91"/>
    <s v="Tally"/>
    <x v="0"/>
    <s v=""/>
    <x v="0"/>
    <s v=""/>
  </r>
  <r>
    <s v="INV1137"/>
    <s v="15-04-2024"/>
    <s v="19ASDFG2468H1Z9"/>
    <s v="Eastern Distributors"/>
    <n v="30143.56"/>
    <n v="2712.92"/>
    <n v="2712.92"/>
    <n v="35569.4"/>
    <s v="Tally"/>
    <x v="0"/>
    <s v=""/>
    <x v="0"/>
    <s v=""/>
  </r>
  <r>
    <s v="INV1138"/>
    <s v="11-05-2024"/>
    <s v="19ASDFG2468H1Z9"/>
    <s v="Eastern Distributors"/>
    <n v="4818.29"/>
    <n v="433.65"/>
    <n v="433.65"/>
    <n v="5685.59"/>
    <s v="Tally"/>
    <x v="0"/>
    <s v=""/>
    <x v="0"/>
    <s v=""/>
  </r>
  <r>
    <s v="INV1139"/>
    <s v="01-04-2024"/>
    <s v="07ZXCVB9876M1Z3"/>
    <s v="Gupta Supplies"/>
    <n v="7467.08"/>
    <n v="672.04"/>
    <n v="672.04"/>
    <n v="8811.16"/>
    <s v="Tally"/>
    <x v="0"/>
    <s v=""/>
    <x v="0"/>
    <s v=""/>
  </r>
  <r>
    <s v="INV1140"/>
    <s v="16-04-2024"/>
    <s v="24LMNOP4321K1Z7"/>
    <s v="Patel Industries"/>
    <n v="28382.5"/>
    <n v="2554.42"/>
    <n v="2554.42"/>
    <n v="33491.339999999997"/>
    <s v="Tally"/>
    <x v="0"/>
    <s v=""/>
    <x v="0"/>
    <s v=""/>
  </r>
  <r>
    <s v="INV1141"/>
    <s v="09-06-2024"/>
    <s v="29PQRSX5678L1Z2"/>
    <s v="Kiran Enterprises"/>
    <n v="22118"/>
    <n v="1990.62"/>
    <n v="1990.62"/>
    <n v="26099.24"/>
    <s v="Tally"/>
    <x v="0"/>
    <s v=""/>
    <x v="0"/>
    <s v=""/>
  </r>
  <r>
    <s v="INV1142"/>
    <s v="26-04-2024"/>
    <s v="29PQRSX5678L1Z2"/>
    <s v="Kiran Enterprises"/>
    <n v="20304.560000000001"/>
    <n v="1827.41"/>
    <n v="1827.41"/>
    <n v="23959.38"/>
    <s v="Tally"/>
    <x v="0"/>
    <s v=""/>
    <x v="0"/>
    <s v=""/>
  </r>
  <r>
    <s v="INV1143"/>
    <s v="27-04-2024"/>
    <s v="19ASDFG2468H1Z9"/>
    <s v="Eastern Distributors"/>
    <n v="13147.54"/>
    <n v="1183.28"/>
    <n v="1183.28"/>
    <n v="15514.1"/>
    <s v="Tally"/>
    <x v="0"/>
    <s v=""/>
    <x v="0"/>
    <s v=""/>
  </r>
  <r>
    <s v="INV1144"/>
    <s v="15-04-2024"/>
    <s v="19ASDFG2468H1Z9"/>
    <s v="Eastern Distributors"/>
    <n v="13876.49"/>
    <n v="1248.8800000000001"/>
    <n v="1248.8800000000001"/>
    <n v="16374.25"/>
    <s v="Tally"/>
    <x v="0"/>
    <s v=""/>
    <x v="0"/>
    <s v=""/>
  </r>
  <r>
    <s v="INV1145"/>
    <s v="11-04-2024"/>
    <s v="19ASDFG2468H1Z9"/>
    <s v="Eastern Distributors"/>
    <n v="49589.47"/>
    <n v="4463.05"/>
    <n v="4463.05"/>
    <n v="58515.57"/>
    <s v="Tally"/>
    <x v="0"/>
    <s v=""/>
    <x v="0"/>
    <s v=""/>
  </r>
  <r>
    <s v="INV1146"/>
    <s v="05-05-2024"/>
    <s v="07ZXCVB9876M1Z3"/>
    <s v="Gupta Supplies"/>
    <n v="33740.379999999997"/>
    <n v="3036.63"/>
    <n v="3036.63"/>
    <n v="39813.64"/>
    <s v="Tally"/>
    <x v="0"/>
    <s v="Matched"/>
    <x v="1"/>
    <n v="0"/>
  </r>
  <r>
    <s v="INV1147"/>
    <s v="25-05-2024"/>
    <s v="07ZXCVB9876M1Z3"/>
    <s v="Gupta Supplies"/>
    <n v="23799.17"/>
    <n v="2141.9299999999998"/>
    <n v="2141.9299999999998"/>
    <n v="28083.03"/>
    <s v="Tally"/>
    <x v="0"/>
    <s v=""/>
    <x v="0"/>
    <s v=""/>
  </r>
  <r>
    <s v="INV1148"/>
    <s v="07-04-2024"/>
    <s v="19ASDFG2468H1Z9"/>
    <s v="Eastern Distributors"/>
    <n v="8211.99"/>
    <n v="739.08"/>
    <n v="739.08"/>
    <n v="9690.15"/>
    <s v="Tally"/>
    <x v="0"/>
    <s v=""/>
    <x v="0"/>
    <s v=""/>
  </r>
  <r>
    <s v="INV1149"/>
    <s v="16-06-2024"/>
    <s v="27ABCDE1234F1Z5"/>
    <s v="Sharma Traders"/>
    <n v="35420.04"/>
    <n v="3187.8"/>
    <n v="3187.8"/>
    <n v="41795.64"/>
    <s v="Tally"/>
    <x v="0"/>
    <s v=""/>
    <x v="0"/>
    <s v=""/>
  </r>
  <r>
    <s v="INV1150"/>
    <s v="05-06-2024"/>
    <s v="19ASDFG2468H1Z9"/>
    <s v="Eastern Distributors"/>
    <n v="45742.6"/>
    <n v="4116.83"/>
    <n v="4116.83"/>
    <n v="53976.26"/>
    <s v="Tally"/>
    <x v="0"/>
    <s v=""/>
    <x v="0"/>
    <s v=""/>
  </r>
  <r>
    <s v="INV1151"/>
    <s v="28-05-2024"/>
    <s v="19ASDFG2468H1Z9"/>
    <s v="Eastern Distributors"/>
    <n v="46069.67"/>
    <n v="4146.2700000000004"/>
    <n v="4146.2700000000004"/>
    <n v="54362.21"/>
    <s v="Tally"/>
    <x v="0"/>
    <s v=""/>
    <x v="0"/>
    <s v=""/>
  </r>
  <r>
    <s v="INV1152"/>
    <s v="19-05-2024"/>
    <s v="27ABCDE1234F1Z5"/>
    <s v="Sharma Traders"/>
    <n v="3139.98"/>
    <n v="282.60000000000002"/>
    <n v="282.60000000000002"/>
    <n v="3705.18"/>
    <s v="Tally"/>
    <x v="0"/>
    <s v=""/>
    <x v="0"/>
    <s v=""/>
  </r>
  <r>
    <s v="INV1153"/>
    <s v="19-04-2024"/>
    <s v="27ABCDE1234F1Z5"/>
    <s v="Sharma Traders"/>
    <n v="47608.46"/>
    <n v="4284.76"/>
    <n v="4284.76"/>
    <n v="56177.98"/>
    <s v="Tally"/>
    <x v="0"/>
    <s v=""/>
    <x v="0"/>
    <s v=""/>
  </r>
  <r>
    <s v="INV1154"/>
    <s v="13-06-2024"/>
    <s v="27ABCDE1234F1Z5"/>
    <s v="Sharma Traders"/>
    <n v="38310.33"/>
    <n v="3447.93"/>
    <n v="3447.93"/>
    <n v="45206.19"/>
    <s v="Tally"/>
    <x v="0"/>
    <s v=""/>
    <x v="0"/>
    <s v=""/>
  </r>
  <r>
    <s v="INV1155"/>
    <s v="06-04-2024"/>
    <s v="07ZXCVB9876M1Z3"/>
    <s v="Gupta Supplies"/>
    <n v="32570.53"/>
    <n v="2931.35"/>
    <n v="2931.35"/>
    <n v="38433.230000000003"/>
    <s v="Tally"/>
    <x v="0"/>
    <s v=""/>
    <x v="0"/>
    <s v=""/>
  </r>
  <r>
    <s v="INV1156"/>
    <s v="12-05-2024"/>
    <s v="19ASDFG2468H1Z9"/>
    <s v="Eastern Distributors"/>
    <n v="5997.26"/>
    <n v="539.75"/>
    <n v="539.75"/>
    <n v="7076.76"/>
    <s v="Tally"/>
    <x v="0"/>
    <s v=""/>
    <x v="0"/>
    <s v=""/>
  </r>
  <r>
    <s v="INV1157"/>
    <s v="10-04-2024"/>
    <s v="19ASDFG2468H1Z9"/>
    <s v="Eastern Distributors"/>
    <n v="30012.38"/>
    <n v="2701.11"/>
    <n v="2701.11"/>
    <n v="35414.6"/>
    <s v="Tally"/>
    <x v="0"/>
    <s v=""/>
    <x v="0"/>
    <s v=""/>
  </r>
  <r>
    <s v="INV1158"/>
    <s v="24-06-2024"/>
    <s v="19ASDFG2468H1Z9"/>
    <s v="Eastern Distributors"/>
    <n v="16235.75"/>
    <n v="1461.22"/>
    <n v="1461.22"/>
    <n v="19158.189999999999"/>
    <s v="Tally"/>
    <x v="0"/>
    <s v=""/>
    <x v="0"/>
    <s v=""/>
  </r>
  <r>
    <s v="INV1159"/>
    <s v="08-04-2024"/>
    <s v="24LMNOP4321K1Z7"/>
    <s v="Patel Industries"/>
    <n v="22001.57"/>
    <n v="1980.14"/>
    <n v="1980.14"/>
    <n v="25961.85"/>
    <s v="Tally"/>
    <x v="0"/>
    <s v=""/>
    <x v="0"/>
    <s v=""/>
  </r>
  <r>
    <s v="INV1160"/>
    <s v="15-05-2024"/>
    <s v="19ASDFG2468H1Z9"/>
    <s v="Eastern Distributors"/>
    <n v="6011.29"/>
    <n v="541.02"/>
    <n v="541.02"/>
    <n v="7093.33"/>
    <s v="Tally"/>
    <x v="0"/>
    <s v=""/>
    <x v="0"/>
    <s v=""/>
  </r>
  <r>
    <s v="INV1161"/>
    <s v="29-04-2024"/>
    <s v="07ZXCVB9876M1Z3"/>
    <s v="Gupta Supplies"/>
    <n v="38781.81"/>
    <n v="3490.36"/>
    <n v="3490.36"/>
    <n v="45762.53"/>
    <s v="Tally"/>
    <x v="0"/>
    <s v=""/>
    <x v="0"/>
    <s v=""/>
  </r>
  <r>
    <s v="INV1162"/>
    <s v="29-06-2024"/>
    <s v="19ASDFG2468H1Z9"/>
    <s v="Eastern Distributors"/>
    <n v="9561.7099999999991"/>
    <n v="860.55"/>
    <n v="860.55"/>
    <n v="11282.81"/>
    <s v="Tally"/>
    <x v="0"/>
    <s v=""/>
    <x v="0"/>
    <s v=""/>
  </r>
  <r>
    <s v="INV1163"/>
    <s v="27-05-2024"/>
    <s v="27ABCDE1234F1Z5"/>
    <s v="Sharma Traders"/>
    <n v="9671.06"/>
    <n v="870.4"/>
    <n v="870.4"/>
    <n v="11411.86"/>
    <s v="Tally"/>
    <x v="0"/>
    <s v=""/>
    <x v="0"/>
    <s v=""/>
  </r>
  <r>
    <s v="INV1164"/>
    <s v="29-05-2024"/>
    <s v="07ZXCVB9876M1Z3"/>
    <s v="Gupta Supplies"/>
    <n v="45948.44"/>
    <n v="4135.3599999999997"/>
    <n v="4135.3599999999997"/>
    <n v="54219.16"/>
    <s v="Tally"/>
    <x v="0"/>
    <s v=""/>
    <x v="0"/>
    <s v=""/>
  </r>
  <r>
    <s v="INV1165"/>
    <s v="20-05-2024"/>
    <s v="27ABCDE1234F1Z5"/>
    <s v="Sharma Traders"/>
    <n v="30492.83"/>
    <n v="2744.35"/>
    <n v="2744.35"/>
    <n v="35981.53"/>
    <s v="Tally"/>
    <x v="0"/>
    <s v=""/>
    <x v="0"/>
    <s v=""/>
  </r>
  <r>
    <s v="INV1166"/>
    <s v="19-06-2024"/>
    <s v="27ABCDE1234F1Z5"/>
    <s v="Sharma Traders"/>
    <n v="43930.58"/>
    <n v="3953.75"/>
    <n v="3953.75"/>
    <n v="51838.080000000002"/>
    <s v="Tally"/>
    <x v="0"/>
    <s v=""/>
    <x v="0"/>
    <s v=""/>
  </r>
  <r>
    <s v="INV1167"/>
    <s v="30-04-2024"/>
    <s v="29PQRSX5678L1Z2"/>
    <s v="Kiran Enterprises"/>
    <n v="11173.41"/>
    <n v="1005.61"/>
    <n v="1005.61"/>
    <n v="13184.63"/>
    <s v="Tally"/>
    <x v="0"/>
    <s v=""/>
    <x v="0"/>
    <s v=""/>
  </r>
  <r>
    <s v="INV1168"/>
    <s v="28-05-2024"/>
    <s v="19ASDFG2468H1Z9"/>
    <s v="Eastern Distributors"/>
    <n v="22548.93"/>
    <n v="2029.4"/>
    <n v="2029.4"/>
    <n v="26607.73"/>
    <s v="Tally"/>
    <x v="0"/>
    <s v="Matched"/>
    <x v="1"/>
    <n v="0"/>
  </r>
  <r>
    <s v="INV1169"/>
    <s v="17-06-2024"/>
    <s v="07ZXCVB9876M1Z3"/>
    <s v="Gupta Supplies"/>
    <n v="5678.86"/>
    <n v="511.1"/>
    <n v="511.1"/>
    <n v="6701.06"/>
    <s v="Tally"/>
    <x v="0"/>
    <s v=""/>
    <x v="0"/>
    <s v=""/>
  </r>
  <r>
    <s v="INV1170"/>
    <s v="10-05-2024"/>
    <s v="29PQRSX5678L1Z2"/>
    <s v="Kiran Enterprises"/>
    <n v="33198.550000000003"/>
    <n v="2987.87"/>
    <n v="2987.87"/>
    <n v="39174.29"/>
    <s v="Tally"/>
    <x v="0"/>
    <s v=""/>
    <x v="0"/>
    <s v=""/>
  </r>
  <r>
    <s v="INV1171"/>
    <s v="16-05-2024"/>
    <s v="24LMNOP4321K1Z7"/>
    <s v="Patel Industries"/>
    <n v="5448.09"/>
    <n v="490.33"/>
    <n v="490.33"/>
    <n v="6428.75"/>
    <s v="Tally"/>
    <x v="0"/>
    <s v=""/>
    <x v="0"/>
    <s v=""/>
  </r>
  <r>
    <s v="INV1172"/>
    <s v="23-04-2024"/>
    <s v="29PQRSX5678L1Z2"/>
    <s v="Kiran Enterprises"/>
    <n v="29514.97"/>
    <n v="2656.35"/>
    <n v="2656.35"/>
    <n v="34827.67"/>
    <s v="Tally"/>
    <x v="0"/>
    <s v=""/>
    <x v="0"/>
    <s v=""/>
  </r>
  <r>
    <s v="INV1173"/>
    <s v="06-05-2024"/>
    <s v="24LMNOP4321K1Z7"/>
    <s v="Patel Industries"/>
    <n v="20803.75"/>
    <n v="1872.34"/>
    <n v="1872.34"/>
    <n v="24548.43"/>
    <s v="Tally"/>
    <x v="0"/>
    <s v=""/>
    <x v="0"/>
    <s v=""/>
  </r>
  <r>
    <s v="INV1174"/>
    <s v="23-05-2024"/>
    <s v="19ASDFG2468H1Z9"/>
    <s v="Eastern Distributors"/>
    <n v="30367.1"/>
    <n v="2733.04"/>
    <n v="2733.04"/>
    <n v="35833.18"/>
    <s v="Tally"/>
    <x v="0"/>
    <s v=""/>
    <x v="0"/>
    <s v=""/>
  </r>
  <r>
    <s v="INV1175"/>
    <s v="26-04-2024"/>
    <s v="29PQRSX5678L1Z2"/>
    <s v="Kiran Enterprises"/>
    <n v="48340.11"/>
    <n v="4350.6099999999997"/>
    <n v="4350.6099999999997"/>
    <n v="57041.33"/>
    <s v="Tally"/>
    <x v="0"/>
    <s v=""/>
    <x v="0"/>
    <s v=""/>
  </r>
  <r>
    <s v="INV1176"/>
    <s v="08-05-2024"/>
    <s v="27ABCDE1234F1Z5"/>
    <s v="Sharma Traders"/>
    <n v="18802.759999999998"/>
    <n v="1692.25"/>
    <n v="1692.25"/>
    <n v="22187.26"/>
    <s v="Tally"/>
    <x v="0"/>
    <s v=""/>
    <x v="0"/>
    <s v=""/>
  </r>
  <r>
    <s v="INV1177"/>
    <s v="10-06-2024"/>
    <s v="24LMNOP4321K1Z7"/>
    <s v="Patel Industries"/>
    <n v="30917.27"/>
    <n v="2782.55"/>
    <n v="2782.55"/>
    <n v="36482.370000000003"/>
    <s v="Tally"/>
    <x v="0"/>
    <s v=""/>
    <x v="0"/>
    <s v=""/>
  </r>
  <r>
    <s v="INV1178"/>
    <s v="13-05-2024"/>
    <s v="19ASDFG2468H1Z9"/>
    <s v="Eastern Distributors"/>
    <n v="34759.61"/>
    <n v="3128.36"/>
    <n v="3128.36"/>
    <n v="41016.33"/>
    <s v="Tally"/>
    <x v="0"/>
    <s v=""/>
    <x v="0"/>
    <s v=""/>
  </r>
  <r>
    <s v="INV1179"/>
    <s v="21-04-2024"/>
    <s v="27ABCDE1234F1Z5"/>
    <s v="Sharma Traders"/>
    <n v="16405.45"/>
    <n v="1476.49"/>
    <n v="1476.49"/>
    <n v="19358.43"/>
    <s v="Tally"/>
    <x v="0"/>
    <s v=""/>
    <x v="0"/>
    <s v=""/>
  </r>
  <r>
    <s v="INV1180"/>
    <s v="25-06-2024"/>
    <s v="27ABCDE1234F1Z5"/>
    <s v="Sharma Traders"/>
    <n v="19299.490000000002"/>
    <n v="1736.95"/>
    <n v="1736.95"/>
    <n v="22773.39"/>
    <s v="Tally"/>
    <x v="0"/>
    <s v=""/>
    <x v="0"/>
    <s v=""/>
  </r>
  <r>
    <s v="INV1181"/>
    <s v="05-04-2024"/>
    <s v="07ZXCVB9876M1Z3"/>
    <s v="Gupta Supplies"/>
    <n v="27351.45"/>
    <n v="2461.63"/>
    <n v="2461.63"/>
    <n v="32274.71"/>
    <s v="Tally"/>
    <x v="0"/>
    <s v=""/>
    <x v="0"/>
    <s v=""/>
  </r>
  <r>
    <s v="INV1182"/>
    <s v="05-04-2024"/>
    <s v="19ASDFG2468H1Z9"/>
    <s v="Eastern Distributors"/>
    <n v="23346.58"/>
    <n v="2101.19"/>
    <n v="2101.19"/>
    <n v="27548.959999999999"/>
    <s v="Tally"/>
    <x v="0"/>
    <s v=""/>
    <x v="0"/>
    <s v=""/>
  </r>
  <r>
    <s v="INV1183"/>
    <s v="25-06-2024"/>
    <s v="19ASDFG2468H1Z9"/>
    <s v="Eastern Distributors"/>
    <n v="38999.15"/>
    <n v="3509.92"/>
    <n v="3509.92"/>
    <n v="46018.99"/>
    <s v="Tally"/>
    <x v="0"/>
    <s v=""/>
    <x v="0"/>
    <s v=""/>
  </r>
  <r>
    <s v="INV1184"/>
    <s v="26-05-2024"/>
    <s v="24LMNOP4321K1Z7"/>
    <s v="Patel Industries"/>
    <n v="32711.71"/>
    <n v="2944.05"/>
    <n v="2944.05"/>
    <n v="38599.81"/>
    <s v="Tally"/>
    <x v="0"/>
    <s v=""/>
    <x v="0"/>
    <s v=""/>
  </r>
  <r>
    <s v="INV1185"/>
    <s v="14-04-2024"/>
    <s v="07ZXCVB9876M1Z3"/>
    <s v="Gupta Supplies"/>
    <n v="41013.74"/>
    <n v="3691.24"/>
    <n v="3691.24"/>
    <n v="48396.22"/>
    <s v="Tally"/>
    <x v="0"/>
    <s v=""/>
    <x v="0"/>
    <s v=""/>
  </r>
  <r>
    <s v="INV1186"/>
    <s v="20-04-2024"/>
    <s v="29PQRSX5678L1Z2"/>
    <s v="Kiran Enterprises"/>
    <n v="35378.230000000003"/>
    <n v="3184.04"/>
    <n v="3184.04"/>
    <n v="41746.31"/>
    <s v="Tally"/>
    <x v="0"/>
    <s v=""/>
    <x v="0"/>
    <s v=""/>
  </r>
  <r>
    <s v="INV1187"/>
    <s v="19-06-2024"/>
    <s v="07ZXCVB9876M1Z3"/>
    <s v="Gupta Supplies"/>
    <n v="37053.94"/>
    <n v="3334.85"/>
    <n v="3334.85"/>
    <n v="43723.64"/>
    <s v="Tally"/>
    <x v="0"/>
    <s v=""/>
    <x v="0"/>
    <s v=""/>
  </r>
  <r>
    <s v="INV1188"/>
    <s v="08-05-2024"/>
    <s v="29PQRSX5678L1Z2"/>
    <s v="Kiran Enterprises"/>
    <n v="47134.9"/>
    <n v="4242.1400000000003"/>
    <n v="4242.1400000000003"/>
    <n v="55619.18"/>
    <s v="Tally"/>
    <x v="0"/>
    <s v=""/>
    <x v="0"/>
    <s v=""/>
  </r>
  <r>
    <s v="INV1189"/>
    <s v="18-05-2024"/>
    <s v="07ZXCVB9876M1Z3"/>
    <s v="Gupta Supplies"/>
    <n v="9660.06"/>
    <n v="869.41"/>
    <n v="869.41"/>
    <n v="11398.88"/>
    <s v="Tally"/>
    <x v="0"/>
    <s v=""/>
    <x v="0"/>
    <s v=""/>
  </r>
  <r>
    <s v="INV1190"/>
    <s v="12-04-2024"/>
    <s v="29PQRSX5678L1Z2"/>
    <s v="Kiran Enterprises"/>
    <n v="20527.2"/>
    <n v="1847.45"/>
    <n v="1847.45"/>
    <n v="24222.1"/>
    <s v="Tally"/>
    <x v="0"/>
    <s v=""/>
    <x v="0"/>
    <s v=""/>
  </r>
  <r>
    <s v="INV1191"/>
    <s v="18-04-2024"/>
    <s v="27ABCDE1234F1Z5"/>
    <s v="Sharma Traders"/>
    <n v="6738.15"/>
    <n v="606.42999999999995"/>
    <n v="606.42999999999995"/>
    <n v="7951.01"/>
    <s v="Tally"/>
    <x v="0"/>
    <s v=""/>
    <x v="0"/>
    <s v=""/>
  </r>
  <r>
    <s v="INV1192"/>
    <s v="11-04-2024"/>
    <s v="29PQRSX5678L1Z2"/>
    <s v="Kiran Enterprises"/>
    <n v="45453.72"/>
    <n v="4090.83"/>
    <n v="4090.83"/>
    <n v="53635.38"/>
    <s v="Tally"/>
    <x v="0"/>
    <s v=""/>
    <x v="0"/>
    <s v=""/>
  </r>
  <r>
    <s v="INV1193"/>
    <s v="22-05-2024"/>
    <s v="29PQRSX5678L1Z2"/>
    <s v="Kiran Enterprises"/>
    <n v="18922.849999999999"/>
    <n v="1703.06"/>
    <n v="1703.06"/>
    <n v="22328.97"/>
    <s v="Tally"/>
    <x v="0"/>
    <s v=""/>
    <x v="0"/>
    <s v=""/>
  </r>
  <r>
    <s v="INV1194"/>
    <s v="14-04-2024"/>
    <s v="07ZXCVB9876M1Z3"/>
    <s v="Gupta Supplies"/>
    <n v="13533.61"/>
    <n v="1218.02"/>
    <n v="1218.02"/>
    <n v="15969.65"/>
    <s v="Tally"/>
    <x v="0"/>
    <s v=""/>
    <x v="0"/>
    <s v=""/>
  </r>
  <r>
    <s v="INV1195"/>
    <s v="16-05-2024"/>
    <s v="07ZXCVB9876M1Z3"/>
    <s v="Gupta Supplies"/>
    <n v="2226.9899999999998"/>
    <n v="200.43"/>
    <n v="200.43"/>
    <n v="2627.85"/>
    <s v="Tally"/>
    <x v="0"/>
    <s v=""/>
    <x v="0"/>
    <s v=""/>
  </r>
  <r>
    <s v="INV1196"/>
    <s v="12-06-2024"/>
    <s v="19ASDFG2468H1Z9"/>
    <s v="Eastern Distributors"/>
    <n v="1417.82"/>
    <n v="127.6"/>
    <n v="127.6"/>
    <n v="1673.02"/>
    <s v="Tally"/>
    <x v="0"/>
    <s v=""/>
    <x v="0"/>
    <s v=""/>
  </r>
  <r>
    <s v="INV1197"/>
    <s v="11-04-2024"/>
    <s v="19ASDFG2468H1Z9"/>
    <s v="Eastern Distributors"/>
    <n v="45323.6"/>
    <n v="4079.12"/>
    <n v="4079.12"/>
    <n v="53481.84"/>
    <s v="Tally"/>
    <x v="0"/>
    <s v=""/>
    <x v="0"/>
    <s v=""/>
  </r>
  <r>
    <s v="INV1198"/>
    <s v="09-06-2024"/>
    <s v="07ZXCVB9876M1Z3"/>
    <s v="Gupta Supplies"/>
    <n v="20341.29"/>
    <n v="1830.72"/>
    <n v="1830.72"/>
    <n v="24002.73"/>
    <s v="Tally"/>
    <x v="0"/>
    <s v=""/>
    <x v="0"/>
    <s v=""/>
  </r>
  <r>
    <s v="INV1199"/>
    <s v="14-06-2024"/>
    <s v="29PQRSX5678L1Z2"/>
    <s v="Kiran Enterprises"/>
    <n v="17723.39"/>
    <n v="1595.11"/>
    <n v="1595.11"/>
    <n v="20913.61"/>
    <s v="Tally"/>
    <x v="0"/>
    <s v=""/>
    <x v="0"/>
    <s v=""/>
  </r>
  <r>
    <s v="INV1200"/>
    <s v="23-05-2024"/>
    <s v="27ABCDE1234F1Z5"/>
    <s v="Sharma Traders"/>
    <n v="9459.85"/>
    <n v="851.39"/>
    <n v="851.39"/>
    <n v="11162.63"/>
    <s v="Tally"/>
    <x v="0"/>
    <s v=""/>
    <x v="0"/>
    <s v=""/>
  </r>
  <r>
    <s v="INV1201"/>
    <s v="04-05-2024"/>
    <s v="07ZXCVB9876M1Z3"/>
    <s v="Gupta Supplies"/>
    <n v="2957.26"/>
    <n v="266.14999999999998"/>
    <n v="266.14999999999998"/>
    <n v="3489.56"/>
    <s v="Tally"/>
    <x v="0"/>
    <s v=""/>
    <x v="0"/>
    <s v=""/>
  </r>
  <r>
    <s v="INV1202"/>
    <s v="14-05-2024"/>
    <s v="07ZXCVB9876M1Z3"/>
    <s v="Gupta Supplies"/>
    <n v="3982.01"/>
    <n v="358.38"/>
    <n v="358.38"/>
    <n v="4698.7700000000004"/>
    <s v="Tally"/>
    <x v="0"/>
    <s v=""/>
    <x v="0"/>
    <s v=""/>
  </r>
  <r>
    <s v="INV1203"/>
    <s v="10-04-2024"/>
    <s v="29PQRSX5678L1Z2"/>
    <s v="Kiran Enterprises"/>
    <n v="26341.67"/>
    <n v="2370.75"/>
    <n v="2370.75"/>
    <n v="31083.17"/>
    <s v="Tally"/>
    <x v="0"/>
    <s v=""/>
    <x v="0"/>
    <s v=""/>
  </r>
  <r>
    <s v="INV1204"/>
    <s v="10-05-2024"/>
    <s v="29PQRSX5678L1Z2"/>
    <s v="Kiran Enterprises"/>
    <n v="23644.28"/>
    <n v="2127.9899999999998"/>
    <n v="2127.9899999999998"/>
    <n v="27900.26"/>
    <s v="Tally"/>
    <x v="0"/>
    <s v=""/>
    <x v="0"/>
    <s v=""/>
  </r>
  <r>
    <s v="INV1205"/>
    <s v="08-05-2024"/>
    <s v="19ASDFG2468H1Z9"/>
    <s v="Eastern Distributors"/>
    <n v="31275.58"/>
    <n v="2814.8"/>
    <n v="2814.8"/>
    <n v="36905.18"/>
    <s v="Tally"/>
    <x v="0"/>
    <s v=""/>
    <x v="0"/>
    <s v=""/>
  </r>
  <r>
    <s v="INV1206"/>
    <s v="17-06-2024"/>
    <s v="19ASDFG2468H1Z9"/>
    <s v="Eastern Distributors"/>
    <n v="21938.69"/>
    <n v="1974.48"/>
    <n v="1974.48"/>
    <n v="25887.65"/>
    <s v="Tally"/>
    <x v="0"/>
    <s v=""/>
    <x v="0"/>
    <s v=""/>
  </r>
  <r>
    <s v="INV1207"/>
    <s v="29-06-2024"/>
    <s v="29PQRSX5678L1Z2"/>
    <s v="Kiran Enterprises"/>
    <n v="24208.84"/>
    <n v="2178.8000000000002"/>
    <n v="2178.8000000000002"/>
    <n v="28566.44"/>
    <s v="Tally"/>
    <x v="0"/>
    <s v=""/>
    <x v="0"/>
    <s v=""/>
  </r>
  <r>
    <s v="INV1208"/>
    <s v="25-04-2024"/>
    <s v="07ZXCVB9876M1Z3"/>
    <s v="Gupta Supplies"/>
    <n v="36328.53"/>
    <n v="3269.57"/>
    <n v="3269.57"/>
    <n v="42867.67"/>
    <s v="Tally"/>
    <x v="0"/>
    <s v=""/>
    <x v="0"/>
    <s v=""/>
  </r>
  <r>
    <s v="INV1209"/>
    <s v="17-05-2024"/>
    <s v="29PQRSX5678L1Z2"/>
    <s v="Kiran Enterprises"/>
    <n v="12343.86"/>
    <n v="1110.95"/>
    <n v="1110.95"/>
    <n v="14565.76"/>
    <s v="Tally"/>
    <x v="0"/>
    <s v=""/>
    <x v="0"/>
    <s v=""/>
  </r>
  <r>
    <s v="INV1210"/>
    <s v="02-04-2024"/>
    <s v="19ASDFG2468H1Z9"/>
    <s v="Eastern Distributors"/>
    <n v="18019.599999999999"/>
    <n v="1621.76"/>
    <n v="1621.76"/>
    <n v="21263.119999999999"/>
    <s v="Tally"/>
    <x v="0"/>
    <s v=""/>
    <x v="0"/>
    <s v=""/>
  </r>
  <r>
    <s v="INV1211"/>
    <s v="06-04-2024"/>
    <s v="29PQRSX5678L1Z2"/>
    <s v="Kiran Enterprises"/>
    <n v="15944.27"/>
    <n v="1434.98"/>
    <n v="1434.98"/>
    <n v="18814.23"/>
    <s v="Tally"/>
    <x v="0"/>
    <s v=""/>
    <x v="0"/>
    <s v=""/>
  </r>
  <r>
    <s v="INV1212"/>
    <s v="10-04-2024"/>
    <s v="29PQRSX5678L1Z2"/>
    <s v="Kiran Enterprises"/>
    <n v="32366.32"/>
    <n v="2912.97"/>
    <n v="2912.97"/>
    <n v="38192.26"/>
    <s v="Tally"/>
    <x v="0"/>
    <s v=""/>
    <x v="0"/>
    <s v=""/>
  </r>
  <r>
    <s v="INV1213"/>
    <s v="09-06-2024"/>
    <s v="29PQRSX5678L1Z2"/>
    <s v="Kiran Enterprises"/>
    <n v="38720.49"/>
    <n v="3484.84"/>
    <n v="3484.84"/>
    <n v="45690.17"/>
    <s v="Tally"/>
    <x v="0"/>
    <s v=""/>
    <x v="0"/>
    <s v=""/>
  </r>
  <r>
    <s v="INV1214"/>
    <s v="24-04-2024"/>
    <s v="24LMNOP4321K1Z7"/>
    <s v="Patel Industries"/>
    <n v="21682.68"/>
    <n v="1951.44"/>
    <n v="1951.44"/>
    <n v="25585.56"/>
    <s v="Tally"/>
    <x v="0"/>
    <s v=""/>
    <x v="0"/>
    <s v=""/>
  </r>
  <r>
    <s v="INV1215"/>
    <s v="07-06-2024"/>
    <s v="19ASDFG2468H1Z9"/>
    <s v="Eastern Distributors"/>
    <n v="8344.31"/>
    <n v="750.99"/>
    <n v="750.99"/>
    <n v="9846.2900000000009"/>
    <s v="Tally"/>
    <x v="0"/>
    <s v=""/>
    <x v="0"/>
    <s v=""/>
  </r>
  <r>
    <s v="INV1216"/>
    <s v="27-05-2024"/>
    <s v="19ASDFG2468H1Z9"/>
    <s v="Eastern Distributors"/>
    <n v="17857.29"/>
    <n v="1607.16"/>
    <n v="1607.16"/>
    <n v="21071.61"/>
    <s v="Tally"/>
    <x v="0"/>
    <s v=""/>
    <x v="0"/>
    <s v=""/>
  </r>
  <r>
    <s v="INV1217"/>
    <s v="17-04-2024"/>
    <s v="19ASDFG2468H1Z9"/>
    <s v="Eastern Distributors"/>
    <n v="3538.62"/>
    <n v="318.48"/>
    <n v="318.48"/>
    <n v="4175.58"/>
    <s v="Tally"/>
    <x v="0"/>
    <s v="Matched"/>
    <x v="1"/>
    <n v="0"/>
  </r>
  <r>
    <s v="INV1218"/>
    <s v="07-05-2024"/>
    <s v="29PQRSX5678L1Z2"/>
    <s v="Kiran Enterprises"/>
    <n v="20141.11"/>
    <n v="1812.7"/>
    <n v="1812.7"/>
    <n v="23766.51"/>
    <s v="Tally"/>
    <x v="0"/>
    <s v=""/>
    <x v="0"/>
    <s v=""/>
  </r>
  <r>
    <s v="INV1219"/>
    <s v="26-06-2024"/>
    <s v="19ASDFG2468H1Z9"/>
    <s v="Eastern Distributors"/>
    <n v="7351.22"/>
    <n v="661.61"/>
    <n v="661.61"/>
    <n v="8674.44"/>
    <s v="Tally"/>
    <x v="0"/>
    <s v=""/>
    <x v="0"/>
    <s v=""/>
  </r>
  <r>
    <s v="INV1220"/>
    <s v="20-04-2024"/>
    <s v="29PQRSX5678L1Z2"/>
    <s v="Kiran Enterprises"/>
    <n v="36446.15"/>
    <n v="3280.15"/>
    <n v="3280.15"/>
    <n v="43006.45"/>
    <s v="Tally"/>
    <x v="0"/>
    <s v=""/>
    <x v="0"/>
    <s v=""/>
  </r>
  <r>
    <s v="INV1221"/>
    <s v="21-05-2024"/>
    <s v="07ZXCVB9876M1Z3"/>
    <s v="Gupta Supplies"/>
    <n v="9342.43"/>
    <n v="840.82"/>
    <n v="840.82"/>
    <n v="11024.07"/>
    <s v="Tally"/>
    <x v="0"/>
    <s v=""/>
    <x v="0"/>
    <s v=""/>
  </r>
  <r>
    <s v="INV1222"/>
    <s v="21-05-2024"/>
    <s v="27ABCDE1234F1Z5"/>
    <s v="Sharma Traders"/>
    <n v="34797.71"/>
    <n v="3131.79"/>
    <n v="3131.79"/>
    <n v="41061.29"/>
    <s v="Tally"/>
    <x v="0"/>
    <s v=""/>
    <x v="0"/>
    <s v=""/>
  </r>
  <r>
    <s v="INV1223"/>
    <s v="05-04-2024"/>
    <s v="27ABCDE1234F1Z5"/>
    <s v="Sharma Traders"/>
    <n v="46403.1"/>
    <n v="4176.28"/>
    <n v="4176.28"/>
    <n v="54755.66"/>
    <s v="Tally"/>
    <x v="0"/>
    <s v=""/>
    <x v="0"/>
    <s v=""/>
  </r>
  <r>
    <s v="INV1224"/>
    <s v="03-04-2024"/>
    <s v="27ABCDE1234F1Z5"/>
    <s v="Sharma Traders"/>
    <n v="21444.38"/>
    <n v="1929.99"/>
    <n v="1929.99"/>
    <n v="25304.36"/>
    <s v="Tally"/>
    <x v="0"/>
    <s v=""/>
    <x v="0"/>
    <s v=""/>
  </r>
  <r>
    <s v="INV1225"/>
    <s v="20-05-2024"/>
    <s v="07ZXCVB9876M1Z3"/>
    <s v="Gupta Supplies"/>
    <n v="8108.53"/>
    <n v="729.77"/>
    <n v="729.77"/>
    <n v="9568.07"/>
    <s v="Tally"/>
    <x v="0"/>
    <s v=""/>
    <x v="0"/>
    <s v=""/>
  </r>
  <r>
    <s v="INV1226"/>
    <s v="04-06-2024"/>
    <s v="29PQRSX5678L1Z2"/>
    <s v="Kiran Enterprises"/>
    <n v="14845.35"/>
    <n v="1336.08"/>
    <n v="1336.08"/>
    <n v="17517.509999999998"/>
    <s v="Tally"/>
    <x v="0"/>
    <s v=""/>
    <x v="0"/>
    <s v=""/>
  </r>
  <r>
    <s v="INV1227"/>
    <s v="13-06-2024"/>
    <s v="19ASDFG2468H1Z9"/>
    <s v="Eastern Distributors"/>
    <n v="26430.48"/>
    <n v="2378.7399999999998"/>
    <n v="2378.7399999999998"/>
    <n v="31187.96"/>
    <s v="Tally"/>
    <x v="0"/>
    <s v=""/>
    <x v="0"/>
    <s v=""/>
  </r>
  <r>
    <s v="INV1228"/>
    <s v="07-06-2024"/>
    <s v="19ASDFG2468H1Z9"/>
    <s v="Eastern Distributors"/>
    <n v="37054.17"/>
    <n v="3334.88"/>
    <n v="3334.88"/>
    <n v="43723.93"/>
    <s v="Tally"/>
    <x v="0"/>
    <s v=""/>
    <x v="0"/>
    <s v=""/>
  </r>
  <r>
    <s v="INV1229"/>
    <s v="13-06-2024"/>
    <s v="29PQRSX5678L1Z2"/>
    <s v="Kiran Enterprises"/>
    <n v="34464.76"/>
    <n v="3101.83"/>
    <n v="3101.83"/>
    <n v="40668.42"/>
    <s v="Tally"/>
    <x v="0"/>
    <s v=""/>
    <x v="0"/>
    <s v=""/>
  </r>
  <r>
    <s v="INV1230"/>
    <s v="28-06-2024"/>
    <s v="24LMNOP4321K1Z7"/>
    <s v="Patel Industries"/>
    <n v="31758.31"/>
    <n v="2858.25"/>
    <n v="2858.25"/>
    <n v="37474.81"/>
    <s v="Tally"/>
    <x v="0"/>
    <s v=""/>
    <x v="0"/>
    <s v=""/>
  </r>
  <r>
    <s v="INV1231"/>
    <s v="03-05-2024"/>
    <s v="07ZXCVB9876M1Z3"/>
    <s v="Gupta Supplies"/>
    <n v="40189.93"/>
    <n v="3617.09"/>
    <n v="3617.09"/>
    <n v="47424.11"/>
    <s v="Tally"/>
    <x v="0"/>
    <s v=""/>
    <x v="0"/>
    <s v=""/>
  </r>
  <r>
    <s v="INV1232"/>
    <s v="18-06-2024"/>
    <s v="29PQRSX5678L1Z2"/>
    <s v="Kiran Enterprises"/>
    <n v="47240.25"/>
    <n v="4251.62"/>
    <n v="4251.62"/>
    <n v="55743.49"/>
    <s v="Tally"/>
    <x v="0"/>
    <s v=""/>
    <x v="0"/>
    <s v=""/>
  </r>
  <r>
    <s v="INV1233"/>
    <s v="01-06-2024"/>
    <s v="29PQRSX5678L1Z2"/>
    <s v="Kiran Enterprises"/>
    <n v="36242.53"/>
    <n v="3261.83"/>
    <n v="3261.83"/>
    <n v="42766.19"/>
    <s v="Tally"/>
    <x v="0"/>
    <s v=""/>
    <x v="0"/>
    <s v=""/>
  </r>
  <r>
    <s v="INV1234"/>
    <s v="14-05-2024"/>
    <s v="24LMNOP4321K1Z7"/>
    <s v="Patel Industries"/>
    <n v="40357.14"/>
    <n v="3632.14"/>
    <n v="3632.14"/>
    <n v="47621.42"/>
    <s v="Tally"/>
    <x v="0"/>
    <s v=""/>
    <x v="0"/>
    <s v=""/>
  </r>
  <r>
    <s v="INV1235"/>
    <s v="11-06-2024"/>
    <s v="27ABCDE1234F1Z5"/>
    <s v="Sharma Traders"/>
    <n v="47641.82"/>
    <n v="4287.76"/>
    <n v="4287.76"/>
    <n v="56217.34"/>
    <s v="Tally"/>
    <x v="0"/>
    <s v=""/>
    <x v="0"/>
    <s v=""/>
  </r>
  <r>
    <s v="INV1236"/>
    <s v="13-06-2024"/>
    <s v="19ASDFG2468H1Z9"/>
    <s v="Eastern Distributors"/>
    <n v="45506.27"/>
    <n v="4095.56"/>
    <n v="4095.56"/>
    <n v="53697.39"/>
    <s v="Tally"/>
    <x v="0"/>
    <s v=""/>
    <x v="0"/>
    <s v=""/>
  </r>
  <r>
    <s v="INV1237"/>
    <s v="09-05-2024"/>
    <s v="07ZXCVB9876M1Z3"/>
    <s v="Gupta Supplies"/>
    <n v="16307.26"/>
    <n v="1467.65"/>
    <n v="1467.65"/>
    <n v="19242.560000000001"/>
    <s v="Tally"/>
    <x v="0"/>
    <s v=""/>
    <x v="0"/>
    <s v=""/>
  </r>
  <r>
    <s v="INV1238"/>
    <s v="22-06-2024"/>
    <s v="07ZXCVB9876M1Z3"/>
    <s v="Gupta Supplies"/>
    <n v="6342.33"/>
    <n v="570.80999999999995"/>
    <n v="570.80999999999995"/>
    <n v="7483.95"/>
    <s v="Tally"/>
    <x v="0"/>
    <s v=""/>
    <x v="0"/>
    <s v=""/>
  </r>
  <r>
    <s v="INV1239"/>
    <s v="11-04-2024"/>
    <s v="27ABCDE1234F1Z5"/>
    <s v="Sharma Traders"/>
    <n v="25187.01"/>
    <n v="2266.83"/>
    <n v="2266.83"/>
    <n v="29720.67"/>
    <s v="Tally"/>
    <x v="0"/>
    <s v=""/>
    <x v="0"/>
    <s v=""/>
  </r>
  <r>
    <s v="INV1240"/>
    <s v="07-04-2024"/>
    <s v="07ZXCVB9876M1Z3"/>
    <s v="Gupta Supplies"/>
    <n v="34108.69"/>
    <n v="3069.78"/>
    <n v="3069.78"/>
    <n v="40248.25"/>
    <s v="Tally"/>
    <x v="0"/>
    <s v=""/>
    <x v="0"/>
    <s v=""/>
  </r>
  <r>
    <s v="INV1241"/>
    <s v="13-05-2024"/>
    <s v="19ASDFG2468H1Z9"/>
    <s v="Eastern Distributors"/>
    <n v="3350.28"/>
    <n v="301.52999999999997"/>
    <n v="301.52999999999997"/>
    <n v="3953.34"/>
    <s v="Tally"/>
    <x v="0"/>
    <s v=""/>
    <x v="0"/>
    <s v=""/>
  </r>
  <r>
    <s v="INV1242"/>
    <s v="07-05-2024"/>
    <s v="29PQRSX5678L1Z2"/>
    <s v="Kiran Enterprises"/>
    <n v="49970.97"/>
    <n v="4497.3900000000003"/>
    <n v="4497.3900000000003"/>
    <n v="58965.75"/>
    <s v="Tally"/>
    <x v="0"/>
    <s v=""/>
    <x v="0"/>
    <s v=""/>
  </r>
  <r>
    <s v="INV1243"/>
    <s v="26-06-2024"/>
    <s v="19ASDFG2468H1Z9"/>
    <s v="Eastern Distributors"/>
    <n v="8951.81"/>
    <n v="805.66"/>
    <n v="805.66"/>
    <n v="10563.13"/>
    <s v="Tally"/>
    <x v="0"/>
    <s v="Matched"/>
    <x v="1"/>
    <n v="0"/>
  </r>
  <r>
    <s v="INV1244"/>
    <s v="20-06-2024"/>
    <s v="07ZXCVB9876M1Z3"/>
    <s v="Gupta Supplies"/>
    <n v="28602.66"/>
    <n v="2574.2399999999998"/>
    <n v="2574.2399999999998"/>
    <n v="33751.14"/>
    <s v="Tally"/>
    <x v="0"/>
    <s v=""/>
    <x v="0"/>
    <s v=""/>
  </r>
  <r>
    <s v="INV1245"/>
    <s v="09-04-2024"/>
    <s v="19ASDFG2468H1Z9"/>
    <s v="Eastern Distributors"/>
    <n v="9898.69"/>
    <n v="890.88"/>
    <n v="890.88"/>
    <n v="11680.45"/>
    <s v="Tally"/>
    <x v="0"/>
    <s v="Matched"/>
    <x v="1"/>
    <n v="0"/>
  </r>
  <r>
    <s v="INV1246"/>
    <s v="29-04-2024"/>
    <s v="24LMNOP4321K1Z7"/>
    <s v="Patel Industries"/>
    <n v="48810.26"/>
    <n v="4392.92"/>
    <n v="4392.92"/>
    <n v="57596.1"/>
    <s v="Tally"/>
    <x v="0"/>
    <s v=""/>
    <x v="0"/>
    <s v=""/>
  </r>
  <r>
    <s v="INV1247"/>
    <s v="14-04-2024"/>
    <s v="29PQRSX5678L1Z2"/>
    <s v="Kiran Enterprises"/>
    <n v="48488.39"/>
    <n v="4363.96"/>
    <n v="4363.96"/>
    <n v="57216.31"/>
    <s v="Tally"/>
    <x v="0"/>
    <s v=""/>
    <x v="0"/>
    <s v=""/>
  </r>
  <r>
    <s v="INV1248"/>
    <s v="22-04-2024"/>
    <s v="19ASDFG2468H1Z9"/>
    <s v="Eastern Distributors"/>
    <n v="4027.77"/>
    <n v="362.5"/>
    <n v="362.5"/>
    <n v="4752.7700000000004"/>
    <s v="Tally"/>
    <x v="0"/>
    <s v=""/>
    <x v="0"/>
    <s v=""/>
  </r>
  <r>
    <s v="INV1249"/>
    <s v="14-04-2024"/>
    <s v="29PQRSX5678L1Z2"/>
    <s v="Kiran Enterprises"/>
    <n v="46436.73"/>
    <n v="4179.3100000000004"/>
    <n v="4179.3100000000004"/>
    <n v="54795.35"/>
    <s v="Tally"/>
    <x v="0"/>
    <s v=""/>
    <x v="0"/>
    <s v=""/>
  </r>
  <r>
    <s v="INV1250"/>
    <s v="03-05-2024"/>
    <s v="19ASDFG2468H1Z9"/>
    <s v="Eastern Distributors"/>
    <n v="30346.03"/>
    <n v="2731.14"/>
    <n v="2731.14"/>
    <n v="35808.31"/>
    <s v="Tally"/>
    <x v="0"/>
    <s v=""/>
    <x v="0"/>
    <s v=""/>
  </r>
  <r>
    <s v="INV1251"/>
    <s v="04-05-2024"/>
    <s v="29PQRSX5678L1Z2"/>
    <s v="Kiran Enterprises"/>
    <n v="49998.559999999998"/>
    <n v="4499.87"/>
    <n v="4499.87"/>
    <n v="58998.3"/>
    <s v="Tally"/>
    <x v="0"/>
    <s v=""/>
    <x v="0"/>
    <s v=""/>
  </r>
  <r>
    <s v="INV1252"/>
    <s v="27-06-2024"/>
    <s v="24LMNOP4321K1Z7"/>
    <s v="Patel Industries"/>
    <n v="11885.83"/>
    <n v="1069.72"/>
    <n v="1069.72"/>
    <n v="14025.27"/>
    <s v="Tally"/>
    <x v="0"/>
    <s v=""/>
    <x v="0"/>
    <s v=""/>
  </r>
  <r>
    <s v="INV1253"/>
    <s v="02-04-2024"/>
    <s v="07ZXCVB9876M1Z3"/>
    <s v="Gupta Supplies"/>
    <n v="11530.39"/>
    <n v="1037.74"/>
    <n v="1037.74"/>
    <n v="13605.87"/>
    <s v="Tally"/>
    <x v="0"/>
    <s v=""/>
    <x v="0"/>
    <s v=""/>
  </r>
  <r>
    <s v="INV1254"/>
    <s v="14-04-2024"/>
    <s v="24LMNOP4321K1Z7"/>
    <s v="Patel Industries"/>
    <n v="20530.34"/>
    <n v="1847.73"/>
    <n v="1847.73"/>
    <n v="24225.8"/>
    <s v="Tally"/>
    <x v="0"/>
    <s v=""/>
    <x v="0"/>
    <s v=""/>
  </r>
  <r>
    <s v="INV1255"/>
    <s v="06-04-2024"/>
    <s v="07ZXCVB9876M1Z3"/>
    <s v="Gupta Supplies"/>
    <n v="2230.87"/>
    <n v="200.78"/>
    <n v="200.78"/>
    <n v="2632.43"/>
    <s v="Tally"/>
    <x v="0"/>
    <s v=""/>
    <x v="0"/>
    <s v=""/>
  </r>
  <r>
    <s v="INV1256"/>
    <s v="09-06-2024"/>
    <s v="07ZXCVB9876M1Z3"/>
    <s v="Gupta Supplies"/>
    <n v="44677.31"/>
    <n v="4020.96"/>
    <n v="4020.96"/>
    <n v="52719.23"/>
    <s v="Tally"/>
    <x v="0"/>
    <s v=""/>
    <x v="0"/>
    <s v=""/>
  </r>
  <r>
    <s v="INV1257"/>
    <s v="15-05-2024"/>
    <s v="29PQRSX5678L1Z2"/>
    <s v="Kiran Enterprises"/>
    <n v="14573"/>
    <n v="1311.57"/>
    <n v="1311.57"/>
    <n v="17196.14"/>
    <s v="Tally"/>
    <x v="0"/>
    <s v=""/>
    <x v="0"/>
    <s v=""/>
  </r>
  <r>
    <s v="INV1258"/>
    <s v="12-04-2024"/>
    <s v="24LMNOP4321K1Z7"/>
    <s v="Patel Industries"/>
    <n v="15459.13"/>
    <n v="1391.32"/>
    <n v="1391.32"/>
    <n v="18241.77"/>
    <s v="Tally"/>
    <x v="0"/>
    <s v="Matched"/>
    <x v="1"/>
    <n v="0"/>
  </r>
  <r>
    <s v="INV1259"/>
    <s v="22-05-2024"/>
    <s v="07ZXCVB9876M1Z3"/>
    <s v="Gupta Supplies"/>
    <n v="25393.26"/>
    <n v="2285.39"/>
    <n v="2285.39"/>
    <n v="29964.04"/>
    <s v="Tally"/>
    <x v="0"/>
    <s v=""/>
    <x v="0"/>
    <s v=""/>
  </r>
  <r>
    <s v="INV1260"/>
    <s v="21-05-2024"/>
    <s v="19ASDFG2468H1Z9"/>
    <s v="Eastern Distributors"/>
    <n v="38773.83"/>
    <n v="3489.64"/>
    <n v="3489.64"/>
    <n v="45753.11"/>
    <s v="Tally"/>
    <x v="0"/>
    <s v=""/>
    <x v="0"/>
    <s v=""/>
  </r>
  <r>
    <s v="INV1261"/>
    <s v="01-05-2024"/>
    <s v="27ABCDE1234F1Z5"/>
    <s v="Sharma Traders"/>
    <n v="27999.51"/>
    <n v="2519.96"/>
    <n v="2519.96"/>
    <n v="33039.43"/>
    <s v="Tally"/>
    <x v="0"/>
    <s v=""/>
    <x v="0"/>
    <s v=""/>
  </r>
  <r>
    <s v="INV1262"/>
    <s v="25-04-2024"/>
    <s v="19ASDFG2468H1Z9"/>
    <s v="Eastern Distributors"/>
    <n v="4311.07"/>
    <n v="388"/>
    <n v="388"/>
    <n v="5087.07"/>
    <s v="Tally"/>
    <x v="0"/>
    <s v=""/>
    <x v="0"/>
    <s v=""/>
  </r>
  <r>
    <s v="INV1263"/>
    <s v="12-06-2024"/>
    <s v="07ZXCVB9876M1Z3"/>
    <s v="Gupta Supplies"/>
    <n v="46607.95"/>
    <n v="4194.72"/>
    <n v="4194.72"/>
    <n v="54997.39"/>
    <s v="Tally"/>
    <x v="0"/>
    <s v=""/>
    <x v="0"/>
    <s v=""/>
  </r>
  <r>
    <s v="INV1264"/>
    <s v="12-05-2024"/>
    <s v="07ZXCVB9876M1Z3"/>
    <s v="Gupta Supplies"/>
    <n v="17445.150000000001"/>
    <n v="1570.06"/>
    <n v="1570.06"/>
    <n v="20585.27"/>
    <s v="Tally"/>
    <x v="0"/>
    <s v=""/>
    <x v="0"/>
    <s v=""/>
  </r>
  <r>
    <s v="INV1265"/>
    <s v="09-06-2024"/>
    <s v="24LMNOP4321K1Z7"/>
    <s v="Patel Industries"/>
    <n v="43124.01"/>
    <n v="3881.16"/>
    <n v="3881.16"/>
    <n v="50886.33"/>
    <s v="Tally"/>
    <x v="0"/>
    <s v=""/>
    <x v="0"/>
    <s v=""/>
  </r>
  <r>
    <s v="INV1266"/>
    <s v="18-05-2024"/>
    <s v="27ABCDE1234F1Z5"/>
    <s v="Sharma Traders"/>
    <n v="26496.01"/>
    <n v="2384.64"/>
    <n v="2384.64"/>
    <n v="31265.29"/>
    <s v="Tally"/>
    <x v="0"/>
    <s v=""/>
    <x v="0"/>
    <s v=""/>
  </r>
  <r>
    <s v="INV1267"/>
    <s v="12-06-2024"/>
    <s v="29PQRSX5678L1Z2"/>
    <s v="Kiran Enterprises"/>
    <n v="30064.14"/>
    <n v="2705.77"/>
    <n v="2705.77"/>
    <n v="35475.68"/>
    <s v="Tally"/>
    <x v="0"/>
    <s v=""/>
    <x v="0"/>
    <s v=""/>
  </r>
  <r>
    <s v="INV1268"/>
    <s v="05-05-2024"/>
    <s v="07ZXCVB9876M1Z3"/>
    <s v="Gupta Supplies"/>
    <n v="24792.89"/>
    <n v="2231.36"/>
    <n v="2231.36"/>
    <n v="29255.61"/>
    <s v="Tally"/>
    <x v="0"/>
    <s v=""/>
    <x v="0"/>
    <s v=""/>
  </r>
  <r>
    <s v="INV1269"/>
    <s v="05-05-2024"/>
    <s v="29PQRSX5678L1Z2"/>
    <s v="Kiran Enterprises"/>
    <n v="12390.76"/>
    <n v="1115.17"/>
    <n v="1115.17"/>
    <n v="14621.1"/>
    <s v="Tally"/>
    <x v="0"/>
    <s v="Matched"/>
    <x v="1"/>
    <n v="0"/>
  </r>
  <r>
    <s v="INV1270"/>
    <s v="27-06-2024"/>
    <s v="24LMNOP4321K1Z7"/>
    <s v="Patel Industries"/>
    <n v="37856.22"/>
    <n v="3407.06"/>
    <n v="3407.06"/>
    <n v="44670.34"/>
    <s v="Tally"/>
    <x v="0"/>
    <s v=""/>
    <x v="0"/>
    <s v=""/>
  </r>
  <r>
    <s v="INV1271"/>
    <s v="28-05-2024"/>
    <s v="27ABCDE1234F1Z5"/>
    <s v="Sharma Traders"/>
    <n v="49292.08"/>
    <n v="4436.29"/>
    <n v="4436.29"/>
    <n v="58164.66"/>
    <s v="Tally"/>
    <x v="0"/>
    <s v=""/>
    <x v="0"/>
    <s v=""/>
  </r>
  <r>
    <s v="INV1272"/>
    <s v="16-05-2024"/>
    <s v="29PQRSX5678L1Z2"/>
    <s v="Kiran Enterprises"/>
    <n v="39910.29"/>
    <n v="3591.93"/>
    <n v="3591.93"/>
    <n v="47094.15"/>
    <s v="Tally"/>
    <x v="0"/>
    <s v=""/>
    <x v="0"/>
    <s v=""/>
  </r>
  <r>
    <s v="INV1273"/>
    <s v="25-06-2024"/>
    <s v="19ASDFG2468H1Z9"/>
    <s v="Eastern Distributors"/>
    <n v="30154.57"/>
    <n v="2713.91"/>
    <n v="2713.91"/>
    <n v="35582.39"/>
    <s v="Tally"/>
    <x v="0"/>
    <s v=""/>
    <x v="0"/>
    <s v=""/>
  </r>
  <r>
    <s v="INV1274"/>
    <s v="09-06-2024"/>
    <s v="29PQRSX5678L1Z2"/>
    <s v="Kiran Enterprises"/>
    <n v="26331.279999999999"/>
    <n v="2369.8200000000002"/>
    <n v="2369.8200000000002"/>
    <n v="31070.92"/>
    <s v="Tally"/>
    <x v="0"/>
    <s v=""/>
    <x v="0"/>
    <s v=""/>
  </r>
  <r>
    <s v="INV1275"/>
    <s v="08-04-2024"/>
    <s v="24LMNOP4321K1Z7"/>
    <s v="Patel Industries"/>
    <n v="6152.17"/>
    <n v="553.70000000000005"/>
    <n v="553.70000000000005"/>
    <n v="7259.57"/>
    <s v="Tally"/>
    <x v="0"/>
    <s v=""/>
    <x v="0"/>
    <s v=""/>
  </r>
  <r>
    <s v="INV1276"/>
    <s v="26-06-2024"/>
    <s v="24LMNOP4321K1Z7"/>
    <s v="Patel Industries"/>
    <n v="4469.43"/>
    <n v="402.25"/>
    <n v="402.25"/>
    <n v="5273.93"/>
    <s v="Tally"/>
    <x v="0"/>
    <s v="Matched"/>
    <x v="1"/>
    <n v="0"/>
  </r>
  <r>
    <s v="INV1277"/>
    <s v="27-06-2024"/>
    <s v="19ASDFG2468H1Z9"/>
    <s v="Eastern Distributors"/>
    <n v="46718.83"/>
    <n v="4204.6899999999996"/>
    <n v="4204.6899999999996"/>
    <n v="55128.21"/>
    <s v="Tally"/>
    <x v="0"/>
    <s v=""/>
    <x v="0"/>
    <s v=""/>
  </r>
  <r>
    <s v="INV1278"/>
    <s v="14-05-2024"/>
    <s v="27ABCDE1234F1Z5"/>
    <s v="Sharma Traders"/>
    <n v="2934.21"/>
    <n v="264.08"/>
    <n v="264.08"/>
    <n v="3462.37"/>
    <s v="Tally"/>
    <x v="0"/>
    <s v=""/>
    <x v="0"/>
    <s v=""/>
  </r>
  <r>
    <s v="INV1279"/>
    <s v="15-04-2024"/>
    <s v="29PQRSX5678L1Z2"/>
    <s v="Kiran Enterprises"/>
    <n v="28726.47"/>
    <n v="2585.38"/>
    <n v="2585.38"/>
    <n v="33897.230000000003"/>
    <s v="Tally"/>
    <x v="0"/>
    <s v=""/>
    <x v="0"/>
    <s v=""/>
  </r>
  <r>
    <s v="INV1280"/>
    <s v="11-05-2024"/>
    <s v="19ASDFG2468H1Z9"/>
    <s v="Eastern Distributors"/>
    <n v="14458.79"/>
    <n v="1301.29"/>
    <n v="1301.29"/>
    <n v="17061.37"/>
    <s v="Tally"/>
    <x v="0"/>
    <s v=""/>
    <x v="0"/>
    <s v=""/>
  </r>
  <r>
    <s v="INV1281"/>
    <s v="07-06-2024"/>
    <s v="19ASDFG2468H1Z9"/>
    <s v="Eastern Distributors"/>
    <n v="43594.58"/>
    <n v="3923.51"/>
    <n v="3923.51"/>
    <n v="51441.599999999999"/>
    <s v="Tally"/>
    <x v="0"/>
    <s v=""/>
    <x v="0"/>
    <s v=""/>
  </r>
  <r>
    <s v="INV1282"/>
    <s v="23-04-2024"/>
    <s v="29PQRSX5678L1Z2"/>
    <s v="Kiran Enterprises"/>
    <n v="20529.39"/>
    <n v="1847.65"/>
    <n v="1847.65"/>
    <n v="24224.69"/>
    <s v="Tally"/>
    <x v="0"/>
    <s v=""/>
    <x v="0"/>
    <s v=""/>
  </r>
  <r>
    <s v="INV1283"/>
    <s v="22-04-2024"/>
    <s v="19ASDFG2468H1Z9"/>
    <s v="Eastern Distributors"/>
    <n v="45085.57"/>
    <n v="4057.7"/>
    <n v="4057.7"/>
    <n v="53200.97"/>
    <s v="Tally"/>
    <x v="0"/>
    <s v=""/>
    <x v="0"/>
    <s v=""/>
  </r>
  <r>
    <s v="INV1284"/>
    <s v="03-06-2024"/>
    <s v="27ABCDE1234F1Z5"/>
    <s v="Sharma Traders"/>
    <n v="47618.400000000001"/>
    <n v="4285.66"/>
    <n v="4285.66"/>
    <n v="56189.72"/>
    <s v="Tally"/>
    <x v="0"/>
    <s v=""/>
    <x v="0"/>
    <s v=""/>
  </r>
  <r>
    <s v="INV1285"/>
    <s v="10-04-2024"/>
    <s v="07ZXCVB9876M1Z3"/>
    <s v="Gupta Supplies"/>
    <n v="24879.360000000001"/>
    <n v="2239.14"/>
    <n v="2239.14"/>
    <n v="29357.64"/>
    <s v="Tally"/>
    <x v="0"/>
    <s v=""/>
    <x v="0"/>
    <s v=""/>
  </r>
  <r>
    <s v="INV1286"/>
    <s v="19-05-2024"/>
    <s v="07ZXCVB9876M1Z3"/>
    <s v="Gupta Supplies"/>
    <n v="11914.88"/>
    <n v="1072.3399999999999"/>
    <n v="1072.3399999999999"/>
    <n v="14059.56"/>
    <s v="Tally"/>
    <x v="0"/>
    <s v=""/>
    <x v="0"/>
    <s v=""/>
  </r>
  <r>
    <s v="INV1287"/>
    <s v="06-05-2024"/>
    <s v="19ASDFG2468H1Z9"/>
    <s v="Eastern Distributors"/>
    <n v="3392.96"/>
    <n v="305.37"/>
    <n v="305.37"/>
    <n v="4003.7"/>
    <s v="Tally"/>
    <x v="0"/>
    <s v=""/>
    <x v="0"/>
    <s v=""/>
  </r>
  <r>
    <s v="INV1288"/>
    <s v="13-05-2024"/>
    <s v="29PQRSX5678L1Z2"/>
    <s v="Kiran Enterprises"/>
    <n v="47050.92"/>
    <n v="4234.58"/>
    <n v="4234.58"/>
    <n v="55520.08"/>
    <s v="Tally"/>
    <x v="0"/>
    <s v="Matched"/>
    <x v="1"/>
    <n v="0"/>
  </r>
  <r>
    <s v="INV1289"/>
    <s v="25-06-2024"/>
    <s v="07ZXCVB9876M1Z3"/>
    <s v="Gupta Supplies"/>
    <n v="18240.490000000002"/>
    <n v="1641.64"/>
    <n v="1641.64"/>
    <n v="21523.77"/>
    <s v="Tally"/>
    <x v="0"/>
    <s v=""/>
    <x v="0"/>
    <s v=""/>
  </r>
  <r>
    <s v="INV1290"/>
    <s v="08-06-2024"/>
    <s v="29PQRSX5678L1Z2"/>
    <s v="Kiran Enterprises"/>
    <n v="28097.18"/>
    <n v="2528.75"/>
    <n v="2528.75"/>
    <n v="33154.68"/>
    <s v="Tally"/>
    <x v="0"/>
    <s v=""/>
    <x v="0"/>
    <s v=""/>
  </r>
  <r>
    <s v="INV1291"/>
    <s v="18-06-2024"/>
    <s v="29PQRSX5678L1Z2"/>
    <s v="Kiran Enterprises"/>
    <n v="38571.760000000002"/>
    <n v="3471.46"/>
    <n v="3471.46"/>
    <n v="45514.68"/>
    <s v="Tally"/>
    <x v="0"/>
    <s v=""/>
    <x v="0"/>
    <s v=""/>
  </r>
  <r>
    <s v="INV1292"/>
    <s v="02-06-2024"/>
    <s v="29PQRSX5678L1Z2"/>
    <s v="Kiran Enterprises"/>
    <n v="11288.73"/>
    <n v="1015.99"/>
    <n v="1015.99"/>
    <n v="13320.71"/>
    <s v="Tally"/>
    <x v="0"/>
    <s v=""/>
    <x v="0"/>
    <s v=""/>
  </r>
  <r>
    <s v="INV1293"/>
    <s v="29-06-2024"/>
    <s v="19ASDFG2468H1Z9"/>
    <s v="Eastern Distributors"/>
    <n v="26961.97"/>
    <n v="2426.58"/>
    <n v="2426.58"/>
    <n v="31815.13"/>
    <s v="Tally"/>
    <x v="0"/>
    <s v=""/>
    <x v="0"/>
    <s v=""/>
  </r>
  <r>
    <s v="INV1294"/>
    <s v="16-04-2024"/>
    <s v="24LMNOP4321K1Z7"/>
    <s v="Patel Industries"/>
    <n v="5023.0200000000004"/>
    <n v="452.07"/>
    <n v="452.07"/>
    <n v="5927.16"/>
    <s v="Tally"/>
    <x v="0"/>
    <s v=""/>
    <x v="0"/>
    <s v=""/>
  </r>
  <r>
    <s v="INV1295"/>
    <s v="19-05-2024"/>
    <s v="19ASDFG2468H1Z9"/>
    <s v="Eastern Distributors"/>
    <n v="23059.78"/>
    <n v="2075.38"/>
    <n v="2075.38"/>
    <n v="27210.54"/>
    <s v="Tally"/>
    <x v="0"/>
    <s v=""/>
    <x v="0"/>
    <s v=""/>
  </r>
  <r>
    <s v="INV1296"/>
    <s v="02-04-2024"/>
    <s v="27ABCDE1234F1Z5"/>
    <s v="Sharma Traders"/>
    <n v="6903.32"/>
    <n v="621.29999999999995"/>
    <n v="621.29999999999995"/>
    <n v="8145.92"/>
    <s v="Tally"/>
    <x v="0"/>
    <s v=""/>
    <x v="0"/>
    <s v=""/>
  </r>
  <r>
    <s v="INV1297"/>
    <s v="19-06-2024"/>
    <s v="24LMNOP4321K1Z7"/>
    <s v="Patel Industries"/>
    <n v="39814.01"/>
    <n v="3583.26"/>
    <n v="3583.26"/>
    <n v="46980.53"/>
    <s v="Tally"/>
    <x v="0"/>
    <s v=""/>
    <x v="0"/>
    <s v=""/>
  </r>
  <r>
    <s v="INV1298"/>
    <s v="15-04-2024"/>
    <s v="29PQRSX5678L1Z2"/>
    <s v="Kiran Enterprises"/>
    <n v="49522.17"/>
    <n v="4457"/>
    <n v="4457"/>
    <n v="58436.17"/>
    <s v="Tally"/>
    <x v="0"/>
    <s v=""/>
    <x v="0"/>
    <s v=""/>
  </r>
  <r>
    <s v="INV1299"/>
    <s v="01-05-2024"/>
    <s v="27ABCDE1234F1Z5"/>
    <s v="Sharma Traders"/>
    <n v="6464.08"/>
    <n v="581.77"/>
    <n v="581.77"/>
    <n v="7627.62"/>
    <s v="Tally"/>
    <x v="0"/>
    <s v=""/>
    <x v="0"/>
    <s v=""/>
  </r>
  <r>
    <s v="INV1300"/>
    <s v="14-05-2024"/>
    <s v="29PQRSX5678L1Z2"/>
    <s v="Kiran Enterprises"/>
    <n v="49485.11"/>
    <n v="4453.66"/>
    <n v="4453.66"/>
    <n v="58392.43"/>
    <s v="Tally"/>
    <x v="0"/>
    <s v=""/>
    <x v="0"/>
    <s v=""/>
  </r>
  <r>
    <s v="INV1301"/>
    <s v="17-04-2024"/>
    <s v="24LMNOP4321K1Z7"/>
    <s v="Patel Industries"/>
    <n v="44534.01"/>
    <n v="4008.06"/>
    <n v="4008.06"/>
    <n v="52550.13"/>
    <s v="Tally"/>
    <x v="0"/>
    <s v=""/>
    <x v="0"/>
    <s v=""/>
  </r>
  <r>
    <s v="INV1302"/>
    <s v="16-06-2024"/>
    <s v="27ABCDE1234F1Z5"/>
    <s v="Sharma Traders"/>
    <n v="11273.12"/>
    <n v="1014.58"/>
    <n v="1014.58"/>
    <n v="13302.28"/>
    <s v="Tally"/>
    <x v="0"/>
    <s v=""/>
    <x v="0"/>
    <s v=""/>
  </r>
  <r>
    <s v="INV1303"/>
    <s v="28-06-2024"/>
    <s v="27ABCDE1234F1Z5"/>
    <s v="Sharma Traders"/>
    <n v="1221.82"/>
    <n v="109.96"/>
    <n v="109.96"/>
    <n v="1441.74"/>
    <s v="Tally"/>
    <x v="0"/>
    <s v=""/>
    <x v="0"/>
    <s v=""/>
  </r>
  <r>
    <s v="INV1304"/>
    <s v="11-06-2024"/>
    <s v="07ZXCVB9876M1Z3"/>
    <s v="Gupta Supplies"/>
    <n v="4175"/>
    <n v="375.75"/>
    <n v="375.75"/>
    <n v="4926.5"/>
    <s v="Tally"/>
    <x v="0"/>
    <s v="Matched"/>
    <x v="1"/>
    <n v="0"/>
  </r>
  <r>
    <s v="INV1305"/>
    <s v="26-04-2024"/>
    <s v="19ASDFG2468H1Z9"/>
    <s v="Eastern Distributors"/>
    <n v="14467.9"/>
    <n v="1302.1099999999999"/>
    <n v="1302.1099999999999"/>
    <n v="17072.12"/>
    <s v="Tally"/>
    <x v="0"/>
    <s v=""/>
    <x v="0"/>
    <s v=""/>
  </r>
  <r>
    <s v="INV1306"/>
    <s v="28-04-2024"/>
    <s v="24LMNOP4321K1Z7"/>
    <s v="Patel Industries"/>
    <n v="43889.1"/>
    <n v="3950.02"/>
    <n v="3950.02"/>
    <n v="51789.14"/>
    <s v="Tally"/>
    <x v="0"/>
    <s v=""/>
    <x v="0"/>
    <s v=""/>
  </r>
  <r>
    <s v="INV1307"/>
    <s v="11-05-2024"/>
    <s v="29PQRSX5678L1Z2"/>
    <s v="Kiran Enterprises"/>
    <n v="17023.810000000001"/>
    <n v="1532.14"/>
    <n v="1532.14"/>
    <n v="20088.09"/>
    <s v="Tally"/>
    <x v="0"/>
    <s v=""/>
    <x v="0"/>
    <s v=""/>
  </r>
  <r>
    <s v="INV1308"/>
    <s v="22-05-2024"/>
    <s v="27ABCDE1234F1Z5"/>
    <s v="Sharma Traders"/>
    <n v="30813.95"/>
    <n v="2773.26"/>
    <n v="2773.26"/>
    <n v="36360.47"/>
    <s v="Tally"/>
    <x v="0"/>
    <s v=""/>
    <x v="0"/>
    <s v=""/>
  </r>
  <r>
    <s v="INV1309"/>
    <s v="04-06-2024"/>
    <s v="29PQRSX5678L1Z2"/>
    <s v="Kiran Enterprises"/>
    <n v="14175.08"/>
    <n v="1275.76"/>
    <n v="1275.76"/>
    <n v="16726.599999999999"/>
    <s v="Tally"/>
    <x v="0"/>
    <s v=""/>
    <x v="0"/>
    <s v=""/>
  </r>
  <r>
    <s v="INV1310"/>
    <s v="18-06-2024"/>
    <s v="27ABCDE1234F1Z5"/>
    <s v="Sharma Traders"/>
    <n v="25246.15"/>
    <n v="2272.15"/>
    <n v="2272.15"/>
    <n v="29790.45"/>
    <s v="Tally"/>
    <x v="0"/>
    <s v=""/>
    <x v="0"/>
    <s v=""/>
  </r>
  <r>
    <s v="INV1311"/>
    <s v="04-06-2024"/>
    <s v="24LMNOP4321K1Z7"/>
    <s v="Patel Industries"/>
    <n v="20980.560000000001"/>
    <n v="1888.25"/>
    <n v="1888.25"/>
    <n v="24757.06"/>
    <s v="Tally"/>
    <x v="0"/>
    <s v=""/>
    <x v="0"/>
    <s v=""/>
  </r>
  <r>
    <s v="INV1312"/>
    <s v="02-06-2024"/>
    <s v="19ASDFG2468H1Z9"/>
    <s v="Eastern Distributors"/>
    <n v="12357.58"/>
    <n v="1112.18"/>
    <n v="1112.18"/>
    <n v="14581.94"/>
    <s v="Tally"/>
    <x v="0"/>
    <s v=""/>
    <x v="0"/>
    <s v=""/>
  </r>
  <r>
    <s v="INV1313"/>
    <s v="30-05-2024"/>
    <s v="29PQRSX5678L1Z2"/>
    <s v="Kiran Enterprises"/>
    <n v="1716.37"/>
    <n v="154.47"/>
    <n v="154.47"/>
    <n v="2025.31"/>
    <s v="Tally"/>
    <x v="0"/>
    <s v=""/>
    <x v="0"/>
    <s v=""/>
  </r>
  <r>
    <s v="INV1314"/>
    <s v="21-05-2024"/>
    <s v="27ABCDE1234F1Z5"/>
    <s v="Sharma Traders"/>
    <n v="11170.75"/>
    <n v="1005.37"/>
    <n v="1005.37"/>
    <n v="13181.49"/>
    <s v="Tally"/>
    <x v="0"/>
    <s v=""/>
    <x v="0"/>
    <s v=""/>
  </r>
  <r>
    <s v="INV1315"/>
    <s v="26-04-2024"/>
    <s v="07ZXCVB9876M1Z3"/>
    <s v="Gupta Supplies"/>
    <n v="34409.72"/>
    <n v="3096.87"/>
    <n v="3096.87"/>
    <n v="40603.46"/>
    <s v="Tally"/>
    <x v="0"/>
    <s v=""/>
    <x v="0"/>
    <s v=""/>
  </r>
  <r>
    <s v="INV1316"/>
    <s v="02-05-2024"/>
    <s v="29PQRSX5678L1Z2"/>
    <s v="Kiran Enterprises"/>
    <n v="9814.44"/>
    <n v="883.3"/>
    <n v="883.3"/>
    <n v="11581.04"/>
    <s v="Tally"/>
    <x v="0"/>
    <s v=""/>
    <x v="0"/>
    <s v=""/>
  </r>
  <r>
    <s v="INV1317"/>
    <s v="24-04-2024"/>
    <s v="19ASDFG2468H1Z9"/>
    <s v="Eastern Distributors"/>
    <n v="42060.69"/>
    <n v="3785.46"/>
    <n v="3785.46"/>
    <n v="49631.61"/>
    <s v="Tally"/>
    <x v="0"/>
    <s v="Matched"/>
    <x v="1"/>
    <n v="0"/>
  </r>
  <r>
    <s v="INV1318"/>
    <s v="01-06-2024"/>
    <s v="07ZXCVB9876M1Z3"/>
    <s v="Gupta Supplies"/>
    <n v="10067.06"/>
    <n v="906.04"/>
    <n v="906.04"/>
    <n v="11879.14"/>
    <s v="Tally"/>
    <x v="0"/>
    <s v=""/>
    <x v="0"/>
    <s v=""/>
  </r>
  <r>
    <s v="INV1319"/>
    <s v="01-04-2024"/>
    <s v="19ASDFG2468H1Z9"/>
    <s v="Eastern Distributors"/>
    <n v="27371.06"/>
    <n v="2463.4"/>
    <n v="2463.4"/>
    <n v="32297.86"/>
    <s v="Tally"/>
    <x v="0"/>
    <s v=""/>
    <x v="0"/>
    <s v=""/>
  </r>
  <r>
    <s v="INV1320"/>
    <s v="26-06-2024"/>
    <s v="07ZXCVB9876M1Z3"/>
    <s v="Gupta Supplies"/>
    <n v="26802.04"/>
    <n v="2412.1799999999998"/>
    <n v="2412.1799999999998"/>
    <n v="31626.400000000001"/>
    <s v="Tally"/>
    <x v="0"/>
    <s v=""/>
    <x v="0"/>
    <s v=""/>
  </r>
  <r>
    <s v="INV1321"/>
    <s v="23-06-2024"/>
    <s v="27ABCDE1234F1Z5"/>
    <s v="Sharma Traders"/>
    <n v="4950.6400000000003"/>
    <n v="445.56"/>
    <n v="445.56"/>
    <n v="5841.76"/>
    <s v="Tally"/>
    <x v="0"/>
    <s v=""/>
    <x v="0"/>
    <s v=""/>
  </r>
  <r>
    <s v="INV1322"/>
    <s v="30-05-2024"/>
    <s v="07ZXCVB9876M1Z3"/>
    <s v="Gupta Supplies"/>
    <n v="40650.94"/>
    <n v="3658.58"/>
    <n v="3658.58"/>
    <n v="47968.1"/>
    <s v="Tally"/>
    <x v="0"/>
    <s v=""/>
    <x v="0"/>
    <s v=""/>
  </r>
  <r>
    <s v="INV1323"/>
    <s v="09-05-2024"/>
    <s v="24LMNOP4321K1Z7"/>
    <s v="Patel Industries"/>
    <n v="11040.39"/>
    <n v="993.64"/>
    <n v="993.64"/>
    <n v="13027.67"/>
    <s v="Tally"/>
    <x v="0"/>
    <s v=""/>
    <x v="0"/>
    <s v=""/>
  </r>
  <r>
    <s v="INV1324"/>
    <s v="18-06-2024"/>
    <s v="29PQRSX5678L1Z2"/>
    <s v="Kiran Enterprises"/>
    <n v="34862.28"/>
    <n v="3137.61"/>
    <n v="3137.61"/>
    <n v="41137.5"/>
    <s v="Tally"/>
    <x v="0"/>
    <s v=""/>
    <x v="0"/>
    <s v=""/>
  </r>
  <r>
    <s v="INV1325"/>
    <s v="05-05-2024"/>
    <s v="07ZXCVB9876M1Z3"/>
    <s v="Gupta Supplies"/>
    <n v="41648.46"/>
    <n v="3748.36"/>
    <n v="3748.36"/>
    <n v="49145.18"/>
    <s v="Tally"/>
    <x v="0"/>
    <s v=""/>
    <x v="0"/>
    <s v=""/>
  </r>
  <r>
    <s v="INV1326"/>
    <s v="20-05-2024"/>
    <s v="07ZXCVB9876M1Z3"/>
    <s v="Gupta Supplies"/>
    <n v="3886"/>
    <n v="349.74"/>
    <n v="349.74"/>
    <n v="4585.4799999999996"/>
    <s v="Tally"/>
    <x v="0"/>
    <s v=""/>
    <x v="0"/>
    <s v=""/>
  </r>
  <r>
    <s v="INV1327"/>
    <s v="07-05-2024"/>
    <s v="27ABCDE1234F1Z5"/>
    <s v="Sharma Traders"/>
    <n v="32188.2"/>
    <n v="2896.94"/>
    <n v="2896.94"/>
    <n v="37982.080000000002"/>
    <s v="Tally"/>
    <x v="0"/>
    <s v=""/>
    <x v="0"/>
    <s v=""/>
  </r>
  <r>
    <s v="INV1328"/>
    <s v="29-06-2024"/>
    <s v="27ABCDE1234F1Z5"/>
    <s v="Sharma Traders"/>
    <n v="3292.74"/>
    <n v="296.35000000000002"/>
    <n v="296.35000000000002"/>
    <n v="3885.44"/>
    <s v="Tally"/>
    <x v="0"/>
    <s v="Matched"/>
    <x v="1"/>
    <n v="0"/>
  </r>
  <r>
    <s v="INV1329"/>
    <s v="17-04-2024"/>
    <s v="27ABCDE1234F1Z5"/>
    <s v="Sharma Traders"/>
    <n v="12765.34"/>
    <n v="1148.8800000000001"/>
    <n v="1148.8800000000001"/>
    <n v="15063.1"/>
    <s v="Tally"/>
    <x v="0"/>
    <s v=""/>
    <x v="0"/>
    <s v=""/>
  </r>
  <r>
    <s v="INV1330"/>
    <s v="21-04-2024"/>
    <s v="19ASDFG2468H1Z9"/>
    <s v="Eastern Distributors"/>
    <n v="12553.55"/>
    <n v="1129.82"/>
    <n v="1129.82"/>
    <n v="14813.19"/>
    <s v="Tally"/>
    <x v="0"/>
    <s v=""/>
    <x v="0"/>
    <s v=""/>
  </r>
  <r>
    <s v="INV1331"/>
    <s v="23-06-2024"/>
    <s v="29PQRSX5678L1Z2"/>
    <s v="Kiran Enterprises"/>
    <n v="39249.78"/>
    <n v="3532.48"/>
    <n v="3532.48"/>
    <n v="46314.74"/>
    <s v="Tally"/>
    <x v="0"/>
    <s v=""/>
    <x v="0"/>
    <s v=""/>
  </r>
  <r>
    <s v="INV1332"/>
    <s v="13-06-2024"/>
    <s v="19ASDFG2468H1Z9"/>
    <s v="Eastern Distributors"/>
    <n v="42994.44"/>
    <n v="3869.5"/>
    <n v="3869.5"/>
    <n v="50733.440000000002"/>
    <s v="Tally"/>
    <x v="0"/>
    <s v=""/>
    <x v="0"/>
    <s v=""/>
  </r>
  <r>
    <s v="INV1333"/>
    <s v="03-06-2024"/>
    <s v="27ABCDE1234F1Z5"/>
    <s v="Sharma Traders"/>
    <n v="42398.52"/>
    <n v="3815.87"/>
    <n v="3815.87"/>
    <n v="50030.26"/>
    <s v="Tally"/>
    <x v="0"/>
    <s v=""/>
    <x v="0"/>
    <s v=""/>
  </r>
  <r>
    <s v="INV1334"/>
    <s v="05-04-2024"/>
    <s v="29PQRSX5678L1Z2"/>
    <s v="Kiran Enterprises"/>
    <n v="28482.43"/>
    <n v="2563.42"/>
    <n v="2563.42"/>
    <n v="33609.269999999997"/>
    <s v="Tally"/>
    <x v="0"/>
    <s v=""/>
    <x v="0"/>
    <s v=""/>
  </r>
  <r>
    <s v="INV1335"/>
    <s v="30-04-2024"/>
    <s v="19ASDFG2468H1Z9"/>
    <s v="Eastern Distributors"/>
    <n v="32522.69"/>
    <n v="2927.04"/>
    <n v="2927.04"/>
    <n v="38376.769999999997"/>
    <s v="Tally"/>
    <x v="0"/>
    <s v="Matched"/>
    <x v="1"/>
    <n v="0"/>
  </r>
  <r>
    <s v="INV1336"/>
    <s v="06-06-2024"/>
    <s v="29PQRSX5678L1Z2"/>
    <s v="Kiran Enterprises"/>
    <n v="49985.14"/>
    <n v="4498.66"/>
    <n v="4498.66"/>
    <n v="58982.46"/>
    <s v="Tally"/>
    <x v="0"/>
    <s v=""/>
    <x v="0"/>
    <s v=""/>
  </r>
  <r>
    <s v="INV1337"/>
    <s v="17-05-2024"/>
    <s v="19ASDFG2468H1Z9"/>
    <s v="Eastern Distributors"/>
    <n v="31884.9"/>
    <n v="2869.64"/>
    <n v="2869.64"/>
    <n v="37624.18"/>
    <s v="Tally"/>
    <x v="0"/>
    <s v=""/>
    <x v="0"/>
    <s v=""/>
  </r>
  <r>
    <s v="INV1338"/>
    <s v="15-04-2024"/>
    <s v="27ABCDE1234F1Z5"/>
    <s v="Sharma Traders"/>
    <n v="18384.53"/>
    <n v="1654.61"/>
    <n v="1654.61"/>
    <n v="21693.75"/>
    <s v="Tally"/>
    <x v="0"/>
    <s v=""/>
    <x v="0"/>
    <s v=""/>
  </r>
  <r>
    <s v="INV1339"/>
    <s v="31-05-2024"/>
    <s v="27ABCDE1234F1Z5"/>
    <s v="Sharma Traders"/>
    <n v="10275.1"/>
    <n v="924.76"/>
    <n v="924.76"/>
    <n v="12124.62"/>
    <s v="Tally"/>
    <x v="0"/>
    <s v=""/>
    <x v="0"/>
    <s v=""/>
  </r>
  <r>
    <s v="INV1340"/>
    <s v="22-06-2024"/>
    <s v="24LMNOP4321K1Z7"/>
    <s v="Patel Industries"/>
    <n v="37454.339999999997"/>
    <n v="3370.89"/>
    <n v="3370.89"/>
    <n v="44196.12"/>
    <s v="Tally"/>
    <x v="0"/>
    <s v=""/>
    <x v="0"/>
    <s v=""/>
  </r>
  <r>
    <s v="INV1341"/>
    <s v="05-04-2024"/>
    <s v="24LMNOP4321K1Z7"/>
    <s v="Patel Industries"/>
    <n v="49841.98"/>
    <n v="4485.78"/>
    <n v="4485.78"/>
    <n v="58813.54"/>
    <s v="Tally"/>
    <x v="0"/>
    <s v=""/>
    <x v="0"/>
    <s v=""/>
  </r>
  <r>
    <s v="INV1342"/>
    <s v="17-05-2024"/>
    <s v="27ABCDE1234F1Z5"/>
    <s v="Sharma Traders"/>
    <n v="6462.16"/>
    <n v="581.59"/>
    <n v="581.59"/>
    <n v="7625.34"/>
    <s v="Tally"/>
    <x v="0"/>
    <s v=""/>
    <x v="0"/>
    <s v=""/>
  </r>
  <r>
    <s v="INV1343"/>
    <s v="29-04-2024"/>
    <s v="19ASDFG2468H1Z9"/>
    <s v="Eastern Distributors"/>
    <n v="8679.11"/>
    <n v="781.12"/>
    <n v="781.12"/>
    <n v="10241.35"/>
    <s v="Tally"/>
    <x v="0"/>
    <s v=""/>
    <x v="0"/>
    <s v=""/>
  </r>
  <r>
    <s v="INV1344"/>
    <s v="15-06-2024"/>
    <s v="19ASDFG2468H1Z9"/>
    <s v="Eastern Distributors"/>
    <n v="49882.400000000001"/>
    <n v="4489.42"/>
    <n v="4489.42"/>
    <n v="58861.24"/>
    <s v="Tally"/>
    <x v="0"/>
    <s v=""/>
    <x v="0"/>
    <s v=""/>
  </r>
  <r>
    <s v="INV1345"/>
    <s v="06-06-2024"/>
    <s v="07ZXCVB9876M1Z3"/>
    <s v="Gupta Supplies"/>
    <n v="3452.8"/>
    <n v="310.75"/>
    <n v="310.75"/>
    <n v="4074.3"/>
    <s v="Tally"/>
    <x v="0"/>
    <s v=""/>
    <x v="0"/>
    <s v=""/>
  </r>
  <r>
    <s v="INV1346"/>
    <s v="26-06-2024"/>
    <s v="27ABCDE1234F1Z5"/>
    <s v="Sharma Traders"/>
    <n v="44043.45"/>
    <n v="3963.91"/>
    <n v="3963.91"/>
    <n v="51971.27"/>
    <s v="Tally"/>
    <x v="0"/>
    <s v=""/>
    <x v="0"/>
    <s v=""/>
  </r>
  <r>
    <s v="INV1347"/>
    <s v="01-04-2024"/>
    <s v="07ZXCVB9876M1Z3"/>
    <s v="Gupta Supplies"/>
    <n v="18101.37"/>
    <n v="1629.12"/>
    <n v="1629.12"/>
    <n v="21359.61"/>
    <s v="Tally"/>
    <x v="0"/>
    <s v=""/>
    <x v="0"/>
    <s v=""/>
  </r>
  <r>
    <s v="INV1348"/>
    <s v="04-06-2024"/>
    <s v="07ZXCVB9876M1Z3"/>
    <s v="Gupta Supplies"/>
    <n v="20986.43"/>
    <n v="1888.78"/>
    <n v="1888.78"/>
    <n v="24763.99"/>
    <s v="Tally"/>
    <x v="0"/>
    <s v=""/>
    <x v="0"/>
    <s v=""/>
  </r>
  <r>
    <s v="INV1349"/>
    <s v="29-05-2024"/>
    <s v="07ZXCVB9876M1Z3"/>
    <s v="Gupta Supplies"/>
    <n v="29121.74"/>
    <n v="2620.96"/>
    <n v="2620.96"/>
    <n v="34363.660000000003"/>
    <s v="Tally"/>
    <x v="0"/>
    <s v=""/>
    <x v="0"/>
    <s v=""/>
  </r>
  <r>
    <s v="INV1350"/>
    <s v="15-05-2024"/>
    <s v="29PQRSX5678L1Z2"/>
    <s v="Kiran Enterprises"/>
    <n v="49871.16"/>
    <n v="4488.3999999999996"/>
    <n v="4488.3999999999996"/>
    <n v="58847.96"/>
    <s v="Tally"/>
    <x v="0"/>
    <s v=""/>
    <x v="0"/>
    <s v=""/>
  </r>
  <r>
    <s v="INV1351"/>
    <s v="11-05-2024"/>
    <s v="19ASDFG2468H1Z9"/>
    <s v="Eastern Distributors"/>
    <n v="35302.49"/>
    <n v="3177.22"/>
    <n v="3177.22"/>
    <n v="41656.93"/>
    <s v="Tally"/>
    <x v="0"/>
    <s v="Matched"/>
    <x v="1"/>
    <n v="0"/>
  </r>
  <r>
    <s v="INV1352"/>
    <s v="09-06-2024"/>
    <s v="29PQRSX5678L1Z2"/>
    <s v="Kiran Enterprises"/>
    <n v="45813.760000000002"/>
    <n v="4123.24"/>
    <n v="4123.24"/>
    <n v="54060.24"/>
    <s v="Tally"/>
    <x v="0"/>
    <s v=""/>
    <x v="0"/>
    <s v=""/>
  </r>
  <r>
    <s v="INV1353"/>
    <s v="28-04-2024"/>
    <s v="27ABCDE1234F1Z5"/>
    <s v="Sharma Traders"/>
    <n v="24986.35"/>
    <n v="2248.77"/>
    <n v="2248.77"/>
    <n v="29483.89"/>
    <s v="Tally"/>
    <x v="0"/>
    <s v=""/>
    <x v="0"/>
    <s v=""/>
  </r>
  <r>
    <s v="INV1354"/>
    <s v="22-06-2024"/>
    <s v="24LMNOP4321K1Z7"/>
    <s v="Patel Industries"/>
    <n v="31697.52"/>
    <n v="2852.78"/>
    <n v="2852.78"/>
    <n v="37403.08"/>
    <s v="Tally"/>
    <x v="0"/>
    <s v=""/>
    <x v="0"/>
    <s v=""/>
  </r>
  <r>
    <s v="INV1355"/>
    <s v="02-04-2024"/>
    <s v="07ZXCVB9876M1Z3"/>
    <s v="Gupta Supplies"/>
    <n v="24502.65"/>
    <n v="2205.2399999999998"/>
    <n v="2205.2399999999998"/>
    <n v="28913.13"/>
    <s v="Tally"/>
    <x v="0"/>
    <s v=""/>
    <x v="0"/>
    <s v=""/>
  </r>
  <r>
    <s v="INV1356"/>
    <s v="15-05-2024"/>
    <s v="24LMNOP4321K1Z7"/>
    <s v="Patel Industries"/>
    <n v="42837.62"/>
    <n v="3855.39"/>
    <n v="3855.39"/>
    <n v="50548.4"/>
    <s v="Tally"/>
    <x v="0"/>
    <s v=""/>
    <x v="0"/>
    <s v=""/>
  </r>
  <r>
    <s v="INV1357"/>
    <s v="04-05-2024"/>
    <s v="19ASDFG2468H1Z9"/>
    <s v="Eastern Distributors"/>
    <n v="44058.31"/>
    <n v="3965.25"/>
    <n v="3965.25"/>
    <n v="51988.81"/>
    <s v="Tally"/>
    <x v="0"/>
    <s v=""/>
    <x v="0"/>
    <s v=""/>
  </r>
  <r>
    <s v="INV1358"/>
    <s v="06-04-2024"/>
    <s v="27ABCDE1234F1Z5"/>
    <s v="Sharma Traders"/>
    <n v="22579.06"/>
    <n v="2032.12"/>
    <n v="2032.12"/>
    <n v="26643.3"/>
    <s v="Tally"/>
    <x v="0"/>
    <s v=""/>
    <x v="0"/>
    <s v=""/>
  </r>
  <r>
    <s v="INV1359"/>
    <s v="25-06-2024"/>
    <s v="29PQRSX5678L1Z2"/>
    <s v="Kiran Enterprises"/>
    <n v="41573.230000000003"/>
    <n v="3741.59"/>
    <n v="3741.59"/>
    <n v="49056.41"/>
    <s v="Tally"/>
    <x v="0"/>
    <s v=""/>
    <x v="0"/>
    <s v=""/>
  </r>
  <r>
    <s v="INV1360"/>
    <s v="05-06-2024"/>
    <s v="07ZXCVB9876M1Z3"/>
    <s v="Gupta Supplies"/>
    <n v="43138.32"/>
    <n v="3882.45"/>
    <n v="3882.45"/>
    <n v="50903.22"/>
    <s v="Tally"/>
    <x v="0"/>
    <s v=""/>
    <x v="0"/>
    <s v=""/>
  </r>
  <r>
    <s v="INV1361"/>
    <s v="26-06-2024"/>
    <s v="29PQRSX5678L1Z2"/>
    <s v="Kiran Enterprises"/>
    <n v="1614.88"/>
    <n v="145.34"/>
    <n v="145.34"/>
    <n v="1905.56"/>
    <s v="Tally"/>
    <x v="0"/>
    <s v=""/>
    <x v="0"/>
    <s v=""/>
  </r>
  <r>
    <s v="INV1362"/>
    <s v="30-06-2024"/>
    <s v="27ABCDE1234F1Z5"/>
    <s v="Sharma Traders"/>
    <n v="43709.3"/>
    <n v="3933.84"/>
    <n v="3933.84"/>
    <n v="51576.98"/>
    <s v="Tally"/>
    <x v="0"/>
    <s v=""/>
    <x v="0"/>
    <s v=""/>
  </r>
  <r>
    <s v="INV1363"/>
    <s v="06-04-2024"/>
    <s v="27ABCDE1234F1Z5"/>
    <s v="Sharma Traders"/>
    <n v="9494.19"/>
    <n v="854.48"/>
    <n v="854.48"/>
    <n v="11203.15"/>
    <s v="Tally"/>
    <x v="0"/>
    <s v=""/>
    <x v="0"/>
    <s v=""/>
  </r>
  <r>
    <s v="INV1364"/>
    <s v="26-06-2024"/>
    <s v="27ABCDE1234F1Z5"/>
    <s v="Sharma Traders"/>
    <n v="35963.81"/>
    <n v="3236.74"/>
    <n v="3236.74"/>
    <n v="42437.29"/>
    <s v="Tally"/>
    <x v="0"/>
    <s v="Matched"/>
    <x v="1"/>
    <n v="0"/>
  </r>
  <r>
    <s v="INV1365"/>
    <s v="18-06-2024"/>
    <s v="24LMNOP4321K1Z7"/>
    <s v="Patel Industries"/>
    <n v="20935.03"/>
    <n v="1884.15"/>
    <n v="1884.15"/>
    <n v="24703.33"/>
    <s v="Tally"/>
    <x v="0"/>
    <s v=""/>
    <x v="0"/>
    <s v=""/>
  </r>
  <r>
    <s v="INV1366"/>
    <s v="19-06-2024"/>
    <s v="07ZXCVB9876M1Z3"/>
    <s v="Gupta Supplies"/>
    <n v="28366.81"/>
    <n v="2553.0100000000002"/>
    <n v="2553.0100000000002"/>
    <n v="33472.83"/>
    <s v="Tally"/>
    <x v="0"/>
    <s v="Matched"/>
    <x v="1"/>
    <n v="0"/>
  </r>
  <r>
    <s v="INV1367"/>
    <s v="28-06-2024"/>
    <s v="24LMNOP4321K1Z7"/>
    <s v="Patel Industries"/>
    <n v="8785.01"/>
    <n v="790.65"/>
    <n v="790.65"/>
    <n v="10366.31"/>
    <s v="Tally"/>
    <x v="0"/>
    <s v=""/>
    <x v="0"/>
    <s v=""/>
  </r>
  <r>
    <s v="INV1368"/>
    <s v="13-04-2024"/>
    <s v="24LMNOP4321K1Z7"/>
    <s v="Patel Industries"/>
    <n v="39500.68"/>
    <n v="3555.06"/>
    <n v="3555.06"/>
    <n v="46610.8"/>
    <s v="Tally"/>
    <x v="0"/>
    <s v=""/>
    <x v="0"/>
    <s v=""/>
  </r>
  <r>
    <s v="INV1369"/>
    <s v="06-04-2024"/>
    <s v="07ZXCVB9876M1Z3"/>
    <s v="Gupta Supplies"/>
    <n v="45847.41"/>
    <n v="4126.2700000000004"/>
    <n v="4126.2700000000004"/>
    <n v="54099.95"/>
    <s v="Tally"/>
    <x v="0"/>
    <s v=""/>
    <x v="0"/>
    <s v=""/>
  </r>
  <r>
    <s v="INV1370"/>
    <s v="22-06-2024"/>
    <s v="19ASDFG2468H1Z9"/>
    <s v="Eastern Distributors"/>
    <n v="46457.17"/>
    <n v="4181.1499999999996"/>
    <n v="4181.1499999999996"/>
    <n v="54819.47"/>
    <s v="Tally"/>
    <x v="0"/>
    <s v=""/>
    <x v="0"/>
    <s v=""/>
  </r>
  <r>
    <s v="INV1371"/>
    <s v="05-04-2024"/>
    <s v="07ZXCVB9876M1Z3"/>
    <s v="Gupta Supplies"/>
    <n v="2565.09"/>
    <n v="230.86"/>
    <n v="230.86"/>
    <n v="3026.81"/>
    <s v="Tally"/>
    <x v="0"/>
    <s v=""/>
    <x v="0"/>
    <s v=""/>
  </r>
  <r>
    <s v="INV1372"/>
    <s v="31-05-2024"/>
    <s v="29PQRSX5678L1Z2"/>
    <s v="Kiran Enterprises"/>
    <n v="23993.78"/>
    <n v="2159.44"/>
    <n v="2159.44"/>
    <n v="28312.66"/>
    <s v="Tally"/>
    <x v="0"/>
    <s v=""/>
    <x v="0"/>
    <s v=""/>
  </r>
  <r>
    <s v="INV1373"/>
    <s v="11-04-2024"/>
    <s v="07ZXCVB9876M1Z3"/>
    <s v="Gupta Supplies"/>
    <n v="7123.47"/>
    <n v="641.11"/>
    <n v="641.11"/>
    <n v="8405.69"/>
    <s v="Tally"/>
    <x v="0"/>
    <s v=""/>
    <x v="0"/>
    <s v=""/>
  </r>
  <r>
    <s v="INV1374"/>
    <s v="06-04-2024"/>
    <s v="27ABCDE1234F1Z5"/>
    <s v="Sharma Traders"/>
    <n v="7127.3"/>
    <n v="641.46"/>
    <n v="641.46"/>
    <n v="8410.2199999999993"/>
    <s v="Tally"/>
    <x v="0"/>
    <s v=""/>
    <x v="0"/>
    <s v=""/>
  </r>
  <r>
    <s v="INV1375"/>
    <s v="03-04-2024"/>
    <s v="19ASDFG2468H1Z9"/>
    <s v="Eastern Distributors"/>
    <n v="15417.7"/>
    <n v="1387.59"/>
    <n v="1387.59"/>
    <n v="18192.88"/>
    <s v="Tally"/>
    <x v="0"/>
    <s v=""/>
    <x v="0"/>
    <s v=""/>
  </r>
  <r>
    <s v="INV1376"/>
    <s v="01-05-2024"/>
    <s v="24LMNOP4321K1Z7"/>
    <s v="Patel Industries"/>
    <n v="26374.35"/>
    <n v="2373.69"/>
    <n v="2373.69"/>
    <n v="31121.73"/>
    <s v="Tally"/>
    <x v="0"/>
    <s v=""/>
    <x v="0"/>
    <s v=""/>
  </r>
  <r>
    <s v="INV1377"/>
    <s v="20-06-2024"/>
    <s v="07ZXCVB9876M1Z3"/>
    <s v="Gupta Supplies"/>
    <n v="16738.5"/>
    <n v="1506.46"/>
    <n v="1506.46"/>
    <n v="19751.419999999998"/>
    <s v="Tally"/>
    <x v="0"/>
    <s v=""/>
    <x v="0"/>
    <s v=""/>
  </r>
  <r>
    <s v="INV1378"/>
    <s v="23-06-2024"/>
    <s v="27ABCDE1234F1Z5"/>
    <s v="Sharma Traders"/>
    <n v="41012.36"/>
    <n v="3691.11"/>
    <n v="3691.11"/>
    <n v="48394.58"/>
    <s v="Tally"/>
    <x v="0"/>
    <s v=""/>
    <x v="0"/>
    <s v=""/>
  </r>
  <r>
    <s v="INV1379"/>
    <s v="12-05-2024"/>
    <s v="24LMNOP4321K1Z7"/>
    <s v="Patel Industries"/>
    <n v="23723.27"/>
    <n v="2135.09"/>
    <n v="2135.09"/>
    <n v="27993.45"/>
    <s v="Tally"/>
    <x v="0"/>
    <s v=""/>
    <x v="0"/>
    <s v=""/>
  </r>
  <r>
    <s v="INV1380"/>
    <s v="12-06-2024"/>
    <s v="07ZXCVB9876M1Z3"/>
    <s v="Gupta Supplies"/>
    <n v="19754.28"/>
    <n v="1777.89"/>
    <n v="1777.89"/>
    <n v="23310.06"/>
    <s v="Tally"/>
    <x v="0"/>
    <s v=""/>
    <x v="0"/>
    <s v=""/>
  </r>
  <r>
    <s v="INV1381"/>
    <s v="24-06-2024"/>
    <s v="29PQRSX5678L1Z2"/>
    <s v="Kiran Enterprises"/>
    <n v="24186.880000000001"/>
    <n v="2176.8200000000002"/>
    <n v="2176.8200000000002"/>
    <n v="28540.52"/>
    <s v="Tally"/>
    <x v="0"/>
    <s v=""/>
    <x v="0"/>
    <s v=""/>
  </r>
  <r>
    <s v="INV1382"/>
    <s v="17-05-2024"/>
    <s v="19ASDFG2468H1Z9"/>
    <s v="Eastern Distributors"/>
    <n v="46487.72"/>
    <n v="4183.8900000000003"/>
    <n v="4183.8900000000003"/>
    <n v="54855.5"/>
    <s v="Tally"/>
    <x v="0"/>
    <s v=""/>
    <x v="0"/>
    <s v=""/>
  </r>
  <r>
    <s v="INV1383"/>
    <s v="05-06-2024"/>
    <s v="29PQRSX5678L1Z2"/>
    <s v="Kiran Enterprises"/>
    <n v="46962.13"/>
    <n v="4226.59"/>
    <n v="4226.59"/>
    <n v="55415.31"/>
    <s v="Tally"/>
    <x v="0"/>
    <s v=""/>
    <x v="0"/>
    <s v=""/>
  </r>
  <r>
    <s v="INV1384"/>
    <s v="27-04-2024"/>
    <s v="07ZXCVB9876M1Z3"/>
    <s v="Gupta Supplies"/>
    <n v="28626.959999999999"/>
    <n v="2576.4299999999998"/>
    <n v="2576.4299999999998"/>
    <n v="33779.82"/>
    <s v="Tally"/>
    <x v="0"/>
    <s v=""/>
    <x v="0"/>
    <s v=""/>
  </r>
  <r>
    <s v="INV1385"/>
    <s v="22-06-2024"/>
    <s v="07ZXCVB9876M1Z3"/>
    <s v="Gupta Supplies"/>
    <n v="29711.3"/>
    <n v="2674.02"/>
    <n v="2674.02"/>
    <n v="35059.339999999997"/>
    <s v="Tally"/>
    <x v="0"/>
    <s v=""/>
    <x v="0"/>
    <s v=""/>
  </r>
  <r>
    <s v="INV1386"/>
    <s v="21-04-2024"/>
    <s v="29PQRSX5678L1Z2"/>
    <s v="Kiran Enterprises"/>
    <n v="23567.74"/>
    <n v="2121.1"/>
    <n v="2121.1"/>
    <n v="27809.94"/>
    <s v="Tally"/>
    <x v="0"/>
    <s v=""/>
    <x v="0"/>
    <s v=""/>
  </r>
  <r>
    <s v="INV1387"/>
    <s v="18-05-2024"/>
    <s v="24LMNOP4321K1Z7"/>
    <s v="Patel Industries"/>
    <n v="16764.96"/>
    <n v="1508.85"/>
    <n v="1508.85"/>
    <n v="19782.66"/>
    <s v="Tally"/>
    <x v="0"/>
    <s v=""/>
    <x v="0"/>
    <s v=""/>
  </r>
  <r>
    <s v="INV1388"/>
    <s v="09-05-2024"/>
    <s v="27ABCDE1234F1Z5"/>
    <s v="Sharma Traders"/>
    <n v="11256.23"/>
    <n v="1013.06"/>
    <n v="1013.06"/>
    <n v="13282.35"/>
    <s v="Tally"/>
    <x v="0"/>
    <s v=""/>
    <x v="0"/>
    <s v=""/>
  </r>
  <r>
    <s v="INV1389"/>
    <s v="26-05-2024"/>
    <s v="29PQRSX5678L1Z2"/>
    <s v="Kiran Enterprises"/>
    <n v="20860.59"/>
    <n v="1877.45"/>
    <n v="1877.45"/>
    <n v="24615.49"/>
    <s v="Tally"/>
    <x v="0"/>
    <s v=""/>
    <x v="0"/>
    <s v=""/>
  </r>
  <r>
    <s v="INV1390"/>
    <s v="15-06-2024"/>
    <s v="19ASDFG2468H1Z9"/>
    <s v="Eastern Distributors"/>
    <n v="11376.19"/>
    <n v="1023.86"/>
    <n v="1023.86"/>
    <n v="13423.91"/>
    <s v="Tally"/>
    <x v="0"/>
    <s v=""/>
    <x v="0"/>
    <s v=""/>
  </r>
  <r>
    <s v="INV1391"/>
    <s v="15-06-2024"/>
    <s v="24LMNOP4321K1Z7"/>
    <s v="Patel Industries"/>
    <n v="7519.23"/>
    <n v="676.73"/>
    <n v="676.73"/>
    <n v="8872.69"/>
    <s v="Tally"/>
    <x v="0"/>
    <s v=""/>
    <x v="0"/>
    <s v=""/>
  </r>
  <r>
    <s v="INV1392"/>
    <s v="02-04-2024"/>
    <s v="29PQRSX5678L1Z2"/>
    <s v="Kiran Enterprises"/>
    <n v="37746.480000000003"/>
    <n v="3397.18"/>
    <n v="3397.18"/>
    <n v="44540.84"/>
    <s v="Tally"/>
    <x v="0"/>
    <s v=""/>
    <x v="0"/>
    <s v=""/>
  </r>
  <r>
    <s v="INV1393"/>
    <s v="05-06-2024"/>
    <s v="24LMNOP4321K1Z7"/>
    <s v="Patel Industries"/>
    <n v="14483.82"/>
    <n v="1303.54"/>
    <n v="1303.54"/>
    <n v="17090.900000000001"/>
    <s v="Tally"/>
    <x v="0"/>
    <s v=""/>
    <x v="0"/>
    <s v=""/>
  </r>
  <r>
    <s v="INV1394"/>
    <s v="06-04-2024"/>
    <s v="27ABCDE1234F1Z5"/>
    <s v="Sharma Traders"/>
    <n v="14685.89"/>
    <n v="1321.73"/>
    <n v="1321.73"/>
    <n v="17329.349999999999"/>
    <s v="Tally"/>
    <x v="0"/>
    <s v=""/>
    <x v="0"/>
    <s v=""/>
  </r>
  <r>
    <s v="INV1395"/>
    <s v="25-04-2024"/>
    <s v="29PQRSX5678L1Z2"/>
    <s v="Kiran Enterprises"/>
    <n v="25760.57"/>
    <n v="2318.4499999999998"/>
    <n v="2318.4499999999998"/>
    <n v="30397.47"/>
    <s v="Tally"/>
    <x v="0"/>
    <s v=""/>
    <x v="0"/>
    <s v=""/>
  </r>
  <r>
    <s v="INV1396"/>
    <s v="12-04-2024"/>
    <s v="24LMNOP4321K1Z7"/>
    <s v="Patel Industries"/>
    <n v="20548.240000000002"/>
    <n v="1849.34"/>
    <n v="1849.34"/>
    <n v="24246.92"/>
    <s v="Tally"/>
    <x v="0"/>
    <s v=""/>
    <x v="0"/>
    <s v=""/>
  </r>
  <r>
    <s v="INV1397"/>
    <s v="24-06-2024"/>
    <s v="27ABCDE1234F1Z5"/>
    <s v="Sharma Traders"/>
    <n v="3505.79"/>
    <n v="315.52"/>
    <n v="315.52"/>
    <n v="4136.83"/>
    <s v="Tally"/>
    <x v="0"/>
    <s v=""/>
    <x v="0"/>
    <s v=""/>
  </r>
  <r>
    <s v="INV1398"/>
    <s v="27-04-2024"/>
    <s v="27ABCDE1234F1Z5"/>
    <s v="Sharma Traders"/>
    <n v="32161.35"/>
    <n v="2894.52"/>
    <n v="2894.52"/>
    <n v="37950.39"/>
    <s v="Tally"/>
    <x v="0"/>
    <s v=""/>
    <x v="0"/>
    <s v=""/>
  </r>
  <r>
    <s v="INV1399"/>
    <s v="22-05-2024"/>
    <s v="29PQRSX5678L1Z2"/>
    <s v="Kiran Enterprises"/>
    <n v="23753.919999999998"/>
    <n v="2137.85"/>
    <n v="2137.85"/>
    <n v="28029.62"/>
    <s v="Tally"/>
    <x v="0"/>
    <s v=""/>
    <x v="0"/>
    <s v=""/>
  </r>
  <r>
    <s v="INV1400"/>
    <s v="17-05-2024"/>
    <s v="24LMNOP4321K1Z7"/>
    <s v="Patel Industries"/>
    <n v="34971.24"/>
    <n v="3147.41"/>
    <n v="3147.41"/>
    <n v="41266.06"/>
    <s v="Tally"/>
    <x v="0"/>
    <s v=""/>
    <x v="0"/>
    <s v=""/>
  </r>
  <r>
    <s v="INV1401"/>
    <s v="05-06-2024"/>
    <s v="07ZXCVB9876M1Z3"/>
    <s v="Gupta Supplies"/>
    <n v="25073.040000000001"/>
    <n v="2256.5700000000002"/>
    <n v="2256.5700000000002"/>
    <n v="29586.18"/>
    <s v="Tally"/>
    <x v="0"/>
    <s v=""/>
    <x v="0"/>
    <s v=""/>
  </r>
  <r>
    <s v="INV1402"/>
    <s v="02-05-2024"/>
    <s v="29PQRSX5678L1Z2"/>
    <s v="Kiran Enterprises"/>
    <n v="41006.68"/>
    <n v="3690.6"/>
    <n v="3690.6"/>
    <n v="48387.88"/>
    <s v="Tally"/>
    <x v="0"/>
    <s v=""/>
    <x v="0"/>
    <s v=""/>
  </r>
  <r>
    <s v="INV1403"/>
    <s v="10-04-2024"/>
    <s v="19ASDFG2468H1Z9"/>
    <s v="Eastern Distributors"/>
    <n v="38402.730000000003"/>
    <n v="3456.25"/>
    <n v="3456.25"/>
    <n v="45315.23"/>
    <s v="Tally"/>
    <x v="0"/>
    <s v=""/>
    <x v="0"/>
    <s v=""/>
  </r>
  <r>
    <s v="INV1404"/>
    <s v="12-04-2024"/>
    <s v="27ABCDE1234F1Z5"/>
    <s v="Sharma Traders"/>
    <n v="18398.73"/>
    <n v="1655.89"/>
    <n v="1655.89"/>
    <n v="21710.51"/>
    <s v="Tally"/>
    <x v="0"/>
    <s v=""/>
    <x v="0"/>
    <s v=""/>
  </r>
  <r>
    <s v="INV1405"/>
    <s v="04-06-2024"/>
    <s v="24LMNOP4321K1Z7"/>
    <s v="Patel Industries"/>
    <n v="25025.11"/>
    <n v="2252.2600000000002"/>
    <n v="2252.2600000000002"/>
    <n v="29529.63"/>
    <s v="Tally"/>
    <x v="0"/>
    <s v=""/>
    <x v="0"/>
    <s v=""/>
  </r>
  <r>
    <s v="INV1406"/>
    <s v="06-04-2024"/>
    <s v="29PQRSX5678L1Z2"/>
    <s v="Kiran Enterprises"/>
    <n v="26802.21"/>
    <n v="2412.1999999999998"/>
    <n v="2412.1999999999998"/>
    <n v="31626.61"/>
    <s v="Tally"/>
    <x v="0"/>
    <s v=""/>
    <x v="0"/>
    <s v=""/>
  </r>
  <r>
    <s v="INV1407"/>
    <s v="16-04-2024"/>
    <s v="27ABCDE1234F1Z5"/>
    <s v="Sharma Traders"/>
    <n v="36038.61"/>
    <n v="3243.47"/>
    <n v="3243.47"/>
    <n v="42525.55"/>
    <s v="Tally"/>
    <x v="0"/>
    <s v=""/>
    <x v="0"/>
    <s v=""/>
  </r>
  <r>
    <s v="INV1408"/>
    <s v="13-05-2024"/>
    <s v="07ZXCVB9876M1Z3"/>
    <s v="Gupta Supplies"/>
    <n v="20204.21"/>
    <n v="1818.38"/>
    <n v="1818.38"/>
    <n v="23840.97"/>
    <s v="Tally"/>
    <x v="0"/>
    <s v="Matched"/>
    <x v="1"/>
    <n v="0"/>
  </r>
  <r>
    <s v="INV1409"/>
    <s v="14-06-2024"/>
    <s v="29PQRSX5678L1Z2"/>
    <s v="Kiran Enterprises"/>
    <n v="46141.54"/>
    <n v="4152.74"/>
    <n v="4152.74"/>
    <n v="54447.02"/>
    <s v="Tally"/>
    <x v="0"/>
    <s v="Matched"/>
    <x v="1"/>
    <n v="0"/>
  </r>
  <r>
    <s v="INV1410"/>
    <s v="30-04-2024"/>
    <s v="29PQRSX5678L1Z2"/>
    <s v="Kiran Enterprises"/>
    <n v="34980.26"/>
    <n v="3148.22"/>
    <n v="3148.22"/>
    <n v="41276.699999999997"/>
    <s v="Tally"/>
    <x v="0"/>
    <s v=""/>
    <x v="0"/>
    <s v=""/>
  </r>
  <r>
    <s v="INV1411"/>
    <s v="24-06-2024"/>
    <s v="07ZXCVB9876M1Z3"/>
    <s v="Gupta Supplies"/>
    <n v="1528"/>
    <n v="137.52000000000001"/>
    <n v="137.52000000000001"/>
    <n v="1803.04"/>
    <s v="Tally"/>
    <x v="0"/>
    <s v=""/>
    <x v="0"/>
    <s v=""/>
  </r>
  <r>
    <s v="INV1412"/>
    <s v="18-04-2024"/>
    <s v="07ZXCVB9876M1Z3"/>
    <s v="Gupta Supplies"/>
    <n v="37865"/>
    <n v="3407.85"/>
    <n v="3407.85"/>
    <n v="44680.7"/>
    <s v="Tally"/>
    <x v="0"/>
    <s v=""/>
    <x v="0"/>
    <s v=""/>
  </r>
  <r>
    <s v="INV1413"/>
    <s v="18-05-2024"/>
    <s v="19ASDFG2468H1Z9"/>
    <s v="Eastern Distributors"/>
    <n v="38256.269999999997"/>
    <n v="3443.06"/>
    <n v="3443.06"/>
    <n v="45142.39"/>
    <s v="Tally"/>
    <x v="0"/>
    <s v=""/>
    <x v="0"/>
    <s v=""/>
  </r>
  <r>
    <s v="INV1414"/>
    <s v="01-04-2024"/>
    <s v="07ZXCVB9876M1Z3"/>
    <s v="Gupta Supplies"/>
    <n v="30320.06"/>
    <n v="2728.81"/>
    <n v="2728.81"/>
    <n v="35777.68"/>
    <s v="Tally"/>
    <x v="0"/>
    <s v=""/>
    <x v="0"/>
    <s v=""/>
  </r>
  <r>
    <s v="INV1415"/>
    <s v="19-04-2024"/>
    <s v="29PQRSX5678L1Z2"/>
    <s v="Kiran Enterprises"/>
    <n v="49101.919999999998"/>
    <n v="4419.17"/>
    <n v="4419.17"/>
    <n v="57940.26"/>
    <s v="Tally"/>
    <x v="0"/>
    <s v=""/>
    <x v="0"/>
    <s v=""/>
  </r>
  <r>
    <s v="INV1416"/>
    <s v="07-06-2024"/>
    <s v="29PQRSX5678L1Z2"/>
    <s v="Kiran Enterprises"/>
    <n v="21130.73"/>
    <n v="1901.77"/>
    <n v="1901.77"/>
    <n v="24934.27"/>
    <s v="Tally"/>
    <x v="0"/>
    <s v=""/>
    <x v="0"/>
    <s v=""/>
  </r>
  <r>
    <s v="INV1417"/>
    <s v="23-04-2024"/>
    <s v="29PQRSX5678L1Z2"/>
    <s v="Kiran Enterprises"/>
    <n v="5352.28"/>
    <n v="481.71"/>
    <n v="481.71"/>
    <n v="6315.7"/>
    <s v="Tally"/>
    <x v="0"/>
    <s v=""/>
    <x v="0"/>
    <s v=""/>
  </r>
  <r>
    <s v="INV1418"/>
    <s v="14-04-2024"/>
    <s v="19ASDFG2468H1Z9"/>
    <s v="Eastern Distributors"/>
    <n v="46570.75"/>
    <n v="4191.37"/>
    <n v="4191.37"/>
    <n v="54953.49"/>
    <s v="Tally"/>
    <x v="0"/>
    <s v=""/>
    <x v="0"/>
    <s v=""/>
  </r>
  <r>
    <s v="INV1419"/>
    <s v="30-06-2024"/>
    <s v="27ABCDE1234F1Z5"/>
    <s v="Sharma Traders"/>
    <n v="28562.240000000002"/>
    <n v="2570.6"/>
    <n v="2570.6"/>
    <n v="33703.440000000002"/>
    <s v="Tally"/>
    <x v="0"/>
    <s v=""/>
    <x v="0"/>
    <s v=""/>
  </r>
  <r>
    <s v="INV1420"/>
    <s v="21-04-2024"/>
    <s v="24LMNOP4321K1Z7"/>
    <s v="Patel Industries"/>
    <n v="40470.879999999997"/>
    <n v="3642.38"/>
    <n v="3642.38"/>
    <n v="47755.64"/>
    <s v="Tally"/>
    <x v="0"/>
    <s v=""/>
    <x v="0"/>
    <s v=""/>
  </r>
  <r>
    <s v="INV1421"/>
    <s v="02-05-2024"/>
    <s v="27ABCDE1234F1Z5"/>
    <s v="Sharma Traders"/>
    <n v="13403.98"/>
    <n v="1206.3599999999999"/>
    <n v="1206.3599999999999"/>
    <n v="15816.7"/>
    <s v="Tally"/>
    <x v="0"/>
    <s v=""/>
    <x v="0"/>
    <s v=""/>
  </r>
  <r>
    <s v="INV1422"/>
    <s v="21-04-2024"/>
    <s v="27ABCDE1234F1Z5"/>
    <s v="Sharma Traders"/>
    <n v="10214.86"/>
    <n v="919.34"/>
    <n v="919.34"/>
    <n v="12053.54"/>
    <s v="Tally"/>
    <x v="0"/>
    <s v=""/>
    <x v="0"/>
    <s v=""/>
  </r>
  <r>
    <s v="INV1423"/>
    <s v="22-04-2024"/>
    <s v="24LMNOP4321K1Z7"/>
    <s v="Patel Industries"/>
    <n v="22390.25"/>
    <n v="2015.12"/>
    <n v="2015.12"/>
    <n v="26420.49"/>
    <s v="Tally"/>
    <x v="0"/>
    <s v="Matched"/>
    <x v="1"/>
    <n v="0"/>
  </r>
  <r>
    <s v="INV1424"/>
    <s v="17-04-2024"/>
    <s v="24LMNOP4321K1Z7"/>
    <s v="Patel Industries"/>
    <n v="46407.839999999997"/>
    <n v="4176.71"/>
    <n v="4176.71"/>
    <n v="54761.26"/>
    <s v="Tally"/>
    <x v="0"/>
    <s v=""/>
    <x v="0"/>
    <s v=""/>
  </r>
  <r>
    <s v="INV1425"/>
    <s v="09-06-2024"/>
    <s v="19ASDFG2468H1Z9"/>
    <s v="Eastern Distributors"/>
    <n v="10532.54"/>
    <n v="947.93"/>
    <n v="947.93"/>
    <n v="12428.4"/>
    <s v="Tally"/>
    <x v="0"/>
    <s v=""/>
    <x v="0"/>
    <s v=""/>
  </r>
  <r>
    <s v="INV1426"/>
    <s v="23-06-2024"/>
    <s v="27ABCDE1234F1Z5"/>
    <s v="Sharma Traders"/>
    <n v="23382.57"/>
    <n v="2104.4299999999998"/>
    <n v="2104.4299999999998"/>
    <n v="27591.43"/>
    <s v="Tally"/>
    <x v="0"/>
    <s v="Matched"/>
    <x v="1"/>
    <n v="0"/>
  </r>
  <r>
    <s v="INV1427"/>
    <s v="04-06-2024"/>
    <s v="29PQRSX5678L1Z2"/>
    <s v="Kiran Enterprises"/>
    <n v="13838.44"/>
    <n v="1245.46"/>
    <n v="1245.46"/>
    <n v="16329.36"/>
    <s v="Tally"/>
    <x v="0"/>
    <s v=""/>
    <x v="0"/>
    <s v=""/>
  </r>
  <r>
    <s v="INV1428"/>
    <s v="21-04-2024"/>
    <s v="24LMNOP4321K1Z7"/>
    <s v="Patel Industries"/>
    <n v="48050.95"/>
    <n v="4324.59"/>
    <n v="4324.59"/>
    <n v="56700.13"/>
    <s v="Tally"/>
    <x v="0"/>
    <s v=""/>
    <x v="0"/>
    <s v=""/>
  </r>
  <r>
    <s v="INV1429"/>
    <s v="28-04-2024"/>
    <s v="19ASDFG2468H1Z9"/>
    <s v="Eastern Distributors"/>
    <n v="18519.93"/>
    <n v="1666.79"/>
    <n v="1666.79"/>
    <n v="21853.51"/>
    <s v="Tally"/>
    <x v="0"/>
    <s v=""/>
    <x v="0"/>
    <s v=""/>
  </r>
  <r>
    <s v="INV1430"/>
    <s v="15-06-2024"/>
    <s v="19ASDFG2468H1Z9"/>
    <s v="Eastern Distributors"/>
    <n v="14834.1"/>
    <n v="1335.07"/>
    <n v="1335.07"/>
    <n v="17504.240000000002"/>
    <s v="Tally"/>
    <x v="0"/>
    <s v=""/>
    <x v="0"/>
    <s v=""/>
  </r>
  <r>
    <s v="INV1431"/>
    <s v="23-06-2024"/>
    <s v="27ABCDE1234F1Z5"/>
    <s v="Sharma Traders"/>
    <n v="39389.11"/>
    <n v="3545.02"/>
    <n v="3545.02"/>
    <n v="46479.15"/>
    <s v="Tally"/>
    <x v="0"/>
    <s v=""/>
    <x v="0"/>
    <s v=""/>
  </r>
  <r>
    <s v="INV1432"/>
    <s v="31-05-2024"/>
    <s v="24LMNOP4321K1Z7"/>
    <s v="Patel Industries"/>
    <n v="11658.84"/>
    <n v="1049.3"/>
    <n v="1049.3"/>
    <n v="13757.44"/>
    <s v="Tally"/>
    <x v="0"/>
    <s v=""/>
    <x v="0"/>
    <s v=""/>
  </r>
  <r>
    <s v="INV1433"/>
    <s v="03-04-2024"/>
    <s v="27ABCDE1234F1Z5"/>
    <s v="Sharma Traders"/>
    <n v="42640.63"/>
    <n v="3837.66"/>
    <n v="3837.66"/>
    <n v="50315.95"/>
    <s v="Tally"/>
    <x v="0"/>
    <s v=""/>
    <x v="0"/>
    <s v=""/>
  </r>
  <r>
    <s v="INV1434"/>
    <s v="27-04-2024"/>
    <s v="07ZXCVB9876M1Z3"/>
    <s v="Gupta Supplies"/>
    <n v="19734.009999999998"/>
    <n v="1776.06"/>
    <n v="1776.06"/>
    <n v="23286.13"/>
    <s v="Tally"/>
    <x v="0"/>
    <s v=""/>
    <x v="0"/>
    <s v=""/>
  </r>
  <r>
    <s v="INV1435"/>
    <s v="18-04-2024"/>
    <s v="29PQRSX5678L1Z2"/>
    <s v="Kiran Enterprises"/>
    <n v="23407.08"/>
    <n v="2106.64"/>
    <n v="2106.64"/>
    <n v="27620.36"/>
    <s v="Tally"/>
    <x v="0"/>
    <s v=""/>
    <x v="0"/>
    <s v=""/>
  </r>
  <r>
    <s v="INV1436"/>
    <s v="24-04-2024"/>
    <s v="07ZXCVB9876M1Z3"/>
    <s v="Gupta Supplies"/>
    <n v="4859.4799999999996"/>
    <n v="437.35"/>
    <n v="437.35"/>
    <n v="5734.18"/>
    <s v="Tally"/>
    <x v="0"/>
    <s v=""/>
    <x v="0"/>
    <s v=""/>
  </r>
  <r>
    <s v="INV1437"/>
    <s v="05-06-2024"/>
    <s v="07ZXCVB9876M1Z3"/>
    <s v="Gupta Supplies"/>
    <n v="44607.31"/>
    <n v="4014.66"/>
    <n v="4014.66"/>
    <n v="52636.63"/>
    <s v="Tally"/>
    <x v="0"/>
    <s v="Matched"/>
    <x v="1"/>
    <n v="0"/>
  </r>
  <r>
    <s v="INV1438"/>
    <s v="21-06-2024"/>
    <s v="29PQRSX5678L1Z2"/>
    <s v="Kiran Enterprises"/>
    <n v="9816.84"/>
    <n v="883.52"/>
    <n v="883.52"/>
    <n v="11583.88"/>
    <s v="Tally"/>
    <x v="0"/>
    <s v=""/>
    <x v="0"/>
    <s v=""/>
  </r>
  <r>
    <s v="INV1439"/>
    <s v="15-06-2024"/>
    <s v="24LMNOP4321K1Z7"/>
    <s v="Patel Industries"/>
    <n v="29129.439999999999"/>
    <n v="2621.65"/>
    <n v="2621.65"/>
    <n v="34372.74"/>
    <s v="Tally"/>
    <x v="0"/>
    <s v=""/>
    <x v="0"/>
    <s v=""/>
  </r>
  <r>
    <s v="INV1440"/>
    <s v="21-05-2024"/>
    <s v="29PQRSX5678L1Z2"/>
    <s v="Kiran Enterprises"/>
    <n v="27021.93"/>
    <n v="2431.9699999999998"/>
    <n v="2431.9699999999998"/>
    <n v="31885.87"/>
    <s v="Tally"/>
    <x v="0"/>
    <s v=""/>
    <x v="0"/>
    <s v=""/>
  </r>
  <r>
    <s v="INV1441"/>
    <s v="07-05-2024"/>
    <s v="27ABCDE1234F1Z5"/>
    <s v="Sharma Traders"/>
    <n v="10755.73"/>
    <n v="968.02"/>
    <n v="968.02"/>
    <n v="12691.77"/>
    <s v="Tally"/>
    <x v="0"/>
    <s v=""/>
    <x v="0"/>
    <s v=""/>
  </r>
  <r>
    <s v="INV1442"/>
    <s v="12-06-2024"/>
    <s v="19ASDFG2468H1Z9"/>
    <s v="Eastern Distributors"/>
    <n v="40128.949999999997"/>
    <n v="3611.61"/>
    <n v="3611.61"/>
    <n v="47352.17"/>
    <s v="Tally"/>
    <x v="0"/>
    <s v=""/>
    <x v="0"/>
    <s v=""/>
  </r>
  <r>
    <s v="INV1443"/>
    <s v="07-06-2024"/>
    <s v="24LMNOP4321K1Z7"/>
    <s v="Patel Industries"/>
    <n v="4123.2"/>
    <n v="371.09"/>
    <n v="371.09"/>
    <n v="4865.38"/>
    <s v="Tally"/>
    <x v="0"/>
    <s v=""/>
    <x v="0"/>
    <s v=""/>
  </r>
  <r>
    <s v="INV1444"/>
    <s v="05-06-2024"/>
    <s v="27ABCDE1234F1Z5"/>
    <s v="Sharma Traders"/>
    <n v="36964.11"/>
    <n v="3326.77"/>
    <n v="3326.77"/>
    <n v="43617.65"/>
    <s v="Tally"/>
    <x v="0"/>
    <s v=""/>
    <x v="0"/>
    <s v=""/>
  </r>
  <r>
    <s v="INV1445"/>
    <s v="29-06-2024"/>
    <s v="19ASDFG2468H1Z9"/>
    <s v="Eastern Distributors"/>
    <n v="44890.25"/>
    <n v="4040.12"/>
    <n v="4040.12"/>
    <n v="52970.49"/>
    <s v="Tally"/>
    <x v="0"/>
    <s v=""/>
    <x v="0"/>
    <s v=""/>
  </r>
  <r>
    <s v="INV1446"/>
    <s v="05-05-2024"/>
    <s v="07ZXCVB9876M1Z3"/>
    <s v="Gupta Supplies"/>
    <n v="41719.67"/>
    <n v="3754.77"/>
    <n v="3754.77"/>
    <n v="49229.21"/>
    <s v="Tally"/>
    <x v="0"/>
    <s v=""/>
    <x v="0"/>
    <s v=""/>
  </r>
  <r>
    <s v="INV1447"/>
    <s v="30-04-2024"/>
    <s v="27ABCDE1234F1Z5"/>
    <s v="Sharma Traders"/>
    <n v="34294.400000000001"/>
    <n v="3086.5"/>
    <n v="3086.5"/>
    <n v="40467.4"/>
    <s v="Tally"/>
    <x v="0"/>
    <s v=""/>
    <x v="0"/>
    <s v=""/>
  </r>
  <r>
    <s v="INV1448"/>
    <s v="11-04-2024"/>
    <s v="07ZXCVB9876M1Z3"/>
    <s v="Gupta Supplies"/>
    <n v="45101.73"/>
    <n v="4059.16"/>
    <n v="4059.16"/>
    <n v="53220.05"/>
    <s v="Tally"/>
    <x v="0"/>
    <s v=""/>
    <x v="0"/>
    <s v=""/>
  </r>
  <r>
    <s v="INV1449"/>
    <s v="10-04-2024"/>
    <s v="24LMNOP4321K1Z7"/>
    <s v="Patel Industries"/>
    <n v="25766.959999999999"/>
    <n v="2319.0300000000002"/>
    <n v="2319.0300000000002"/>
    <n v="30405.02"/>
    <s v="Tally"/>
    <x v="0"/>
    <s v=""/>
    <x v="0"/>
    <s v=""/>
  </r>
  <r>
    <s v="INV1450"/>
    <s v="30-06-2024"/>
    <s v="29PQRSX5678L1Z2"/>
    <s v="Kiran Enterprises"/>
    <n v="16075.83"/>
    <n v="1446.82"/>
    <n v="1446.82"/>
    <n v="18969.47"/>
    <s v="Tally"/>
    <x v="0"/>
    <s v=""/>
    <x v="0"/>
    <s v=""/>
  </r>
  <r>
    <s v="INV1451"/>
    <s v="02-06-2024"/>
    <s v="29PQRSX5678L1Z2"/>
    <s v="Kiran Enterprises"/>
    <n v="40483.269999999997"/>
    <n v="3643.49"/>
    <n v="3643.49"/>
    <n v="47770.25"/>
    <s v="Tally"/>
    <x v="0"/>
    <s v=""/>
    <x v="0"/>
    <s v=""/>
  </r>
  <r>
    <s v="INV1452"/>
    <s v="23-04-2024"/>
    <s v="27ABCDE1234F1Z5"/>
    <s v="Sharma Traders"/>
    <n v="13788.1"/>
    <n v="1240.93"/>
    <n v="1240.93"/>
    <n v="16269.96"/>
    <s v="Tally"/>
    <x v="0"/>
    <s v=""/>
    <x v="0"/>
    <s v=""/>
  </r>
  <r>
    <s v="INV1453"/>
    <s v="07-05-2024"/>
    <s v="27ABCDE1234F1Z5"/>
    <s v="Sharma Traders"/>
    <n v="6996.82"/>
    <n v="629.71"/>
    <n v="629.71"/>
    <n v="8256.24"/>
    <s v="Tally"/>
    <x v="0"/>
    <s v=""/>
    <x v="0"/>
    <s v=""/>
  </r>
  <r>
    <s v="INV1454"/>
    <s v="05-04-2024"/>
    <s v="29PQRSX5678L1Z2"/>
    <s v="Kiran Enterprises"/>
    <n v="11114.14"/>
    <n v="1000.27"/>
    <n v="1000.27"/>
    <n v="13114.68"/>
    <s v="Tally"/>
    <x v="0"/>
    <s v=""/>
    <x v="0"/>
    <s v=""/>
  </r>
  <r>
    <s v="INV1455"/>
    <s v="09-04-2024"/>
    <s v="19ASDFG2468H1Z9"/>
    <s v="Eastern Distributors"/>
    <n v="17305.12"/>
    <n v="1557.46"/>
    <n v="1557.46"/>
    <n v="20420.04"/>
    <s v="Tally"/>
    <x v="0"/>
    <s v=""/>
    <x v="0"/>
    <s v=""/>
  </r>
  <r>
    <s v="INV1456"/>
    <s v="28-05-2024"/>
    <s v="24LMNOP4321K1Z7"/>
    <s v="Patel Industries"/>
    <n v="14322.3"/>
    <n v="1289.01"/>
    <n v="1289.01"/>
    <n v="16900.32"/>
    <s v="Tally"/>
    <x v="0"/>
    <s v=""/>
    <x v="0"/>
    <s v=""/>
  </r>
  <r>
    <s v="INV1457"/>
    <s v="16-05-2024"/>
    <s v="27ABCDE1234F1Z5"/>
    <s v="Sharma Traders"/>
    <n v="17861.189999999999"/>
    <n v="1607.51"/>
    <n v="1607.51"/>
    <n v="21076.21"/>
    <s v="Tally"/>
    <x v="0"/>
    <s v=""/>
    <x v="0"/>
    <s v=""/>
  </r>
  <r>
    <s v="INV1458"/>
    <s v="12-06-2024"/>
    <s v="29PQRSX5678L1Z2"/>
    <s v="Kiran Enterprises"/>
    <n v="23012.12"/>
    <n v="2071.09"/>
    <n v="2071.09"/>
    <n v="27154.3"/>
    <s v="Tally"/>
    <x v="0"/>
    <s v=""/>
    <x v="0"/>
    <s v=""/>
  </r>
  <r>
    <s v="INV1459"/>
    <s v="19-05-2024"/>
    <s v="07ZXCVB9876M1Z3"/>
    <s v="Gupta Supplies"/>
    <n v="11996.28"/>
    <n v="1079.67"/>
    <n v="1079.67"/>
    <n v="14155.62"/>
    <s v="Tally"/>
    <x v="0"/>
    <s v=""/>
    <x v="0"/>
    <s v=""/>
  </r>
  <r>
    <s v="INV1460"/>
    <s v="26-05-2024"/>
    <s v="19ASDFG2468H1Z9"/>
    <s v="Eastern Distributors"/>
    <n v="37646.36"/>
    <n v="3388.17"/>
    <n v="3388.17"/>
    <n v="44422.7"/>
    <s v="Tally"/>
    <x v="0"/>
    <s v=""/>
    <x v="0"/>
    <s v=""/>
  </r>
  <r>
    <s v="INV1461"/>
    <s v="05-06-2024"/>
    <s v="29PQRSX5678L1Z2"/>
    <s v="Kiran Enterprises"/>
    <n v="42062.52"/>
    <n v="3785.63"/>
    <n v="3785.63"/>
    <n v="49633.78"/>
    <s v="Tally"/>
    <x v="0"/>
    <s v="Matched"/>
    <x v="1"/>
    <n v="0"/>
  </r>
  <r>
    <s v="INV1462"/>
    <s v="08-06-2024"/>
    <s v="29PQRSX5678L1Z2"/>
    <s v="Kiran Enterprises"/>
    <n v="18167.54"/>
    <n v="1635.08"/>
    <n v="1635.08"/>
    <n v="21437.7"/>
    <s v="Tally"/>
    <x v="0"/>
    <s v=""/>
    <x v="0"/>
    <s v=""/>
  </r>
  <r>
    <s v="INV1463"/>
    <s v="14-05-2024"/>
    <s v="29PQRSX5678L1Z2"/>
    <s v="Kiran Enterprises"/>
    <n v="19746.78"/>
    <n v="1777.21"/>
    <n v="1777.21"/>
    <n v="23301.200000000001"/>
    <s v="Tally"/>
    <x v="0"/>
    <s v=""/>
    <x v="0"/>
    <s v=""/>
  </r>
  <r>
    <s v="INV1464"/>
    <s v="21-05-2024"/>
    <s v="24LMNOP4321K1Z7"/>
    <s v="Patel Industries"/>
    <n v="10797.05"/>
    <n v="971.73"/>
    <n v="971.73"/>
    <n v="12740.51"/>
    <s v="Tally"/>
    <x v="0"/>
    <s v=""/>
    <x v="0"/>
    <s v=""/>
  </r>
  <r>
    <s v="INV1465"/>
    <s v="14-06-2024"/>
    <s v="07ZXCVB9876M1Z3"/>
    <s v="Gupta Supplies"/>
    <n v="29304.52"/>
    <n v="2637.41"/>
    <n v="2637.41"/>
    <n v="34579.339999999997"/>
    <s v="Tally"/>
    <x v="0"/>
    <s v=""/>
    <x v="0"/>
    <s v=""/>
  </r>
  <r>
    <s v="INV1466"/>
    <s v="22-06-2024"/>
    <s v="24LMNOP4321K1Z7"/>
    <s v="Patel Industries"/>
    <n v="20156.62"/>
    <n v="1814.1"/>
    <n v="1814.1"/>
    <n v="23784.82"/>
    <s v="Tally"/>
    <x v="0"/>
    <s v="Matched"/>
    <x v="1"/>
    <n v="0"/>
  </r>
  <r>
    <s v="INV1467"/>
    <s v="05-05-2024"/>
    <s v="07ZXCVB9876M1Z3"/>
    <s v="Gupta Supplies"/>
    <n v="7624.92"/>
    <n v="686.24"/>
    <n v="686.24"/>
    <n v="8997.4"/>
    <s v="Tally"/>
    <x v="0"/>
    <s v="Matched"/>
    <x v="1"/>
    <n v="0"/>
  </r>
  <r>
    <s v="INV1468"/>
    <s v="01-06-2024"/>
    <s v="19ASDFG2468H1Z9"/>
    <s v="Eastern Distributors"/>
    <n v="11554.74"/>
    <n v="1039.93"/>
    <n v="1039.93"/>
    <n v="13634.6"/>
    <s v="Tally"/>
    <x v="0"/>
    <s v=""/>
    <x v="0"/>
    <s v=""/>
  </r>
  <r>
    <s v="INV1469"/>
    <s v="01-06-2024"/>
    <s v="07ZXCVB9876M1Z3"/>
    <s v="Gupta Supplies"/>
    <n v="34880.239999999998"/>
    <n v="3139.22"/>
    <n v="3139.22"/>
    <n v="41158.68"/>
    <s v="Tally"/>
    <x v="0"/>
    <s v=""/>
    <x v="0"/>
    <s v=""/>
  </r>
  <r>
    <s v="INV1470"/>
    <s v="05-06-2024"/>
    <s v="24LMNOP4321K1Z7"/>
    <s v="Patel Industries"/>
    <n v="37929.74"/>
    <n v="3413.68"/>
    <n v="3413.68"/>
    <n v="44757.1"/>
    <s v="Tally"/>
    <x v="0"/>
    <s v=""/>
    <x v="0"/>
    <s v=""/>
  </r>
  <r>
    <s v="INV1471"/>
    <s v="22-04-2024"/>
    <s v="07ZXCVB9876M1Z3"/>
    <s v="Gupta Supplies"/>
    <n v="13780.12"/>
    <n v="1240.21"/>
    <n v="1240.21"/>
    <n v="16260.54"/>
    <s v="Tally"/>
    <x v="0"/>
    <s v=""/>
    <x v="0"/>
    <s v=""/>
  </r>
  <r>
    <s v="INV1472"/>
    <s v="28-06-2024"/>
    <s v="27ABCDE1234F1Z5"/>
    <s v="Sharma Traders"/>
    <n v="3607.99"/>
    <n v="324.72000000000003"/>
    <n v="324.72000000000003"/>
    <n v="4257.43"/>
    <s v="Tally"/>
    <x v="0"/>
    <s v="Matched"/>
    <x v="1"/>
    <n v="0"/>
  </r>
  <r>
    <s v="INV1473"/>
    <s v="29-04-2024"/>
    <s v="07ZXCVB9876M1Z3"/>
    <s v="Gupta Supplies"/>
    <n v="4888.24"/>
    <n v="439.94"/>
    <n v="439.94"/>
    <n v="5768.12"/>
    <s v="Tally"/>
    <x v="0"/>
    <s v=""/>
    <x v="0"/>
    <s v=""/>
  </r>
  <r>
    <s v="INV1474"/>
    <s v="02-04-2024"/>
    <s v="27ABCDE1234F1Z5"/>
    <s v="Sharma Traders"/>
    <n v="34213.35"/>
    <n v="3079.2"/>
    <n v="3079.2"/>
    <n v="40371.75"/>
    <s v="Tally"/>
    <x v="0"/>
    <s v=""/>
    <x v="0"/>
    <s v=""/>
  </r>
  <r>
    <s v="INV1475"/>
    <s v="03-05-2024"/>
    <s v="27ABCDE1234F1Z5"/>
    <s v="Sharma Traders"/>
    <n v="25820.25"/>
    <n v="2323.8200000000002"/>
    <n v="2323.8200000000002"/>
    <n v="30467.89"/>
    <s v="Tally"/>
    <x v="0"/>
    <s v=""/>
    <x v="0"/>
    <s v=""/>
  </r>
  <r>
    <s v="INV1476"/>
    <s v="11-05-2024"/>
    <s v="07ZXCVB9876M1Z3"/>
    <s v="Gupta Supplies"/>
    <n v="39682.800000000003"/>
    <n v="3571.45"/>
    <n v="3571.45"/>
    <n v="46825.7"/>
    <s v="Tally"/>
    <x v="0"/>
    <s v=""/>
    <x v="0"/>
    <s v=""/>
  </r>
  <r>
    <s v="INV1477"/>
    <s v="25-06-2024"/>
    <s v="19ASDFG2468H1Z9"/>
    <s v="Eastern Distributors"/>
    <n v="12712.55"/>
    <n v="1144.1300000000001"/>
    <n v="1144.1300000000001"/>
    <n v="15000.81"/>
    <s v="Tally"/>
    <x v="0"/>
    <s v=""/>
    <x v="0"/>
    <s v=""/>
  </r>
  <r>
    <s v="INV1478"/>
    <s v="13-04-2024"/>
    <s v="29PQRSX5678L1Z2"/>
    <s v="Kiran Enterprises"/>
    <n v="22516.27"/>
    <n v="2026.46"/>
    <n v="2026.46"/>
    <n v="26569.19"/>
    <s v="Tally"/>
    <x v="0"/>
    <s v=""/>
    <x v="0"/>
    <s v=""/>
  </r>
  <r>
    <s v="INV1479"/>
    <s v="06-05-2024"/>
    <s v="19ASDFG2468H1Z9"/>
    <s v="Eastern Distributors"/>
    <n v="13668.71"/>
    <n v="1230.18"/>
    <n v="1230.18"/>
    <n v="16129.07"/>
    <s v="Tally"/>
    <x v="0"/>
    <s v=""/>
    <x v="0"/>
    <s v=""/>
  </r>
  <r>
    <s v="INV1480"/>
    <s v="13-06-2024"/>
    <s v="07ZXCVB9876M1Z3"/>
    <s v="Gupta Supplies"/>
    <n v="29372.45"/>
    <n v="2643.52"/>
    <n v="2643.52"/>
    <n v="34659.49"/>
    <s v="Tally"/>
    <x v="0"/>
    <s v=""/>
    <x v="0"/>
    <s v=""/>
  </r>
  <r>
    <s v="INV1481"/>
    <s v="16-05-2024"/>
    <s v="27ABCDE1234F1Z5"/>
    <s v="Sharma Traders"/>
    <n v="36504.97"/>
    <n v="3285.45"/>
    <n v="3285.45"/>
    <n v="43075.87"/>
    <s v="Tally"/>
    <x v="0"/>
    <s v=""/>
    <x v="0"/>
    <s v=""/>
  </r>
  <r>
    <s v="INV1482"/>
    <s v="19-06-2024"/>
    <s v="27ABCDE1234F1Z5"/>
    <s v="Sharma Traders"/>
    <n v="39177.760000000002"/>
    <n v="3526"/>
    <n v="3526"/>
    <n v="46229.760000000002"/>
    <s v="Tally"/>
    <x v="0"/>
    <s v=""/>
    <x v="0"/>
    <s v=""/>
  </r>
  <r>
    <s v="INV1483"/>
    <s v="07-06-2024"/>
    <s v="24LMNOP4321K1Z7"/>
    <s v="Patel Industries"/>
    <n v="23683.46"/>
    <n v="2131.5100000000002"/>
    <n v="2131.5100000000002"/>
    <n v="27946.48"/>
    <s v="Tally"/>
    <x v="0"/>
    <s v=""/>
    <x v="0"/>
    <s v=""/>
  </r>
  <r>
    <s v="INV1484"/>
    <s v="29-06-2024"/>
    <s v="24LMNOP4321K1Z7"/>
    <s v="Patel Industries"/>
    <n v="27699.35"/>
    <n v="2492.94"/>
    <n v="2492.94"/>
    <n v="32685.23"/>
    <s v="Tally"/>
    <x v="0"/>
    <s v=""/>
    <x v="0"/>
    <s v=""/>
  </r>
  <r>
    <s v="INV1485"/>
    <s v="26-05-2024"/>
    <s v="19ASDFG2468H1Z9"/>
    <s v="Eastern Distributors"/>
    <n v="29699.66"/>
    <n v="2672.97"/>
    <n v="2672.97"/>
    <n v="35045.599999999999"/>
    <s v="Tally"/>
    <x v="0"/>
    <s v=""/>
    <x v="0"/>
    <s v=""/>
  </r>
  <r>
    <s v="INV1486"/>
    <s v="23-05-2024"/>
    <s v="29PQRSX5678L1Z2"/>
    <s v="Kiran Enterprises"/>
    <n v="23477.34"/>
    <n v="2112.96"/>
    <n v="2112.96"/>
    <n v="27703.26"/>
    <s v="Tally"/>
    <x v="0"/>
    <s v=""/>
    <x v="0"/>
    <s v=""/>
  </r>
  <r>
    <s v="INV1487"/>
    <s v="14-04-2024"/>
    <s v="07ZXCVB9876M1Z3"/>
    <s v="Gupta Supplies"/>
    <n v="29074.52"/>
    <n v="2616.71"/>
    <n v="2616.71"/>
    <n v="34307.94"/>
    <s v="Tally"/>
    <x v="0"/>
    <s v=""/>
    <x v="0"/>
    <s v=""/>
  </r>
  <r>
    <s v="INV1488"/>
    <s v="09-04-2024"/>
    <s v="27ABCDE1234F1Z5"/>
    <s v="Sharma Traders"/>
    <n v="33091.49"/>
    <n v="2978.23"/>
    <n v="2978.23"/>
    <n v="39047.949999999997"/>
    <s v="Tally"/>
    <x v="0"/>
    <s v=""/>
    <x v="0"/>
    <s v=""/>
  </r>
  <r>
    <s v="INV1489"/>
    <s v="23-05-2024"/>
    <s v="19ASDFG2468H1Z9"/>
    <s v="Eastern Distributors"/>
    <n v="4425.41"/>
    <n v="398.29"/>
    <n v="398.29"/>
    <n v="5221.99"/>
    <s v="Tally"/>
    <x v="0"/>
    <s v=""/>
    <x v="0"/>
    <s v=""/>
  </r>
  <r>
    <s v="INV1490"/>
    <s v="08-05-2024"/>
    <s v="27ABCDE1234F1Z5"/>
    <s v="Sharma Traders"/>
    <n v="44508.35"/>
    <n v="4005.75"/>
    <n v="4005.75"/>
    <n v="52519.85"/>
    <s v="Tally"/>
    <x v="0"/>
    <s v=""/>
    <x v="0"/>
    <s v=""/>
  </r>
  <r>
    <s v="INV1491"/>
    <s v="26-04-2024"/>
    <s v="19ASDFG2468H1Z9"/>
    <s v="Eastern Distributors"/>
    <n v="3571.68"/>
    <n v="321.45"/>
    <n v="321.45"/>
    <n v="4214.58"/>
    <s v="Tally"/>
    <x v="0"/>
    <s v="Matched"/>
    <x v="1"/>
    <n v="0"/>
  </r>
  <r>
    <s v="INV1492"/>
    <s v="01-06-2024"/>
    <s v="29PQRSX5678L1Z2"/>
    <s v="Kiran Enterprises"/>
    <n v="7633.42"/>
    <n v="687.01"/>
    <n v="687.01"/>
    <n v="9007.44"/>
    <s v="Tally"/>
    <x v="0"/>
    <s v=""/>
    <x v="0"/>
    <s v=""/>
  </r>
  <r>
    <s v="INV1493"/>
    <s v="09-04-2024"/>
    <s v="07ZXCVB9876M1Z3"/>
    <s v="Gupta Supplies"/>
    <n v="3794.7"/>
    <n v="341.52"/>
    <n v="341.52"/>
    <n v="4477.74"/>
    <s v="Tally"/>
    <x v="0"/>
    <s v=""/>
    <x v="0"/>
    <s v=""/>
  </r>
  <r>
    <s v="INV1494"/>
    <s v="28-04-2024"/>
    <s v="07ZXCVB9876M1Z3"/>
    <s v="Gupta Supplies"/>
    <n v="11312.88"/>
    <n v="1018.16"/>
    <n v="1018.16"/>
    <n v="13349.2"/>
    <s v="Tally"/>
    <x v="0"/>
    <s v="Matched"/>
    <x v="1"/>
    <n v="0"/>
  </r>
  <r>
    <s v="INV1495"/>
    <s v="27-05-2024"/>
    <s v="24LMNOP4321K1Z7"/>
    <s v="Patel Industries"/>
    <n v="12468.79"/>
    <n v="1122.19"/>
    <n v="1122.19"/>
    <n v="14713.17"/>
    <s v="Tally"/>
    <x v="0"/>
    <s v=""/>
    <x v="0"/>
    <s v=""/>
  </r>
  <r>
    <s v="INV1496"/>
    <s v="02-06-2024"/>
    <s v="27ABCDE1234F1Z5"/>
    <s v="Sharma Traders"/>
    <n v="13872.95"/>
    <n v="1248.57"/>
    <n v="1248.57"/>
    <n v="16370.09"/>
    <s v="Tally"/>
    <x v="0"/>
    <s v=""/>
    <x v="0"/>
    <s v=""/>
  </r>
  <r>
    <s v="INV1497"/>
    <s v="24-04-2024"/>
    <s v="19ASDFG2468H1Z9"/>
    <s v="Eastern Distributors"/>
    <n v="11907.67"/>
    <n v="1071.69"/>
    <n v="1071.69"/>
    <n v="14051.05"/>
    <s v="Tally"/>
    <x v="0"/>
    <s v=""/>
    <x v="0"/>
    <s v=""/>
  </r>
  <r>
    <s v="INV1498"/>
    <s v="26-06-2024"/>
    <s v="29PQRSX5678L1Z2"/>
    <s v="Kiran Enterprises"/>
    <n v="43565.62"/>
    <n v="3920.91"/>
    <n v="3920.91"/>
    <n v="51407.44"/>
    <s v="Tally"/>
    <x v="0"/>
    <s v=""/>
    <x v="0"/>
    <s v=""/>
  </r>
  <r>
    <s v="INV1499"/>
    <s v="15-04-2024"/>
    <s v="24LMNOP4321K1Z7"/>
    <s v="Patel Industries"/>
    <n v="32370.75"/>
    <n v="2913.37"/>
    <n v="2913.37"/>
    <n v="38197.49"/>
    <s v="Tally"/>
    <x v="0"/>
    <s v=""/>
    <x v="0"/>
    <s v=""/>
  </r>
  <r>
    <s v="INV1366"/>
    <s v="19-06-2024"/>
    <s v="07ZXCVB9876M1Z3"/>
    <s v="Gupta Supplies"/>
    <n v="28366.81"/>
    <n v="2553.0100000000002"/>
    <n v="2553.0100000000002"/>
    <n v="33472.83"/>
    <s v="GST"/>
    <x v="0"/>
    <s v="Matched"/>
    <x v="1"/>
    <n v="0"/>
  </r>
  <r>
    <s v="INV1408"/>
    <s v="13-05-2024"/>
    <s v="07ZXCVB9876M1Z3"/>
    <s v="Gupta Supplies"/>
    <n v="20204.21"/>
    <n v="1818.38"/>
    <n v="1818.38"/>
    <n v="23840.97"/>
    <s v="GST"/>
    <x v="0"/>
    <s v="Matched"/>
    <x v="1"/>
    <n v="0"/>
  </r>
  <r>
    <s v="INV1059"/>
    <s v="27-05-2024"/>
    <s v="29PQRSX5678L1Z2"/>
    <s v="Kiran Enterprises"/>
    <n v="44289.59"/>
    <n v="3986.06"/>
    <n v="3986.06"/>
    <n v="52261.71"/>
    <s v="GST"/>
    <x v="1"/>
    <s v=""/>
    <x v="3"/>
    <s v=""/>
  </r>
  <r>
    <s v="INV1351"/>
    <s v="11-05-2024"/>
    <s v="19ASDFG2468H1Z9"/>
    <s v="Eastern Distributors"/>
    <n v="35302.49"/>
    <n v="3177.22"/>
    <n v="3177.22"/>
    <n v="41656.93"/>
    <s v="GST"/>
    <x v="0"/>
    <s v="Matched"/>
    <x v="1"/>
    <n v="0"/>
  </r>
  <r>
    <s v="INV1029"/>
    <s v="01-05-2024"/>
    <s v="19ASDFG2468H1Z9"/>
    <s v="Eastern Distributors"/>
    <n v="38382.44"/>
    <n v="3454.42"/>
    <n v="3454.42"/>
    <n v="45291.28"/>
    <s v="GST"/>
    <x v="0"/>
    <s v="Matched"/>
    <x v="1"/>
    <n v="0"/>
  </r>
  <r>
    <s v="INV1107"/>
    <s v="12-06-2024"/>
    <s v="19ASDFG2468H1Z9"/>
    <s v="Eastern Distributors"/>
    <n v="13242.61"/>
    <n v="1191.83"/>
    <n v="1191.83"/>
    <n v="15626.27"/>
    <s v="GST"/>
    <x v="0"/>
    <s v="Matched"/>
    <x v="1"/>
    <n v="0"/>
  </r>
  <r>
    <s v="INV1354"/>
    <s v="22-06-2024"/>
    <s v="24LMNOP4321K1Z7"/>
    <s v="Patel Industries"/>
    <n v="31697.52"/>
    <n v="2852.78"/>
    <n v="2852.78"/>
    <n v="37403.08"/>
    <s v="GST"/>
    <x v="1"/>
    <s v=""/>
    <x v="3"/>
    <s v=""/>
  </r>
  <r>
    <s v="INV1095"/>
    <s v="26-06-2024"/>
    <s v="29PQRSX5678L1Z2"/>
    <s v="Kiran Enterprises"/>
    <n v="7177.44"/>
    <n v="645.97"/>
    <n v="645.97"/>
    <n v="8469.3799999999992"/>
    <s v="GST"/>
    <x v="0"/>
    <s v="Matched"/>
    <x v="1"/>
    <n v="0"/>
  </r>
  <r>
    <s v="INV1494"/>
    <s v="28-04-2024"/>
    <s v="07ZXCVB9876M1Z3"/>
    <s v="Gupta Supplies"/>
    <n v="11312.88"/>
    <n v="1018.16"/>
    <n v="1018.16"/>
    <n v="13349.2"/>
    <s v="GST"/>
    <x v="0"/>
    <s v="Matched"/>
    <x v="1"/>
    <n v="0"/>
  </r>
  <r>
    <s v="INV1243"/>
    <s v="26-06-2024"/>
    <s v="19ASDFG2468H1Z9"/>
    <s v="Eastern Distributors"/>
    <n v="8951.81"/>
    <n v="805.66"/>
    <n v="805.66"/>
    <n v="10563.13"/>
    <s v="GST"/>
    <x v="0"/>
    <s v="Matched"/>
    <x v="1"/>
    <n v="0"/>
  </r>
  <r>
    <s v="INV1146"/>
    <s v="05-05-2024"/>
    <s v="07ZXCVB9876M1Z3"/>
    <s v="Gupta Supplies"/>
    <n v="33740.379999999997"/>
    <n v="3036.63"/>
    <n v="3036.63"/>
    <n v="39813.64"/>
    <s v="GST"/>
    <x v="0"/>
    <s v="Matched"/>
    <x v="1"/>
    <n v="0"/>
  </r>
  <r>
    <s v="INV1491"/>
    <s v="26-04-2024"/>
    <s v="19ASDFG2468H1Z9"/>
    <s v="Eastern Distributors"/>
    <n v="3571.68"/>
    <n v="321.45"/>
    <n v="321.45"/>
    <n v="4214.58"/>
    <s v="GST"/>
    <x v="0"/>
    <s v="Matched"/>
    <x v="1"/>
    <n v="0"/>
  </r>
  <r>
    <s v="INV1339"/>
    <s v="31-05-2024"/>
    <s v="27ABCDE1234F1Z5"/>
    <s v="Sharma Traders"/>
    <n v="10275.1"/>
    <n v="924.76"/>
    <n v="924.76"/>
    <n v="12124.62"/>
    <s v="GST"/>
    <x v="1"/>
    <s v=""/>
    <x v="3"/>
    <s v=""/>
  </r>
  <r>
    <s v="INV1123"/>
    <s v="02-04-2024"/>
    <s v="24LMNOP4321K1Z7"/>
    <s v="Patel Industries"/>
    <n v="38965.550000000003"/>
    <n v="3506.9"/>
    <n v="3506.9"/>
    <n v="45979.35"/>
    <s v="GST"/>
    <x v="0"/>
    <s v="Matched"/>
    <x v="1"/>
    <n v="0"/>
  </r>
  <r>
    <s v="INV1091"/>
    <s v="14-05-2024"/>
    <s v="29PQRSX5678L1Z2"/>
    <s v="Kiran Enterprises"/>
    <n v="28782.54"/>
    <n v="2590.4299999999998"/>
    <n v="2590.4299999999998"/>
    <n v="33963.4"/>
    <s v="GST"/>
    <x v="0"/>
    <s v="Matched"/>
    <x v="1"/>
    <n v="0"/>
  </r>
  <r>
    <s v="INV1364"/>
    <s v="26-06-2024"/>
    <s v="27ABCDE1234F1Z5"/>
    <s v="Sharma Traders"/>
    <n v="35963.81"/>
    <n v="3236.74"/>
    <n v="3236.74"/>
    <n v="42437.29"/>
    <s v="GST"/>
    <x v="0"/>
    <s v="Matched"/>
    <x v="1"/>
    <n v="0"/>
  </r>
  <r>
    <s v="INV1106"/>
    <s v="27-05-2024"/>
    <s v="19ASDFG2468H1Z9"/>
    <s v="Eastern Distributors"/>
    <n v="49107.12"/>
    <n v="4419.6400000000003"/>
    <n v="4419.6400000000003"/>
    <n v="57946.400000000001"/>
    <s v="GST"/>
    <x v="0"/>
    <s v="Matched"/>
    <x v="1"/>
    <n v="0"/>
  </r>
  <r>
    <s v="INV1467"/>
    <s v="05-05-2024"/>
    <s v="07ZXCVB9876M1Z3"/>
    <s v="Gupta Supplies"/>
    <n v="7624.92"/>
    <n v="686.24"/>
    <n v="686.24"/>
    <n v="8997.4"/>
    <s v="GST"/>
    <x v="0"/>
    <s v="Matched"/>
    <x v="1"/>
    <n v="0"/>
  </r>
  <r>
    <s v="INV1328"/>
    <s v="29-06-2024"/>
    <s v="27ABCDE1234F1Z5"/>
    <s v="Sharma Traders"/>
    <n v="3292.74"/>
    <n v="296.35000000000002"/>
    <n v="296.35000000000002"/>
    <n v="3885.44"/>
    <s v="GST"/>
    <x v="0"/>
    <s v="Matched"/>
    <x v="1"/>
    <n v="0"/>
  </r>
  <r>
    <s v="INV1217"/>
    <s v="17-04-2024"/>
    <s v="19ASDFG2468H1Z9"/>
    <s v="Eastern Distributors"/>
    <n v="3538.62"/>
    <n v="318.48"/>
    <n v="318.48"/>
    <n v="4175.58"/>
    <s v="GST"/>
    <x v="0"/>
    <s v="Matched"/>
    <x v="1"/>
    <n v="0"/>
  </r>
  <r>
    <s v="INV1055"/>
    <s v="27-05-2024"/>
    <s v="29PQRSX5678L1Z2"/>
    <s v="Kiran Enterprises"/>
    <n v="20484.740000000002"/>
    <n v="1843.63"/>
    <n v="1843.63"/>
    <n v="24172"/>
    <s v="GST"/>
    <x v="0"/>
    <s v="Matched"/>
    <x v="1"/>
    <n v="0"/>
  </r>
  <r>
    <s v="INV1409"/>
    <s v="14-06-2024"/>
    <s v="29PQRSX5678L1Z2"/>
    <s v="Kiran Enterprises"/>
    <n v="46141.54"/>
    <n v="4152.74"/>
    <n v="4152.74"/>
    <n v="54447.02"/>
    <s v="GST"/>
    <x v="0"/>
    <s v="Matched"/>
    <x v="1"/>
    <n v="0"/>
  </r>
  <r>
    <s v="INV1049"/>
    <s v="12-05-2024"/>
    <s v="29PQRSX5678L1Z2"/>
    <s v="Kiran Enterprises"/>
    <n v="26513.16"/>
    <n v="2386.1799999999998"/>
    <n v="2386.1799999999998"/>
    <n v="31285.52"/>
    <s v="GST"/>
    <x v="0"/>
    <s v="Matched"/>
    <x v="1"/>
    <n v="0"/>
  </r>
  <r>
    <s v="INV1258"/>
    <s v="12-04-2024"/>
    <s v="24LMNOP4321K1Z7"/>
    <s v="Patel Industries"/>
    <n v="15459.13"/>
    <n v="1391.32"/>
    <n v="1391.32"/>
    <n v="18241.77"/>
    <s v="GST"/>
    <x v="0"/>
    <s v="Matched"/>
    <x v="1"/>
    <n v="0"/>
  </r>
  <r>
    <s v="INV1245"/>
    <s v="09-04-2024"/>
    <s v="19ASDFG2468H1Z9"/>
    <s v="Eastern Distributors"/>
    <n v="9898.69"/>
    <n v="890.88"/>
    <n v="890.88"/>
    <n v="11680.45"/>
    <s v="GST"/>
    <x v="0"/>
    <s v="Matched"/>
    <x v="1"/>
    <n v="0"/>
  </r>
  <r>
    <s v="INV1007"/>
    <s v="02-06-2024"/>
    <s v="19ASDFG2468H1Z9"/>
    <s v="Eastern Distributors"/>
    <n v="29107.09"/>
    <n v="2619.64"/>
    <n v="2619.64"/>
    <n v="34346.370000000003"/>
    <s v="GST"/>
    <x v="0"/>
    <s v="Matched"/>
    <x v="1"/>
    <n v="0"/>
  </r>
  <r>
    <s v="INV1019"/>
    <s v="11-05-2024"/>
    <s v="24LMNOP4321K1Z7"/>
    <s v="Patel Industries"/>
    <n v="37378.43"/>
    <n v="3364.06"/>
    <n v="3364.06"/>
    <n v="44106.55"/>
    <s v="GST"/>
    <x v="0"/>
    <s v="Matched"/>
    <x v="1"/>
    <n v="0"/>
  </r>
  <r>
    <s v="INV1269"/>
    <s v="05-05-2024"/>
    <s v="29PQRSX5678L1Z2"/>
    <s v="Kiran Enterprises"/>
    <n v="12390.76"/>
    <n v="1115.17"/>
    <n v="1115.17"/>
    <n v="14621.1"/>
    <s v="GST"/>
    <x v="0"/>
    <s v="Matched"/>
    <x v="1"/>
    <n v="0"/>
  </r>
  <r>
    <s v="INV1295"/>
    <s v="19-05-2024"/>
    <s v="19ASDFG2468H1Z9"/>
    <s v="Eastern Distributors"/>
    <n v="23059.78"/>
    <n v="2075.38"/>
    <n v="2075.38"/>
    <n v="27210.54"/>
    <s v="GST"/>
    <x v="1"/>
    <s v=""/>
    <x v="3"/>
    <s v=""/>
  </r>
  <r>
    <s v="INV1354"/>
    <s v="22-06-2024"/>
    <s v="24LMNOP4321K1Z7"/>
    <s v="Patel Industries"/>
    <n v="31697.52"/>
    <n v="2852.78"/>
    <n v="2852.78"/>
    <n v="37403.08"/>
    <s v="GST"/>
    <x v="1"/>
    <s v=""/>
    <x v="3"/>
    <s v=""/>
  </r>
  <r>
    <s v="INV1276"/>
    <s v="26-06-2024"/>
    <s v="24LMNOP4321K1Z7"/>
    <s v="Patel Industries"/>
    <n v="4469.43"/>
    <n v="402.25"/>
    <n v="402.25"/>
    <n v="5273.93"/>
    <s v="GST"/>
    <x v="0"/>
    <s v="Matched"/>
    <x v="1"/>
    <n v="0"/>
  </r>
  <r>
    <s v="INV1059"/>
    <s v="27-05-2024"/>
    <s v="29PQRSX5678L1Z2"/>
    <s v="Kiran Enterprises"/>
    <n v="44289.59"/>
    <n v="3986.06"/>
    <n v="3986.06"/>
    <n v="52261.71"/>
    <s v="GST"/>
    <x v="1"/>
    <s v=""/>
    <x v="3"/>
    <s v=""/>
  </r>
  <r>
    <s v="INV1466"/>
    <s v="22-06-2024"/>
    <s v="24LMNOP4321K1Z7"/>
    <s v="Patel Industries"/>
    <n v="20156.62"/>
    <n v="1814.1"/>
    <n v="1814.1"/>
    <n v="23784.82"/>
    <s v="GST"/>
    <x v="0"/>
    <s v="Matched"/>
    <x v="1"/>
    <n v="0"/>
  </r>
  <r>
    <s v="INV1067"/>
    <s v="30-04-2024"/>
    <s v="27ABCDE1234F1Z5"/>
    <s v="Sharma Traders"/>
    <n v="2999.91"/>
    <n v="269.99"/>
    <n v="269.99"/>
    <n v="3539.89"/>
    <s v="GST"/>
    <x v="0"/>
    <s v="Matched"/>
    <x v="1"/>
    <n v="0"/>
  </r>
  <r>
    <s v="INV1339"/>
    <s v="31-05-2024"/>
    <s v="27ABCDE1234F1Z5"/>
    <s v="Sharma Traders"/>
    <n v="10275.1"/>
    <n v="924.76"/>
    <n v="924.76"/>
    <n v="12124.62"/>
    <s v="GST"/>
    <x v="1"/>
    <s v=""/>
    <x v="3"/>
    <s v=""/>
  </r>
  <r>
    <s v="INV1288"/>
    <s v="13-05-2024"/>
    <s v="29PQRSX5678L1Z2"/>
    <s v="Kiran Enterprises"/>
    <n v="47050.92"/>
    <n v="4234.58"/>
    <n v="4234.58"/>
    <n v="55520.08"/>
    <s v="GST"/>
    <x v="0"/>
    <s v="Matched"/>
    <x v="1"/>
    <n v="0"/>
  </r>
  <r>
    <s v="INV1461"/>
    <s v="05-06-2024"/>
    <s v="29PQRSX5678L1Z2"/>
    <s v="Kiran Enterprises"/>
    <n v="42062.52"/>
    <n v="3785.63"/>
    <n v="3785.63"/>
    <n v="49633.78"/>
    <s v="GST"/>
    <x v="0"/>
    <s v="Matched"/>
    <x v="1"/>
    <n v="0"/>
  </r>
  <r>
    <s v="INV1426"/>
    <s v="23-06-2024"/>
    <s v="27ABCDE1234F1Z5"/>
    <s v="Sharma Traders"/>
    <n v="23382.57"/>
    <n v="2104.4299999999998"/>
    <n v="2104.4299999999998"/>
    <n v="27591.43"/>
    <s v="GST"/>
    <x v="0"/>
    <s v="Matched"/>
    <x v="1"/>
    <n v="0"/>
  </r>
  <r>
    <s v="INV1423"/>
    <s v="22-04-2024"/>
    <s v="24LMNOP4321K1Z7"/>
    <s v="Patel Industries"/>
    <n v="22390.25"/>
    <n v="2015.12"/>
    <n v="2015.12"/>
    <n v="26420.49"/>
    <s v="GST"/>
    <x v="0"/>
    <s v="Matched"/>
    <x v="1"/>
    <n v="0"/>
  </r>
  <r>
    <s v="INV1096"/>
    <s v="27-06-2024"/>
    <s v="19ASDFG2468H1Z9"/>
    <s v="Eastern Distributors"/>
    <n v="13381.51"/>
    <n v="1204.3399999999999"/>
    <n v="1204.3399999999999"/>
    <n v="15790.19"/>
    <s v="GST"/>
    <x v="1"/>
    <s v=""/>
    <x v="3"/>
    <s v=""/>
  </r>
  <r>
    <s v="INV1437"/>
    <s v="05-06-2024"/>
    <s v="07ZXCVB9876M1Z3"/>
    <s v="Gupta Supplies"/>
    <n v="44607.31"/>
    <n v="4014.66"/>
    <n v="4014.66"/>
    <n v="52636.63"/>
    <s v="GST"/>
    <x v="0"/>
    <s v="Matched"/>
    <x v="1"/>
    <n v="0"/>
  </r>
  <r>
    <s v="INV1295"/>
    <s v="19-05-2024"/>
    <s v="19ASDFG2468H1Z9"/>
    <s v="Eastern Distributors"/>
    <n v="23059.78"/>
    <n v="2075.38"/>
    <n v="2075.38"/>
    <n v="27210.54"/>
    <s v="GST"/>
    <x v="1"/>
    <s v=""/>
    <x v="3"/>
    <s v=""/>
  </r>
  <r>
    <s v="INV1038"/>
    <s v="10-04-2024"/>
    <s v="29PQRSX5678L1Z2"/>
    <s v="Kiran Enterprises"/>
    <n v="14784.51"/>
    <n v="1330.61"/>
    <n v="1330.61"/>
    <n v="17445.73"/>
    <s v="GST"/>
    <x v="0"/>
    <s v="Matched"/>
    <x v="1"/>
    <n v="0"/>
  </r>
  <r>
    <s v="INV1472"/>
    <s v="28-06-2024"/>
    <s v="27ABCDE1234F1Z5"/>
    <s v="Sharma Traders"/>
    <n v="3607.99"/>
    <n v="324.72000000000003"/>
    <n v="324.72000000000003"/>
    <n v="4257.43"/>
    <s v="GST"/>
    <x v="0"/>
    <s v="Matched"/>
    <x v="1"/>
    <n v="0"/>
  </r>
  <r>
    <s v="INV1304"/>
    <s v="11-06-2024"/>
    <s v="07ZXCVB9876M1Z3"/>
    <s v="Gupta Supplies"/>
    <n v="4175"/>
    <n v="375.75"/>
    <n v="375.75"/>
    <n v="4926.5"/>
    <s v="GST"/>
    <x v="0"/>
    <s v="Matched"/>
    <x v="1"/>
    <n v="0"/>
  </r>
  <r>
    <s v="INV1168"/>
    <s v="28-05-2024"/>
    <s v="19ASDFG2468H1Z9"/>
    <s v="Eastern Distributors"/>
    <n v="22548.93"/>
    <n v="2029.4"/>
    <n v="2029.4"/>
    <n v="26607.73"/>
    <s v="GST"/>
    <x v="0"/>
    <s v="Matched"/>
    <x v="1"/>
    <n v="0"/>
  </r>
  <r>
    <s v="INV1392"/>
    <s v="02-04-2024"/>
    <s v="29PQRSX5678L1Z2"/>
    <s v="Kiran Enterprises"/>
    <n v="37746.480000000003"/>
    <n v="3397.18"/>
    <n v="3397.18"/>
    <n v="44540.84"/>
    <s v="GST"/>
    <x v="1"/>
    <s v=""/>
    <x v="3"/>
    <s v=""/>
  </r>
  <r>
    <s v="INV1335"/>
    <s v="30-04-2024"/>
    <s v="19ASDFG2468H1Z9"/>
    <s v="Eastern Distributors"/>
    <n v="32522.69"/>
    <n v="2927.04"/>
    <n v="2927.04"/>
    <n v="38376.769999999997"/>
    <s v="GST"/>
    <x v="0"/>
    <s v="Matched"/>
    <x v="1"/>
    <n v="0"/>
  </r>
  <r>
    <s v="INV1392"/>
    <s v="02-04-2024"/>
    <s v="29PQRSX5678L1Z2"/>
    <s v="Kiran Enterprises"/>
    <n v="37746.480000000003"/>
    <n v="3397.18"/>
    <n v="3397.18"/>
    <n v="44540.84"/>
    <s v="GST"/>
    <x v="1"/>
    <s v=""/>
    <x v="3"/>
    <s v=""/>
  </r>
  <r>
    <s v="INV1317"/>
    <s v="24-04-2024"/>
    <s v="19ASDFG2468H1Z9"/>
    <s v="Eastern Distributors"/>
    <n v="42060.69"/>
    <n v="3785.46"/>
    <n v="3785.46"/>
    <n v="49631.61"/>
    <s v="GST"/>
    <x v="0"/>
    <s v="Matched"/>
    <x v="1"/>
    <n v="0"/>
  </r>
  <r>
    <s v="INV1050"/>
    <s v="18-06-2024"/>
    <s v="27ABCDE1234F1Z5"/>
    <s v="Sharma Traders"/>
    <n v="12549.23"/>
    <n v="1084.43"/>
    <n v="1084.43"/>
    <n v="14718.09"/>
    <s v="GST"/>
    <x v="0"/>
    <s v=""/>
    <x v="3"/>
    <s v=""/>
  </r>
  <r>
    <s v="INV1051"/>
    <s v="04-06-2024"/>
    <s v="07ZXCVB9876M1Z3"/>
    <s v="Gupta Supplies"/>
    <n v="4812.57"/>
    <n v="388.13"/>
    <n v="388.13"/>
    <n v="5588.83"/>
    <s v="GST"/>
    <x v="0"/>
    <s v=""/>
    <x v="3"/>
    <s v=""/>
  </r>
  <r>
    <s v="INV1052"/>
    <s v="24-04-2024"/>
    <s v="27ABCDE1234F1Z5"/>
    <s v="Sharma Traders"/>
    <n v="9811.75"/>
    <n v="838.06"/>
    <n v="838.06"/>
    <n v="11487.87"/>
    <s v="GST"/>
    <x v="0"/>
    <s v=""/>
    <x v="3"/>
    <s v=""/>
  </r>
  <r>
    <s v="INV1053"/>
    <s v="13-06-2024"/>
    <s v="29PQRSX5678L1Z2"/>
    <s v="Kiran Enterprises"/>
    <n v="48747.71"/>
    <n v="4342.29"/>
    <n v="4342.29"/>
    <n v="57432.29"/>
    <s v="GST"/>
    <x v="0"/>
    <s v=""/>
    <x v="3"/>
    <s v=""/>
  </r>
  <r>
    <s v="INV1054"/>
    <s v="02-04-2024"/>
    <s v="19ASDFG2468H1Z9"/>
    <s v="Eastern Distributors"/>
    <n v="10038.44"/>
    <n v="858.46"/>
    <n v="858.46"/>
    <n v="11755.36"/>
    <s v="GST"/>
    <x v="0"/>
    <s v=""/>
    <x v="3"/>
    <s v=""/>
  </r>
  <r>
    <s v="INV1055"/>
    <s v="05-06-2024"/>
    <s v="24LMNOP4321K1Z7"/>
    <s v="Patel Industries"/>
    <n v="46424.1"/>
    <n v="4133.17"/>
    <n v="4133.17"/>
    <n v="54690.44"/>
    <s v="GST"/>
    <x v="0"/>
    <s v=""/>
    <x v="3"/>
    <s v=""/>
  </r>
  <r>
    <s v="INV1056"/>
    <s v="13-06-2024"/>
    <s v="29PQRSX5678L1Z2"/>
    <s v="Kiran Enterprises"/>
    <n v="34196.660000000003"/>
    <n v="3032.7"/>
    <n v="3032.7"/>
    <n v="40262.06"/>
    <s v="GST"/>
    <x v="0"/>
    <s v="Mismatch"/>
    <x v="2"/>
    <n v="5330.5599999999977"/>
  </r>
  <r>
    <s v="INV1057"/>
    <s v="07-04-2024"/>
    <s v="24LMNOP4321K1Z7"/>
    <s v="Patel Industries"/>
    <n v="22274.98"/>
    <n v="1959.75"/>
    <n v="1959.75"/>
    <n v="26194.48"/>
    <s v="GST"/>
    <x v="0"/>
    <s v=""/>
    <x v="3"/>
    <s v=""/>
  </r>
  <r>
    <s v="INV1058"/>
    <s v="23-04-2024"/>
    <s v="24LMNOP4321K1Z7"/>
    <s v="Patel Industries"/>
    <n v="6075.43"/>
    <n v="501.79"/>
    <n v="501.79"/>
    <n v="7079.01"/>
    <s v="GST"/>
    <x v="0"/>
    <s v=""/>
    <x v="3"/>
    <s v=""/>
  </r>
  <r>
    <s v="INV1059"/>
    <s v="14-06-2024"/>
    <s v="19ASDFG2468H1Z9"/>
    <s v="Eastern Distributors"/>
    <n v="5400.29"/>
    <n v="441.03"/>
    <n v="441.03"/>
    <n v="6282.35"/>
    <s v="GST"/>
    <x v="0"/>
    <s v=""/>
    <x v="3"/>
    <s v=""/>
  </r>
  <r>
    <s v="INV1060"/>
    <s v="16-04-2024"/>
    <s v="27ABCDE1234F1Z5"/>
    <s v="Sharma Traders"/>
    <n v="50114.31"/>
    <n v="4465.29"/>
    <n v="4465.29"/>
    <n v="59044.89"/>
    <s v="GST"/>
    <x v="0"/>
    <s v="Mismatch"/>
    <x v="2"/>
    <n v="-36897.35"/>
  </r>
  <r>
    <s v="INV1061"/>
    <s v="21-05-2024"/>
    <s v="19ASDFG2468H1Z9"/>
    <s v="Eastern Distributors"/>
    <n v="17430.71"/>
    <n v="1523.76"/>
    <n v="1523.76"/>
    <n v="20478.23"/>
    <s v="GST"/>
    <x v="0"/>
    <s v=""/>
    <x v="3"/>
    <s v=""/>
  </r>
  <r>
    <s v="INV1062"/>
    <s v="29-04-2024"/>
    <s v="29PQRSX5678L1Z2"/>
    <s v="Kiran Enterprises"/>
    <n v="29290.91"/>
    <n v="2591.1799999999998"/>
    <n v="2591.1799999999998"/>
    <n v="34473.269999999997"/>
    <s v="GST"/>
    <x v="0"/>
    <s v=""/>
    <x v="3"/>
    <s v=""/>
  </r>
  <r>
    <s v="INV1063"/>
    <s v="08-06-2024"/>
    <s v="27ABCDE1234F1Z5"/>
    <s v="Sharma Traders"/>
    <n v="38613.760000000002"/>
    <n v="3430.24"/>
    <n v="3430.24"/>
    <n v="45474.239999999998"/>
    <s v="GST"/>
    <x v="0"/>
    <s v=""/>
    <x v="3"/>
    <s v=""/>
  </r>
  <r>
    <s v="INV1064"/>
    <s v="09-05-2024"/>
    <s v="27ABCDE1234F1Z5"/>
    <s v="Sharma Traders"/>
    <n v="19168.509999999998"/>
    <n v="1680.17"/>
    <n v="1680.17"/>
    <n v="22528.85"/>
    <s v="GST"/>
    <x v="0"/>
    <s v=""/>
    <x v="3"/>
    <s v=""/>
  </r>
  <r>
    <s v="INV1065"/>
    <s v="08-05-2024"/>
    <s v="24LMNOP4321K1Z7"/>
    <s v="Patel Industries"/>
    <n v="30403.62"/>
    <n v="2691.33"/>
    <n v="2691.33"/>
    <n v="35786.28"/>
    <s v="GST"/>
    <x v="0"/>
    <s v="Mismatch"/>
    <x v="2"/>
    <n v="5437.4500000000044"/>
  </r>
  <r>
    <s v="INV1066"/>
    <s v="22-04-2024"/>
    <s v="07ZXCVB9876M1Z3"/>
    <s v="Gupta Supplies"/>
    <n v="3839.38"/>
    <n v="300.54000000000002"/>
    <n v="300.54000000000002"/>
    <n v="4440.46"/>
    <s v="GST"/>
    <x v="0"/>
    <s v=""/>
    <x v="3"/>
    <s v=""/>
  </r>
  <r>
    <s v="INV1067"/>
    <s v="22-06-2024"/>
    <s v="19ASDFG2468H1Z9"/>
    <s v="Eastern Distributors"/>
    <n v="40165.379999999997"/>
    <n v="3569.88"/>
    <n v="3569.88"/>
    <n v="47305.14"/>
    <s v="GST"/>
    <x v="0"/>
    <s v=""/>
    <x v="3"/>
    <s v=""/>
  </r>
  <r>
    <s v="INV1068"/>
    <s v="04-04-2024"/>
    <s v="29PQRSX5678L1Z2"/>
    <s v="Kiran Enterprises"/>
    <n v="47856.29"/>
    <n v="4262.07"/>
    <n v="4262.07"/>
    <n v="56380.43"/>
    <s v="GST"/>
    <x v="0"/>
    <s v=""/>
    <x v="3"/>
    <s v=""/>
  </r>
  <r>
    <s v="INV1069"/>
    <s v="14-06-2024"/>
    <s v="27ABCDE1234F1Z5"/>
    <s v="Sharma Traders"/>
    <n v="20208.82"/>
    <n v="1773.79"/>
    <n v="1773.79"/>
    <n v="23756.400000000001"/>
    <s v="GST"/>
    <x v="0"/>
    <s v=""/>
    <x v="3"/>
    <s v=""/>
  </r>
  <r>
    <s v="INV1070"/>
    <s v="30-04-2024"/>
    <s v="29PQRSX5678L1Z2"/>
    <s v="Kiran Enterprises"/>
    <n v="21753.21"/>
    <n v="1912.79"/>
    <n v="1912.79"/>
    <n v="25578.79"/>
    <s v="GST"/>
    <x v="0"/>
    <s v="Mismatch"/>
    <x v="2"/>
    <n v="23334.309999999998"/>
  </r>
  <r>
    <s v="INV1071"/>
    <s v="14-04-2024"/>
    <s v="24LMNOP4321K1Z7"/>
    <s v="Patel Industries"/>
    <n v="45786.559999999998"/>
    <n v="4075.79"/>
    <n v="4075.79"/>
    <n v="53938.14"/>
    <s v="GST"/>
    <x v="0"/>
    <s v=""/>
    <x v="3"/>
    <s v=""/>
  </r>
  <r>
    <s v="INV1072"/>
    <s v="19-05-2024"/>
    <s v="19ASDFG2468H1Z9"/>
    <s v="Eastern Distributors"/>
    <n v="15871.6"/>
    <n v="1383.44"/>
    <n v="1383.44"/>
    <n v="18638.48"/>
    <s v="GST"/>
    <x v="0"/>
    <s v="Mismatch"/>
    <x v="2"/>
    <n v="-5324.4600000000028"/>
  </r>
  <r>
    <s v="INV1073"/>
    <s v="12-05-2024"/>
    <s v="19ASDFG2468H1Z9"/>
    <s v="Eastern Distributors"/>
    <n v="30109.11"/>
    <n v="2664.82"/>
    <n v="2664.82"/>
    <n v="35438.75"/>
    <s v="GST"/>
    <x v="0"/>
    <s v=""/>
    <x v="3"/>
    <s v=""/>
  </r>
  <r>
    <s v="INV1074"/>
    <s v="12-05-2024"/>
    <s v="07ZXCVB9876M1Z3"/>
    <s v="Gupta Supplies"/>
    <n v="40656.07"/>
    <n v="3614.05"/>
    <n v="3614.05"/>
    <n v="47884.17"/>
    <s v="GST"/>
    <x v="0"/>
    <s v="Mismatch"/>
    <x v="2"/>
    <n v="1862.4100000000035"/>
  </r>
  <r>
    <s v="INV1075"/>
    <s v="24-04-2024"/>
    <s v="19ASDFG2468H1Z9"/>
    <s v="Eastern Distributors"/>
    <n v="3377.82"/>
    <n v="259"/>
    <n v="259"/>
    <n v="3895.82"/>
    <s v="GST"/>
    <x v="0"/>
    <s v=""/>
    <x v="3"/>
    <s v=""/>
  </r>
  <r>
    <s v="INV1076"/>
    <s v="01-04-2024"/>
    <s v="19ASDFG2468H1Z9"/>
    <s v="Eastern Distributors"/>
    <n v="43309.47"/>
    <n v="3852.85"/>
    <n v="3852.85"/>
    <n v="51015.17"/>
    <s v="GST"/>
    <x v="0"/>
    <s v="Mismatch"/>
    <x v="2"/>
    <n v="-33613.480000000003"/>
  </r>
  <r>
    <s v="INV1077"/>
    <s v="01-05-2024"/>
    <s v="24LMNOP4321K1Z7"/>
    <s v="Patel Industries"/>
    <n v="21254.54"/>
    <n v="1867.91"/>
    <n v="1867.91"/>
    <n v="24990.36"/>
    <s v="GST"/>
    <x v="0"/>
    <s v=""/>
    <x v="3"/>
    <s v=""/>
  </r>
  <r>
    <s v="INV1078"/>
    <s v="02-06-2024"/>
    <s v="29PQRSX5678L1Z2"/>
    <s v="Kiran Enterprises"/>
    <n v="39543.01"/>
    <n v="3513.87"/>
    <n v="3513.87"/>
    <n v="46570.75"/>
    <s v="GST"/>
    <x v="0"/>
    <s v=""/>
    <x v="3"/>
    <s v=""/>
  </r>
  <r>
    <s v="INV1079"/>
    <s v="27-06-2024"/>
    <s v="24LMNOP4321K1Z7"/>
    <s v="Patel Industries"/>
    <n v="28901.79"/>
    <n v="2556.16"/>
    <n v="2556.16"/>
    <n v="34014.11"/>
    <s v="GST"/>
    <x v="0"/>
    <s v=""/>
    <x v="3"/>
    <s v=""/>
  </r>
  <r>
    <s v="INV1080"/>
    <s v="26-05-2024"/>
    <s v="24LMNOP4321K1Z7"/>
    <s v="Patel Industries"/>
    <n v="38906.57"/>
    <n v="3456.59"/>
    <n v="3456.59"/>
    <n v="45819.75"/>
    <s v="GST"/>
    <x v="0"/>
    <s v=""/>
    <x v="3"/>
    <s v=""/>
  </r>
  <r>
    <s v="INV1081"/>
    <s v="19-06-2024"/>
    <s v="24LMNOP4321K1Z7"/>
    <s v="Patel Industries"/>
    <n v="32207.09"/>
    <n v="2853.64"/>
    <n v="2853.64"/>
    <n v="37914.370000000003"/>
    <s v="GST"/>
    <x v="0"/>
    <s v="Mismatch"/>
    <x v="2"/>
    <n v="-2890.2099999999991"/>
  </r>
  <r>
    <s v="INV1082"/>
    <s v="09-06-2024"/>
    <s v="29PQRSX5678L1Z2"/>
    <s v="Kiran Enterprises"/>
    <n v="6370.06"/>
    <n v="528.30999999999995"/>
    <n v="528.30999999999995"/>
    <n v="7426.68"/>
    <s v="GST"/>
    <x v="0"/>
    <s v=""/>
    <x v="3"/>
    <s v=""/>
  </r>
  <r>
    <s v="INV1083"/>
    <s v="29-04-2024"/>
    <s v="07ZXCVB9876M1Z3"/>
    <s v="Gupta Supplies"/>
    <n v="1763.88"/>
    <n v="113.75"/>
    <n v="113.75"/>
    <n v="1991.38"/>
    <s v="GST"/>
    <x v="0"/>
    <s v=""/>
    <x v="3"/>
    <s v=""/>
  </r>
  <r>
    <s v="INV1084"/>
    <s v="15-05-2024"/>
    <s v="07ZXCVB9876M1Z3"/>
    <s v="Gupta Supplies"/>
    <n v="3701.31"/>
    <n v="288.12"/>
    <n v="288.12"/>
    <n v="4277.55"/>
    <s v="GST"/>
    <x v="0"/>
    <s v=""/>
    <x v="3"/>
    <s v=""/>
  </r>
  <r>
    <s v="INV1085"/>
    <s v="17-05-2024"/>
    <s v="27ABCDE1234F1Z5"/>
    <s v="Sharma Traders"/>
    <n v="1728.28"/>
    <n v="110.55"/>
    <n v="110.55"/>
    <n v="1949.38"/>
    <s v="GST"/>
    <x v="0"/>
    <s v=""/>
    <x v="3"/>
    <s v=""/>
  </r>
  <r>
    <s v="INV1086"/>
    <s v="18-04-2024"/>
    <s v="29PQRSX5678L1Z2"/>
    <s v="Kiran Enterprises"/>
    <n v="36580.199999999997"/>
    <n v="3247.22"/>
    <n v="3247.22"/>
    <n v="43074.64"/>
    <s v="GST"/>
    <x v="0"/>
    <s v=""/>
    <x v="3"/>
    <s v=""/>
  </r>
  <r>
    <s v="INV1087"/>
    <s v="13-06-2024"/>
    <s v="07ZXCVB9876M1Z3"/>
    <s v="Gupta Supplies"/>
    <n v="24883.23"/>
    <n v="2194.4899999999998"/>
    <n v="2194.4899999999998"/>
    <n v="29272.21"/>
    <s v="GST"/>
    <x v="0"/>
    <s v=""/>
    <x v="3"/>
    <s v=""/>
  </r>
  <r>
    <s v="INV1088"/>
    <s v="11-06-2024"/>
    <s v="29PQRSX5678L1Z2"/>
    <s v="Kiran Enterprises"/>
    <n v="13016.36"/>
    <n v="1126.47"/>
    <n v="1126.47"/>
    <n v="15269.3"/>
    <s v="GST"/>
    <x v="0"/>
    <s v=""/>
    <x v="3"/>
    <s v=""/>
  </r>
  <r>
    <s v="INV1089"/>
    <s v="20-04-2024"/>
    <s v="29PQRSX5678L1Z2"/>
    <s v="Kiran Enterprises"/>
    <n v="35902.18"/>
    <n v="3186.2"/>
    <n v="3186.2"/>
    <n v="42274.58"/>
    <s v="GST"/>
    <x v="0"/>
    <s v=""/>
    <x v="3"/>
    <s v=""/>
  </r>
  <r>
    <s v="INV1090"/>
    <s v="10-04-2024"/>
    <s v="27ABCDE1234F1Z5"/>
    <s v="Sharma Traders"/>
    <n v="5819.84"/>
    <n v="478.79"/>
    <n v="478.79"/>
    <n v="6777.42"/>
    <s v="GST"/>
    <x v="0"/>
    <s v=""/>
    <x v="3"/>
    <s v=""/>
  </r>
  <r>
    <s v="INV1091"/>
    <s v="07-04-2024"/>
    <s v="27ABCDE1234F1Z5"/>
    <s v="Sharma Traders"/>
    <n v="42311.94"/>
    <n v="3763.07"/>
    <n v="3763.07"/>
    <n v="49838.080000000002"/>
    <s v="GST"/>
    <x v="0"/>
    <s v=""/>
    <x v="3"/>
    <s v=""/>
  </r>
  <r>
    <s v="INV1092"/>
    <s v="06-06-2024"/>
    <s v="29PQRSX5678L1Z2"/>
    <s v="Kiran Enterprises"/>
    <n v="29178.61"/>
    <n v="2581.0700000000002"/>
    <n v="2581.0700000000002"/>
    <n v="34340.75"/>
    <s v="GST"/>
    <x v="0"/>
    <s v=""/>
    <x v="3"/>
    <s v=""/>
  </r>
  <r>
    <s v="INV1093"/>
    <s v="17-05-2024"/>
    <s v="19ASDFG2468H1Z9"/>
    <s v="Eastern Distributors"/>
    <n v="13770.99"/>
    <n v="1194.3900000000001"/>
    <n v="1194.3900000000001"/>
    <n v="16159.77"/>
    <s v="GST"/>
    <x v="0"/>
    <s v=""/>
    <x v="3"/>
    <s v=""/>
  </r>
  <r>
    <s v="INV1094"/>
    <s v="06-05-2024"/>
    <s v="27ABCDE1234F1Z5"/>
    <s v="Sharma Traders"/>
    <n v="34621.5"/>
    <n v="3070.93"/>
    <n v="3070.93"/>
    <n v="40763.360000000001"/>
    <s v="GST"/>
    <x v="0"/>
    <s v=""/>
    <x v="3"/>
    <s v=""/>
  </r>
  <r>
    <s v="INV1095"/>
    <s v="11-05-2024"/>
    <s v="07ZXCVB9876M1Z3"/>
    <s v="Gupta Supplies"/>
    <n v="25330.01"/>
    <n v="2234.6999999999998"/>
    <n v="2234.6999999999998"/>
    <n v="29799.41"/>
    <s v="GST"/>
    <x v="0"/>
    <s v=""/>
    <x v="3"/>
    <s v=""/>
  </r>
  <r>
    <s v="INV1096"/>
    <s v="20-05-2024"/>
    <s v="19ASDFG2468H1Z9"/>
    <s v="Eastern Distributors"/>
    <n v="5405.65"/>
    <n v="441.51"/>
    <n v="441.51"/>
    <n v="6288.67"/>
    <s v="GST"/>
    <x v="1"/>
    <s v=""/>
    <x v="3"/>
    <s v=""/>
  </r>
  <r>
    <s v="INV1097"/>
    <s v="02-04-2024"/>
    <s v="24LMNOP4321K1Z7"/>
    <s v="Patel Industries"/>
    <n v="21656.65"/>
    <n v="1904.1"/>
    <n v="1904.1"/>
    <n v="25464.85"/>
    <s v="GST"/>
    <x v="0"/>
    <s v="Mismatch"/>
    <x v="2"/>
    <n v="-17079.150000000001"/>
  </r>
  <r>
    <s v="INV1098"/>
    <s v="11-04-2024"/>
    <s v="19ASDFG2468H1Z9"/>
    <s v="Eastern Distributors"/>
    <n v="30828.93"/>
    <n v="2729.6"/>
    <n v="2729.6"/>
    <n v="36288.129999999997"/>
    <s v="GST"/>
    <x v="0"/>
    <s v=""/>
    <x v="3"/>
    <s v=""/>
  </r>
  <r>
    <s v="INV1099"/>
    <s v="12-05-2024"/>
    <s v="07ZXCVB9876M1Z3"/>
    <s v="Gupta Supplies"/>
    <n v="38504.42"/>
    <n v="3420.4"/>
    <n v="3420.4"/>
    <n v="45345.22"/>
    <s v="GST"/>
    <x v="0"/>
    <s v=""/>
    <x v="3"/>
    <s v=""/>
  </r>
  <r>
    <s v="INV2100"/>
    <s v="28-05-2024"/>
    <s v="07ZXCVB9876M1Z3"/>
    <s v="Gupta Supplies"/>
    <n v="36825.68"/>
    <n v="3314.31"/>
    <n v="3314.31"/>
    <n v="43454.3"/>
    <s v="GST"/>
    <x v="0"/>
    <s v=""/>
    <x v="3"/>
    <s v=""/>
  </r>
  <r>
    <s v="INV2101"/>
    <s v="15-05-2024"/>
    <s v="27ABCDE1234F1Z5"/>
    <s v="Sharma Traders"/>
    <n v="15065.88"/>
    <n v="1355.93"/>
    <n v="1355.93"/>
    <n v="17777.740000000002"/>
    <s v="GST"/>
    <x v="0"/>
    <s v=""/>
    <x v="3"/>
    <s v=""/>
  </r>
  <r>
    <s v="INV2102"/>
    <s v="27-05-2024"/>
    <s v="29PQRSX5678L1Z2"/>
    <s v="Kiran Enterprises"/>
    <n v="42773.31"/>
    <n v="3849.6"/>
    <n v="3849.6"/>
    <n v="50472.51"/>
    <s v="GST"/>
    <x v="0"/>
    <s v=""/>
    <x v="3"/>
    <s v=""/>
  </r>
  <r>
    <s v="INV2103"/>
    <s v="09-06-2024"/>
    <s v="07ZXCVB9876M1Z3"/>
    <s v="Gupta Supplies"/>
    <n v="30212.080000000002"/>
    <n v="2719.09"/>
    <n v="2719.09"/>
    <n v="35650.26"/>
    <s v="GST"/>
    <x v="0"/>
    <s v=""/>
    <x v="3"/>
    <s v=""/>
  </r>
  <r>
    <s v="INV2104"/>
    <s v="15-05-2024"/>
    <s v="07ZXCVB9876M1Z3"/>
    <s v="Gupta Supplies"/>
    <n v="19980.62"/>
    <n v="1798.26"/>
    <n v="1798.26"/>
    <n v="23577.14"/>
    <s v="GST"/>
    <x v="0"/>
    <s v=""/>
    <x v="3"/>
    <s v=""/>
  </r>
  <r>
    <s v="INV2105"/>
    <s v="19-04-2024"/>
    <s v="24LMNOP4321K1Z7"/>
    <s v="Patel Industries"/>
    <n v="21543.200000000001"/>
    <n v="1938.89"/>
    <n v="1938.89"/>
    <n v="25420.98"/>
    <s v="GST"/>
    <x v="0"/>
    <s v=""/>
    <x v="3"/>
    <s v=""/>
  </r>
  <r>
    <s v="INV2106"/>
    <s v="12-06-2024"/>
    <s v="27ABCDE1234F1Z5"/>
    <s v="Sharma Traders"/>
    <n v="3746.92"/>
    <n v="337.22"/>
    <n v="337.22"/>
    <n v="4421.3599999999997"/>
    <s v="GST"/>
    <x v="0"/>
    <s v=""/>
    <x v="3"/>
    <s v=""/>
  </r>
  <r>
    <s v="INV2107"/>
    <s v="22-06-2024"/>
    <s v="19ASDFG2468H1Z9"/>
    <s v="Eastern Distributors"/>
    <n v="8386.4599999999991"/>
    <n v="754.78"/>
    <n v="754.78"/>
    <n v="9896.02"/>
    <s v="GST"/>
    <x v="0"/>
    <s v=""/>
    <x v="3"/>
    <s v=""/>
  </r>
  <r>
    <s v="INV2108"/>
    <s v="18-06-2024"/>
    <s v="07ZXCVB9876M1Z3"/>
    <s v="Gupta Supplies"/>
    <n v="39882.120000000003"/>
    <n v="3589.39"/>
    <n v="3589.39"/>
    <n v="47060.9"/>
    <s v="GST"/>
    <x v="0"/>
    <s v=""/>
    <x v="3"/>
    <s v=""/>
  </r>
  <r>
    <s v="INV2109"/>
    <s v="19-05-2024"/>
    <s v="19ASDFG2468H1Z9"/>
    <s v="Eastern Distributors"/>
    <n v="25419.16"/>
    <n v="2287.7199999999998"/>
    <n v="2287.7199999999998"/>
    <n v="29994.6"/>
    <s v="GST"/>
    <x v="0"/>
    <s v=""/>
    <x v="3"/>
    <s v=""/>
  </r>
  <r>
    <s v="INV2110"/>
    <s v="12-04-2024"/>
    <s v="19ASDFG2468H1Z9"/>
    <s v="Eastern Distributors"/>
    <n v="29712.32"/>
    <n v="2674.11"/>
    <n v="2674.11"/>
    <n v="35060.54"/>
    <s v="GST"/>
    <x v="0"/>
    <s v=""/>
    <x v="3"/>
    <s v=""/>
  </r>
  <r>
    <s v="INV2111"/>
    <s v="19-06-2024"/>
    <s v="19ASDFG2468H1Z9"/>
    <s v="Eastern Distributors"/>
    <n v="49054.47"/>
    <n v="4414.8999999999996"/>
    <n v="4414.8999999999996"/>
    <n v="57884.27"/>
    <s v="GST"/>
    <x v="0"/>
    <s v=""/>
    <x v="3"/>
    <s v=""/>
  </r>
  <r>
    <s v="INV2112"/>
    <s v="28-04-2024"/>
    <s v="07ZXCVB9876M1Z3"/>
    <s v="Gupta Supplies"/>
    <n v="18313.53"/>
    <n v="1648.22"/>
    <n v="1648.22"/>
    <n v="21609.97"/>
    <s v="GST"/>
    <x v="0"/>
    <s v=""/>
    <x v="3"/>
    <s v=""/>
  </r>
  <r>
    <s v="INV2113"/>
    <s v="31-05-2024"/>
    <s v="07ZXCVB9876M1Z3"/>
    <s v="Gupta Supplies"/>
    <n v="48566.15"/>
    <n v="4370.95"/>
    <n v="4370.95"/>
    <n v="57308.05"/>
    <s v="GST"/>
    <x v="0"/>
    <s v=""/>
    <x v="3"/>
    <s v=""/>
  </r>
  <r>
    <s v="INV2114"/>
    <s v="26-06-2024"/>
    <s v="24LMNOP4321K1Z7"/>
    <s v="Patel Industries"/>
    <n v="29518.77"/>
    <n v="2656.69"/>
    <n v="2656.69"/>
    <n v="34832.15"/>
    <s v="GST"/>
    <x v="0"/>
    <s v=""/>
    <x v="3"/>
    <s v=""/>
  </r>
  <r>
    <s v="INV2115"/>
    <s v="11-06-2024"/>
    <s v="29PQRSX5678L1Z2"/>
    <s v="Kiran Enterprises"/>
    <n v="22580.25"/>
    <n v="2032.22"/>
    <n v="2032.22"/>
    <n v="26644.69"/>
    <s v="GST"/>
    <x v="0"/>
    <s v=""/>
    <x v="3"/>
    <s v=""/>
  </r>
  <r>
    <s v="INV2116"/>
    <s v="13-04-2024"/>
    <s v="29PQRSX5678L1Z2"/>
    <s v="Kiran Enterprises"/>
    <n v="9984.3700000000008"/>
    <n v="898.59"/>
    <n v="898.59"/>
    <n v="11781.55"/>
    <s v="GST"/>
    <x v="0"/>
    <s v=""/>
    <x v="3"/>
    <s v=""/>
  </r>
  <r>
    <s v="INV2117"/>
    <s v="17-06-2024"/>
    <s v="29PQRSX5678L1Z2"/>
    <s v="Kiran Enterprises"/>
    <n v="17475.330000000002"/>
    <n v="1572.78"/>
    <n v="1572.78"/>
    <n v="20620.89"/>
    <s v="GST"/>
    <x v="0"/>
    <s v=""/>
    <x v="3"/>
    <s v=""/>
  </r>
  <r>
    <s v="INV2118"/>
    <s v="11-05-2024"/>
    <s v="24LMNOP4321K1Z7"/>
    <s v="Patel Industries"/>
    <n v="16190"/>
    <n v="1457.1"/>
    <n v="1457.1"/>
    <n v="19104.2"/>
    <s v="GST"/>
    <x v="0"/>
    <s v=""/>
    <x v="3"/>
    <s v=""/>
  </r>
  <r>
    <s v="INV2119"/>
    <s v="05-04-2024"/>
    <s v="24LMNOP4321K1Z7"/>
    <s v="Patel Industries"/>
    <n v="26827.5"/>
    <n v="2414.4699999999998"/>
    <n v="2414.4699999999998"/>
    <n v="31656.44"/>
    <s v="GST"/>
    <x v="0"/>
    <s v=""/>
    <x v="3"/>
    <s v=""/>
  </r>
  <r>
    <s v="INV2120"/>
    <s v="10-05-2024"/>
    <s v="19ASDFG2468H1Z9"/>
    <s v="Eastern Distributors"/>
    <n v="4594.42"/>
    <n v="413.5"/>
    <n v="413.5"/>
    <n v="5421.42"/>
    <s v="GST"/>
    <x v="0"/>
    <s v=""/>
    <x v="3"/>
    <s v=""/>
  </r>
  <r>
    <s v="INV2121"/>
    <s v="28-06-2024"/>
    <s v="24LMNOP4321K1Z7"/>
    <s v="Patel Industries"/>
    <n v="31465.55"/>
    <n v="2831.9"/>
    <n v="2831.9"/>
    <n v="37129.35"/>
    <s v="GST"/>
    <x v="0"/>
    <s v=""/>
    <x v="3"/>
    <s v=""/>
  </r>
  <r>
    <s v="INV2122"/>
    <s v="18-05-2024"/>
    <s v="27ABCDE1234F1Z5"/>
    <s v="Sharma Traders"/>
    <n v="13385.81"/>
    <n v="1204.72"/>
    <n v="1204.72"/>
    <n v="15795.25"/>
    <s v="GST"/>
    <x v="0"/>
    <s v=""/>
    <x v="3"/>
    <s v=""/>
  </r>
  <r>
    <s v="INV2123"/>
    <s v="27-04-2024"/>
    <s v="27ABCDE1234F1Z5"/>
    <s v="Sharma Traders"/>
    <n v="19122.62"/>
    <n v="1721.04"/>
    <n v="1721.04"/>
    <n v="22564.7"/>
    <s v="GST"/>
    <x v="0"/>
    <s v=""/>
    <x v="3"/>
    <s v=""/>
  </r>
  <r>
    <s v="INV2124"/>
    <s v="28-05-2024"/>
    <s v="19ASDFG2468H1Z9"/>
    <s v="Eastern Distributors"/>
    <n v="19472.46"/>
    <n v="1752.52"/>
    <n v="1752.52"/>
    <n v="22977.5"/>
    <s v="GST"/>
    <x v="0"/>
    <s v=""/>
    <x v="3"/>
    <s v=""/>
  </r>
  <r>
    <s v="INV2125"/>
    <s v="01-04-2024"/>
    <s v="19ASDFG2468H1Z9"/>
    <s v="Eastern Distributors"/>
    <n v="1214.02"/>
    <n v="109.26"/>
    <n v="109.26"/>
    <n v="1432.54"/>
    <s v="GST"/>
    <x v="0"/>
    <s v=""/>
    <x v="3"/>
    <s v=""/>
  </r>
  <r>
    <s v="INV2126"/>
    <s v="07-06-2024"/>
    <s v="07ZXCVB9876M1Z3"/>
    <s v="Gupta Supplies"/>
    <n v="33733.1"/>
    <n v="3035.98"/>
    <n v="3035.98"/>
    <n v="39805.06"/>
    <s v="GST"/>
    <x v="0"/>
    <s v=""/>
    <x v="3"/>
    <s v=""/>
  </r>
  <r>
    <s v="INV2127"/>
    <s v="07-05-2024"/>
    <s v="07ZXCVB9876M1Z3"/>
    <s v="Gupta Supplies"/>
    <n v="6139.51"/>
    <n v="552.55999999999995"/>
    <n v="552.55999999999995"/>
    <n v="7244.63"/>
    <s v="GST"/>
    <x v="0"/>
    <s v=""/>
    <x v="3"/>
    <s v=""/>
  </r>
  <r>
    <s v="INV2128"/>
    <s v="12-05-2024"/>
    <s v="07ZXCVB9876M1Z3"/>
    <s v="Gupta Supplies"/>
    <n v="15810.46"/>
    <n v="1422.94"/>
    <n v="1422.94"/>
    <n v="18656.34"/>
    <s v="GST"/>
    <x v="0"/>
    <s v=""/>
    <x v="3"/>
    <s v=""/>
  </r>
  <r>
    <s v="INV2129"/>
    <s v="01-06-2024"/>
    <s v="19ASDFG2468H1Z9"/>
    <s v="Eastern Distributors"/>
    <n v="36168.879999999997"/>
    <n v="3255.2"/>
    <n v="3255.2"/>
    <n v="42679.28"/>
    <s v="GST"/>
    <x v="0"/>
    <s v=""/>
    <x v="3"/>
    <s v=""/>
  </r>
  <r>
    <s v="INV2130"/>
    <s v="22-04-2024"/>
    <s v="19ASDFG2468H1Z9"/>
    <s v="Eastern Distributors"/>
    <n v="48360.52"/>
    <n v="4352.45"/>
    <n v="4352.45"/>
    <n v="57065.42"/>
    <s v="GST"/>
    <x v="0"/>
    <s v=""/>
    <x v="3"/>
    <s v=""/>
  </r>
  <r>
    <s v="INV2131"/>
    <s v="29-04-2024"/>
    <s v="19ASDFG2468H1Z9"/>
    <s v="Eastern Distributors"/>
    <n v="47563.16"/>
    <n v="4280.68"/>
    <n v="4280.68"/>
    <n v="56124.52"/>
    <s v="GST"/>
    <x v="0"/>
    <s v=""/>
    <x v="3"/>
    <s v=""/>
  </r>
  <r>
    <s v="INV2132"/>
    <s v="07-04-2024"/>
    <s v="19ASDFG2468H1Z9"/>
    <s v="Eastern Distributors"/>
    <n v="42801.27"/>
    <n v="3852.11"/>
    <n v="3852.11"/>
    <n v="50505.49"/>
    <s v="GST"/>
    <x v="0"/>
    <s v=""/>
    <x v="3"/>
    <s v=""/>
  </r>
  <r>
    <s v="INV2133"/>
    <s v="09-06-2024"/>
    <s v="24LMNOP4321K1Z7"/>
    <s v="Patel Industries"/>
    <n v="22189.26"/>
    <n v="1997.03"/>
    <n v="1997.03"/>
    <n v="26183.32"/>
    <s v="GST"/>
    <x v="0"/>
    <s v=""/>
    <x v="3"/>
    <s v=""/>
  </r>
  <r>
    <s v="INV2134"/>
    <s v="27-06-2024"/>
    <s v="07ZXCVB9876M1Z3"/>
    <s v="Gupta Supplies"/>
    <n v="8224.9699999999993"/>
    <n v="740.25"/>
    <n v="740.25"/>
    <n v="9705.4699999999993"/>
    <s v="GST"/>
    <x v="0"/>
    <s v=""/>
    <x v="3"/>
    <s v=""/>
  </r>
  <r>
    <s v="INV2135"/>
    <s v="21-04-2024"/>
    <s v="27ABCDE1234F1Z5"/>
    <s v="Sharma Traders"/>
    <n v="43804.27"/>
    <n v="3942.38"/>
    <n v="3942.38"/>
    <n v="51689.03"/>
    <s v="GST"/>
    <x v="0"/>
    <s v=""/>
    <x v="3"/>
    <s v=""/>
  </r>
  <r>
    <s v="INV2136"/>
    <s v="22-06-2024"/>
    <s v="29PQRSX5678L1Z2"/>
    <s v="Kiran Enterprises"/>
    <n v="18667.849999999999"/>
    <n v="1680.11"/>
    <n v="1680.11"/>
    <n v="22028.07"/>
    <s v="GST"/>
    <x v="0"/>
    <s v=""/>
    <x v="3"/>
    <s v=""/>
  </r>
  <r>
    <s v="INV2137"/>
    <s v="02-04-2024"/>
    <s v="19ASDFG2468H1Z9"/>
    <s v="Eastern Distributors"/>
    <n v="23572.92"/>
    <n v="2121.56"/>
    <n v="2121.56"/>
    <n v="27816.04"/>
    <s v="GST"/>
    <x v="0"/>
    <s v=""/>
    <x v="3"/>
    <s v=""/>
  </r>
  <r>
    <s v="INV2138"/>
    <s v="06-05-2024"/>
    <s v="19ASDFG2468H1Z9"/>
    <s v="Eastern Distributors"/>
    <n v="46820.74"/>
    <n v="4213.87"/>
    <n v="4213.87"/>
    <n v="55248.480000000003"/>
    <s v="GST"/>
    <x v="0"/>
    <s v=""/>
    <x v="3"/>
    <s v=""/>
  </r>
  <r>
    <s v="INV2139"/>
    <s v="09-06-2024"/>
    <s v="19ASDFG2468H1Z9"/>
    <s v="Eastern Distributors"/>
    <n v="7124.51"/>
    <n v="641.21"/>
    <n v="641.21"/>
    <n v="8406.93"/>
    <s v="GST"/>
    <x v="0"/>
    <s v=""/>
    <x v="3"/>
    <s v=""/>
  </r>
  <r>
    <s v="INV2140"/>
    <s v="02-06-2024"/>
    <s v="27ABCDE1234F1Z5"/>
    <s v="Sharma Traders"/>
    <n v="45741.64"/>
    <n v="4116.75"/>
    <n v="4116.75"/>
    <n v="53975.14"/>
    <s v="GST"/>
    <x v="0"/>
    <s v=""/>
    <x v="3"/>
    <s v=""/>
  </r>
  <r>
    <s v="INV2141"/>
    <s v="03-06-2024"/>
    <s v="27ABCDE1234F1Z5"/>
    <s v="Sharma Traders"/>
    <n v="36551.599999999999"/>
    <n v="3289.64"/>
    <n v="3289.64"/>
    <n v="43130.879999999997"/>
    <s v="GST"/>
    <x v="0"/>
    <s v=""/>
    <x v="3"/>
    <s v=""/>
  </r>
  <r>
    <s v="INV2142"/>
    <s v="12-04-2024"/>
    <s v="07ZXCVB9876M1Z3"/>
    <s v="Gupta Supplies"/>
    <n v="41195.730000000003"/>
    <n v="3707.62"/>
    <n v="3707.62"/>
    <n v="48610.97"/>
    <s v="GST"/>
    <x v="0"/>
    <s v=""/>
    <x v="3"/>
    <s v=""/>
  </r>
  <r>
    <s v="INV2143"/>
    <s v="20-05-2024"/>
    <s v="29PQRSX5678L1Z2"/>
    <s v="Kiran Enterprises"/>
    <n v="44246.48"/>
    <n v="3982.18"/>
    <n v="3982.18"/>
    <n v="52210.84"/>
    <s v="GST"/>
    <x v="0"/>
    <s v=""/>
    <x v="3"/>
    <s v=""/>
  </r>
  <r>
    <s v="INV2144"/>
    <s v="09-04-2024"/>
    <s v="29PQRSX5678L1Z2"/>
    <s v="Kiran Enterprises"/>
    <n v="19097.75"/>
    <n v="1718.8"/>
    <n v="1718.8"/>
    <n v="22535.35"/>
    <s v="GST"/>
    <x v="0"/>
    <s v=""/>
    <x v="3"/>
    <s v=""/>
  </r>
  <r>
    <s v="INV2145"/>
    <s v="23-04-2024"/>
    <s v="07ZXCVB9876M1Z3"/>
    <s v="Gupta Supplies"/>
    <n v="46040.37"/>
    <n v="4143.63"/>
    <n v="4143.63"/>
    <n v="54327.63"/>
    <s v="GST"/>
    <x v="0"/>
    <s v=""/>
    <x v="3"/>
    <s v=""/>
  </r>
  <r>
    <s v="INV2146"/>
    <s v="25-06-2024"/>
    <s v="27ABCDE1234F1Z5"/>
    <s v="Sharma Traders"/>
    <n v="44999.26"/>
    <n v="4049.93"/>
    <n v="4049.93"/>
    <n v="53099.12"/>
    <s v="GST"/>
    <x v="0"/>
    <s v=""/>
    <x v="3"/>
    <s v=""/>
  </r>
  <r>
    <s v="INV2147"/>
    <s v="27-06-2024"/>
    <s v="24LMNOP4321K1Z7"/>
    <s v="Patel Industries"/>
    <n v="44037.79"/>
    <n v="3963.4"/>
    <n v="3963.4"/>
    <n v="51964.59"/>
    <s v="GST"/>
    <x v="0"/>
    <s v=""/>
    <x v="3"/>
    <s v=""/>
  </r>
  <r>
    <s v="INV2148"/>
    <s v="13-06-2024"/>
    <s v="24LMNOP4321K1Z7"/>
    <s v="Patel Industries"/>
    <n v="14127.14"/>
    <n v="1271.44"/>
    <n v="1271.44"/>
    <n v="16670.02"/>
    <s v="GST"/>
    <x v="0"/>
    <s v=""/>
    <x v="3"/>
    <s v=""/>
  </r>
  <r>
    <s v="INV2149"/>
    <s v="27-06-2024"/>
    <s v="29PQRSX5678L1Z2"/>
    <s v="Kiran Enterprises"/>
    <n v="23887.22"/>
    <n v="2149.85"/>
    <n v="2149.85"/>
    <n v="28186.92"/>
    <s v="GST"/>
    <x v="0"/>
    <s v=""/>
    <x v="3"/>
    <s v=""/>
  </r>
  <r>
    <s v="INV2150"/>
    <s v="26-06-2024"/>
    <s v="27ABCDE1234F1Z5"/>
    <s v="Sharma Traders"/>
    <n v="47450.03"/>
    <n v="4270.5"/>
    <n v="4270.5"/>
    <n v="55991.03"/>
    <s v="GST"/>
    <x v="0"/>
    <s v=""/>
    <x v="3"/>
    <s v=""/>
  </r>
  <r>
    <s v="INV2151"/>
    <s v="04-06-2024"/>
    <s v="19ASDFG2468H1Z9"/>
    <s v="Eastern Distributors"/>
    <n v="34413.93"/>
    <n v="3097.25"/>
    <n v="3097.25"/>
    <n v="40608.43"/>
    <s v="GST"/>
    <x v="0"/>
    <s v=""/>
    <x v="3"/>
    <s v=""/>
  </r>
  <r>
    <s v="INV2152"/>
    <s v="03-05-2024"/>
    <s v="29PQRSX5678L1Z2"/>
    <s v="Kiran Enterprises"/>
    <n v="5267.83"/>
    <n v="474.1"/>
    <n v="474.1"/>
    <n v="6216.03"/>
    <s v="GST"/>
    <x v="0"/>
    <s v=""/>
    <x v="3"/>
    <s v=""/>
  </r>
  <r>
    <s v="INV2153"/>
    <s v="09-06-2024"/>
    <s v="07ZXCVB9876M1Z3"/>
    <s v="Gupta Supplies"/>
    <n v="44684.5"/>
    <n v="4021.61"/>
    <n v="4021.61"/>
    <n v="52727.72"/>
    <s v="GST"/>
    <x v="0"/>
    <s v=""/>
    <x v="3"/>
    <s v=""/>
  </r>
  <r>
    <s v="INV2154"/>
    <s v="05-05-2024"/>
    <s v="27ABCDE1234F1Z5"/>
    <s v="Sharma Traders"/>
    <n v="27509.1"/>
    <n v="2475.8200000000002"/>
    <n v="2475.8200000000002"/>
    <n v="32460.74"/>
    <s v="GST"/>
    <x v="0"/>
    <s v=""/>
    <x v="3"/>
    <s v=""/>
  </r>
  <r>
    <s v="INV2155"/>
    <s v="22-05-2024"/>
    <s v="24LMNOP4321K1Z7"/>
    <s v="Patel Industries"/>
    <n v="36849.339999999997"/>
    <n v="3316.44"/>
    <n v="3316.44"/>
    <n v="43482.22"/>
    <s v="GST"/>
    <x v="0"/>
    <s v=""/>
    <x v="3"/>
    <s v=""/>
  </r>
  <r>
    <s v="INV2156"/>
    <s v="12-04-2024"/>
    <s v="24LMNOP4321K1Z7"/>
    <s v="Patel Industries"/>
    <n v="10458.790000000001"/>
    <n v="941.29"/>
    <n v="941.29"/>
    <n v="12341.37"/>
    <s v="GST"/>
    <x v="0"/>
    <s v=""/>
    <x v="3"/>
    <s v=""/>
  </r>
  <r>
    <s v="INV2157"/>
    <s v="03-06-2024"/>
    <s v="29PQRSX5678L1Z2"/>
    <s v="Kiran Enterprises"/>
    <n v="9039.91"/>
    <n v="813.59"/>
    <n v="813.59"/>
    <n v="10667.09"/>
    <s v="GST"/>
    <x v="0"/>
    <s v=""/>
    <x v="3"/>
    <s v=""/>
  </r>
  <r>
    <s v="INV2158"/>
    <s v="15-04-2024"/>
    <s v="29PQRSX5678L1Z2"/>
    <s v="Kiran Enterprises"/>
    <n v="23043.11"/>
    <n v="2073.88"/>
    <n v="2073.88"/>
    <n v="27190.87"/>
    <s v="GST"/>
    <x v="0"/>
    <s v=""/>
    <x v="3"/>
    <s v=""/>
  </r>
  <r>
    <s v="INV2159"/>
    <s v="03-04-2024"/>
    <s v="19ASDFG2468H1Z9"/>
    <s v="Eastern Distributors"/>
    <n v="11153.98"/>
    <n v="1003.86"/>
    <n v="1003.86"/>
    <n v="13161.7"/>
    <s v="GST"/>
    <x v="0"/>
    <s v=""/>
    <x v="3"/>
    <s v=""/>
  </r>
  <r>
    <s v="INV2160"/>
    <s v="14-05-2024"/>
    <s v="29PQRSX5678L1Z2"/>
    <s v="Kiran Enterprises"/>
    <n v="41727.1"/>
    <n v="3755.44"/>
    <n v="3755.44"/>
    <n v="49237.98"/>
    <s v="GST"/>
    <x v="0"/>
    <s v=""/>
    <x v="3"/>
    <s v=""/>
  </r>
  <r>
    <s v="INV2161"/>
    <s v="09-06-2024"/>
    <s v="07ZXCVB9876M1Z3"/>
    <s v="Gupta Supplies"/>
    <n v="2125.12"/>
    <n v="191.26"/>
    <n v="191.26"/>
    <n v="2507.64"/>
    <s v="GST"/>
    <x v="0"/>
    <s v=""/>
    <x v="3"/>
    <s v=""/>
  </r>
  <r>
    <s v="INV2162"/>
    <s v="02-06-2024"/>
    <s v="19ASDFG2468H1Z9"/>
    <s v="Eastern Distributors"/>
    <n v="30450.81"/>
    <n v="2740.57"/>
    <n v="2740.57"/>
    <n v="35931.949999999997"/>
    <s v="GST"/>
    <x v="0"/>
    <s v=""/>
    <x v="3"/>
    <s v=""/>
  </r>
  <r>
    <s v="INV2163"/>
    <s v="22-04-2024"/>
    <s v="19ASDFG2468H1Z9"/>
    <s v="Eastern Distributors"/>
    <n v="12455.4"/>
    <n v="1120.99"/>
    <n v="1120.99"/>
    <n v="14697.38"/>
    <s v="GST"/>
    <x v="0"/>
    <s v=""/>
    <x v="3"/>
    <s v=""/>
  </r>
  <r>
    <s v="INV2164"/>
    <s v="03-06-2024"/>
    <s v="24LMNOP4321K1Z7"/>
    <s v="Patel Industries"/>
    <n v="22771.57"/>
    <n v="2049.44"/>
    <n v="2049.44"/>
    <n v="26870.45"/>
    <s v="GST"/>
    <x v="0"/>
    <s v=""/>
    <x v="3"/>
    <s v=""/>
  </r>
  <r>
    <s v="INV2165"/>
    <s v="07-04-2024"/>
    <s v="19ASDFG2468H1Z9"/>
    <s v="Eastern Distributors"/>
    <n v="44046.94"/>
    <n v="3964.22"/>
    <n v="3964.22"/>
    <n v="51975.38"/>
    <s v="GST"/>
    <x v="0"/>
    <s v=""/>
    <x v="3"/>
    <s v=""/>
  </r>
  <r>
    <s v="INV2166"/>
    <s v="05-05-2024"/>
    <s v="27ABCDE1234F1Z5"/>
    <s v="Sharma Traders"/>
    <n v="15199.51"/>
    <n v="1367.96"/>
    <n v="1367.96"/>
    <n v="17935.43"/>
    <s v="GST"/>
    <x v="0"/>
    <s v=""/>
    <x v="3"/>
    <s v=""/>
  </r>
  <r>
    <s v="INV2167"/>
    <s v="09-04-2024"/>
    <s v="29PQRSX5678L1Z2"/>
    <s v="Kiran Enterprises"/>
    <n v="46719.47"/>
    <n v="4204.75"/>
    <n v="4204.75"/>
    <n v="55128.97"/>
    <s v="GST"/>
    <x v="0"/>
    <s v=""/>
    <x v="3"/>
    <s v=""/>
  </r>
  <r>
    <s v="INV2168"/>
    <s v="07-06-2024"/>
    <s v="19ASDFG2468H1Z9"/>
    <s v="Eastern Distributors"/>
    <n v="38445.839999999997"/>
    <n v="3460.13"/>
    <n v="3460.13"/>
    <n v="45366.1"/>
    <s v="GST"/>
    <x v="0"/>
    <s v=""/>
    <x v="3"/>
    <s v=""/>
  </r>
  <r>
    <s v="INV2169"/>
    <s v="03-04-2024"/>
    <s v="19ASDFG2468H1Z9"/>
    <s v="Eastern Distributors"/>
    <n v="33813.25"/>
    <n v="3043.19"/>
    <n v="3043.19"/>
    <n v="39899.629999999997"/>
    <s v="GST"/>
    <x v="0"/>
    <s v=""/>
    <x v="3"/>
    <s v=""/>
  </r>
  <r>
    <s v="INV2170"/>
    <s v="04-05-2024"/>
    <s v="07ZXCVB9876M1Z3"/>
    <s v="Gupta Supplies"/>
    <n v="49447.68"/>
    <n v="4450.29"/>
    <n v="4450.29"/>
    <n v="58348.26"/>
    <s v="GST"/>
    <x v="0"/>
    <s v=""/>
    <x v="3"/>
    <s v=""/>
  </r>
  <r>
    <s v="INV2171"/>
    <s v="24-06-2024"/>
    <s v="19ASDFG2468H1Z9"/>
    <s v="Eastern Distributors"/>
    <n v="38213.56"/>
    <n v="3439.22"/>
    <n v="3439.22"/>
    <n v="45092"/>
    <s v="GST"/>
    <x v="0"/>
    <s v=""/>
    <x v="3"/>
    <s v=""/>
  </r>
  <r>
    <s v="INV2172"/>
    <s v="04-06-2024"/>
    <s v="29PQRSX5678L1Z2"/>
    <s v="Kiran Enterprises"/>
    <n v="1061.1400000000001"/>
    <n v="95.5"/>
    <n v="95.5"/>
    <n v="1252.1400000000001"/>
    <s v="GST"/>
    <x v="0"/>
    <s v=""/>
    <x v="3"/>
    <s v=""/>
  </r>
  <r>
    <s v="INV2173"/>
    <s v="09-04-2024"/>
    <s v="29PQRSX5678L1Z2"/>
    <s v="Kiran Enterprises"/>
    <n v="8464.91"/>
    <n v="761.84"/>
    <n v="761.84"/>
    <n v="9988.59"/>
    <s v="GST"/>
    <x v="0"/>
    <s v=""/>
    <x v="3"/>
    <s v=""/>
  </r>
  <r>
    <s v="INV2174"/>
    <s v="16-05-2024"/>
    <s v="07ZXCVB9876M1Z3"/>
    <s v="Gupta Supplies"/>
    <n v="36598.61"/>
    <n v="3293.87"/>
    <n v="3293.87"/>
    <n v="43186.35"/>
    <s v="GST"/>
    <x v="0"/>
    <s v=""/>
    <x v="3"/>
    <s v=""/>
  </r>
  <r>
    <s v="INV2175"/>
    <s v="11-06-2024"/>
    <s v="07ZXCVB9876M1Z3"/>
    <s v="Gupta Supplies"/>
    <n v="20005.97"/>
    <n v="1800.54"/>
    <n v="1800.54"/>
    <n v="23607.05"/>
    <s v="GST"/>
    <x v="0"/>
    <s v=""/>
    <x v="3"/>
    <s v=""/>
  </r>
  <r>
    <s v="INV2176"/>
    <s v="24-04-2024"/>
    <s v="29PQRSX5678L1Z2"/>
    <s v="Kiran Enterprises"/>
    <n v="18218.060000000001"/>
    <n v="1639.63"/>
    <n v="1639.63"/>
    <n v="21497.32"/>
    <s v="GST"/>
    <x v="0"/>
    <s v=""/>
    <x v="3"/>
    <s v=""/>
  </r>
  <r>
    <s v="INV2177"/>
    <s v="04-05-2024"/>
    <s v="27ABCDE1234F1Z5"/>
    <s v="Sharma Traders"/>
    <n v="20154.939999999999"/>
    <n v="1813.94"/>
    <n v="1813.94"/>
    <n v="23782.82"/>
    <s v="GST"/>
    <x v="0"/>
    <s v=""/>
    <x v="3"/>
    <s v=""/>
  </r>
  <r>
    <s v="INV2178"/>
    <s v="07-04-2024"/>
    <s v="19ASDFG2468H1Z9"/>
    <s v="Eastern Distributors"/>
    <n v="38698"/>
    <n v="3482.82"/>
    <n v="3482.82"/>
    <n v="45663.64"/>
    <s v="GST"/>
    <x v="0"/>
    <s v=""/>
    <x v="3"/>
    <s v=""/>
  </r>
  <r>
    <s v="INV2179"/>
    <s v="28-04-2024"/>
    <s v="07ZXCVB9876M1Z3"/>
    <s v="Gupta Supplies"/>
    <n v="49521.11"/>
    <n v="4456.8999999999996"/>
    <n v="4456.8999999999996"/>
    <n v="58434.91"/>
    <s v="GST"/>
    <x v="0"/>
    <s v=""/>
    <x v="3"/>
    <s v=""/>
  </r>
  <r>
    <s v="INV2180"/>
    <s v="23-04-2024"/>
    <s v="19ASDFG2468H1Z9"/>
    <s v="Eastern Distributors"/>
    <n v="12859.14"/>
    <n v="1157.32"/>
    <n v="1157.32"/>
    <n v="15173.78"/>
    <s v="GST"/>
    <x v="0"/>
    <s v=""/>
    <x v="3"/>
    <s v=""/>
  </r>
  <r>
    <s v="INV2181"/>
    <s v="11-04-2024"/>
    <s v="07ZXCVB9876M1Z3"/>
    <s v="Gupta Supplies"/>
    <n v="39218.269999999997"/>
    <n v="3529.64"/>
    <n v="3529.64"/>
    <n v="46277.55"/>
    <s v="GST"/>
    <x v="0"/>
    <s v=""/>
    <x v="3"/>
    <s v=""/>
  </r>
  <r>
    <s v="INV2182"/>
    <s v="26-05-2024"/>
    <s v="29PQRSX5678L1Z2"/>
    <s v="Kiran Enterprises"/>
    <n v="5566.15"/>
    <n v="500.95"/>
    <n v="500.95"/>
    <n v="6568.05"/>
    <s v="GST"/>
    <x v="0"/>
    <s v=""/>
    <x v="3"/>
    <s v=""/>
  </r>
  <r>
    <s v="INV2183"/>
    <s v="06-06-2024"/>
    <s v="19ASDFG2468H1Z9"/>
    <s v="Eastern Distributors"/>
    <n v="30397.89"/>
    <n v="2735.81"/>
    <n v="2735.81"/>
    <n v="35869.51"/>
    <s v="GST"/>
    <x v="0"/>
    <s v=""/>
    <x v="3"/>
    <s v=""/>
  </r>
  <r>
    <s v="INV2184"/>
    <s v="22-04-2024"/>
    <s v="19ASDFG2468H1Z9"/>
    <s v="Eastern Distributors"/>
    <n v="44945.52"/>
    <n v="4045.1"/>
    <n v="4045.1"/>
    <n v="53035.72"/>
    <s v="GST"/>
    <x v="0"/>
    <s v=""/>
    <x v="3"/>
    <s v=""/>
  </r>
  <r>
    <s v="INV2185"/>
    <s v="28-06-2024"/>
    <s v="29PQRSX5678L1Z2"/>
    <s v="Kiran Enterprises"/>
    <n v="21298.04"/>
    <n v="1916.82"/>
    <n v="1916.82"/>
    <n v="25131.68"/>
    <s v="GST"/>
    <x v="0"/>
    <s v=""/>
    <x v="3"/>
    <s v=""/>
  </r>
  <r>
    <s v="INV2186"/>
    <s v="28-05-2024"/>
    <s v="07ZXCVB9876M1Z3"/>
    <s v="Gupta Supplies"/>
    <n v="2710.67"/>
    <n v="243.96"/>
    <n v="243.96"/>
    <n v="3198.59"/>
    <s v="GST"/>
    <x v="0"/>
    <s v=""/>
    <x v="3"/>
    <s v=""/>
  </r>
  <r>
    <s v="INV2187"/>
    <s v="28-05-2024"/>
    <s v="27ABCDE1234F1Z5"/>
    <s v="Sharma Traders"/>
    <n v="22278.560000000001"/>
    <n v="2005.07"/>
    <n v="2005.07"/>
    <n v="26288.7"/>
    <s v="GST"/>
    <x v="0"/>
    <s v=""/>
    <x v="3"/>
    <s v=""/>
  </r>
  <r>
    <s v="INV2188"/>
    <s v="09-04-2024"/>
    <s v="29PQRSX5678L1Z2"/>
    <s v="Kiran Enterprises"/>
    <n v="16944.080000000002"/>
    <n v="1524.97"/>
    <n v="1524.97"/>
    <n v="19994.02"/>
    <s v="GST"/>
    <x v="0"/>
    <s v=""/>
    <x v="3"/>
    <s v=""/>
  </r>
  <r>
    <s v="INV2189"/>
    <s v="24-05-2024"/>
    <s v="27ABCDE1234F1Z5"/>
    <s v="Sharma Traders"/>
    <n v="19914.759999999998"/>
    <n v="1792.33"/>
    <n v="1792.33"/>
    <n v="23499.42"/>
    <s v="GST"/>
    <x v="0"/>
    <s v=""/>
    <x v="3"/>
    <s v=""/>
  </r>
  <r>
    <s v="INV2190"/>
    <s v="12-06-2024"/>
    <s v="24LMNOP4321K1Z7"/>
    <s v="Patel Industries"/>
    <n v="8867.15"/>
    <n v="798.04"/>
    <n v="798.04"/>
    <n v="10463.23"/>
    <s v="GST"/>
    <x v="0"/>
    <s v=""/>
    <x v="3"/>
    <s v=""/>
  </r>
  <r>
    <s v="INV2191"/>
    <s v="02-04-2024"/>
    <s v="27ABCDE1234F1Z5"/>
    <s v="Sharma Traders"/>
    <n v="47784.74"/>
    <n v="4300.63"/>
    <n v="4300.63"/>
    <n v="56386"/>
    <s v="GST"/>
    <x v="0"/>
    <s v=""/>
    <x v="3"/>
    <s v=""/>
  </r>
  <r>
    <s v="INV2192"/>
    <s v="01-05-2024"/>
    <s v="29PQRSX5678L1Z2"/>
    <s v="Kiran Enterprises"/>
    <n v="6246.77"/>
    <n v="562.21"/>
    <n v="562.21"/>
    <n v="7371.19"/>
    <s v="GST"/>
    <x v="0"/>
    <s v=""/>
    <x v="3"/>
    <s v=""/>
  </r>
  <r>
    <s v="INV2193"/>
    <s v="08-05-2024"/>
    <s v="19ASDFG2468H1Z9"/>
    <s v="Eastern Distributors"/>
    <n v="36382.6"/>
    <n v="3274.43"/>
    <n v="3274.43"/>
    <n v="42931.46"/>
    <s v="GST"/>
    <x v="0"/>
    <s v=""/>
    <x v="3"/>
    <s v=""/>
  </r>
  <r>
    <s v="INV2194"/>
    <s v="30-04-2024"/>
    <s v="27ABCDE1234F1Z5"/>
    <s v="Sharma Traders"/>
    <n v="29084.32"/>
    <n v="2617.59"/>
    <n v="2617.59"/>
    <n v="34319.5"/>
    <s v="GST"/>
    <x v="0"/>
    <s v=""/>
    <x v="3"/>
    <s v=""/>
  </r>
  <r>
    <s v="INV2195"/>
    <s v="22-04-2024"/>
    <s v="29PQRSX5678L1Z2"/>
    <s v="Kiran Enterprises"/>
    <n v="47956.98"/>
    <n v="4316.13"/>
    <n v="4316.13"/>
    <n v="56589.24"/>
    <s v="GST"/>
    <x v="0"/>
    <s v=""/>
    <x v="3"/>
    <s v=""/>
  </r>
  <r>
    <s v="INV2196"/>
    <s v="13-04-2024"/>
    <s v="07ZXCVB9876M1Z3"/>
    <s v="Gupta Supplies"/>
    <n v="10966.45"/>
    <n v="986.98"/>
    <n v="986.98"/>
    <n v="12940.41"/>
    <s v="GST"/>
    <x v="0"/>
    <s v=""/>
    <x v="3"/>
    <s v=""/>
  </r>
  <r>
    <s v="INV2197"/>
    <s v="18-06-2024"/>
    <s v="24LMNOP4321K1Z7"/>
    <s v="Patel Industries"/>
    <n v="40255.08"/>
    <n v="3622.96"/>
    <n v="3622.96"/>
    <n v="47501"/>
    <s v="GST"/>
    <x v="0"/>
    <s v=""/>
    <x v="3"/>
    <s v=""/>
  </r>
  <r>
    <s v="INV2198"/>
    <s v="24-06-2024"/>
    <s v="27ABCDE1234F1Z5"/>
    <s v="Sharma Traders"/>
    <n v="22285.42"/>
    <n v="2005.69"/>
    <n v="2005.69"/>
    <n v="26296.799999999999"/>
    <s v="GST"/>
    <x v="0"/>
    <s v=""/>
    <x v="3"/>
    <s v=""/>
  </r>
  <r>
    <s v="INV2199"/>
    <s v="04-06-2024"/>
    <s v="19ASDFG2468H1Z9"/>
    <s v="Eastern Distributors"/>
    <n v="27130.82"/>
    <n v="2441.77"/>
    <n v="2441.77"/>
    <n v="32014.36"/>
    <s v="GST"/>
    <x v="0"/>
    <s v=""/>
    <x v="3"/>
    <s v=""/>
  </r>
  <r>
    <s v="INV2200"/>
    <s v="07-05-2024"/>
    <s v="27ABCDE1234F1Z5"/>
    <s v="Sharma Traders"/>
    <n v="13626.48"/>
    <n v="1226.3800000000001"/>
    <n v="1226.3800000000001"/>
    <n v="16079.24"/>
    <s v="GST"/>
    <x v="0"/>
    <s v=""/>
    <x v="3"/>
    <s v=""/>
  </r>
  <r>
    <s v="INV2201"/>
    <s v="21-06-2024"/>
    <s v="19ASDFG2468H1Z9"/>
    <s v="Eastern Distributors"/>
    <n v="14404.04"/>
    <n v="1296.3599999999999"/>
    <n v="1296.3599999999999"/>
    <n v="16996.759999999998"/>
    <s v="GST"/>
    <x v="0"/>
    <s v=""/>
    <x v="3"/>
    <s v=""/>
  </r>
  <r>
    <s v="INV2202"/>
    <s v="22-06-2024"/>
    <s v="29PQRSX5678L1Z2"/>
    <s v="Kiran Enterprises"/>
    <n v="4501.1899999999996"/>
    <n v="405.11"/>
    <n v="405.11"/>
    <n v="5311.41"/>
    <s v="GST"/>
    <x v="0"/>
    <s v=""/>
    <x v="3"/>
    <s v=""/>
  </r>
  <r>
    <s v="INV2203"/>
    <s v="23-06-2024"/>
    <s v="27ABCDE1234F1Z5"/>
    <s v="Sharma Traders"/>
    <n v="28423.98"/>
    <n v="2558.16"/>
    <n v="2558.16"/>
    <n v="33540.300000000003"/>
    <s v="GST"/>
    <x v="0"/>
    <s v=""/>
    <x v="3"/>
    <s v=""/>
  </r>
  <r>
    <s v="INV2204"/>
    <s v="29-06-2024"/>
    <s v="29PQRSX5678L1Z2"/>
    <s v="Kiran Enterprises"/>
    <n v="37182.54"/>
    <n v="3346.43"/>
    <n v="3346.43"/>
    <n v="43875.4"/>
    <s v="GST"/>
    <x v="0"/>
    <s v=""/>
    <x v="3"/>
    <s v=""/>
  </r>
  <r>
    <s v="INV2205"/>
    <s v="24-04-2024"/>
    <s v="24LMNOP4321K1Z7"/>
    <s v="Patel Industries"/>
    <n v="3435.59"/>
    <n v="309.2"/>
    <n v="309.2"/>
    <n v="4053.99"/>
    <s v="GST"/>
    <x v="0"/>
    <s v=""/>
    <x v="3"/>
    <s v=""/>
  </r>
  <r>
    <s v="INV2206"/>
    <s v="18-04-2024"/>
    <s v="19ASDFG2468H1Z9"/>
    <s v="Eastern Distributors"/>
    <n v="7376.64"/>
    <n v="663.9"/>
    <n v="663.9"/>
    <n v="8704.44"/>
    <s v="GST"/>
    <x v="0"/>
    <s v=""/>
    <x v="3"/>
    <s v=""/>
  </r>
  <r>
    <s v="INV2207"/>
    <s v="19-04-2024"/>
    <s v="19ASDFG2468H1Z9"/>
    <s v="Eastern Distributors"/>
    <n v="10471.950000000001"/>
    <n v="942.48"/>
    <n v="942.48"/>
    <n v="12356.91"/>
    <s v="GST"/>
    <x v="0"/>
    <s v=""/>
    <x v="3"/>
    <s v=""/>
  </r>
  <r>
    <s v="INV2208"/>
    <s v="26-05-2024"/>
    <s v="27ABCDE1234F1Z5"/>
    <s v="Sharma Traders"/>
    <n v="38892.959999999999"/>
    <n v="3500.37"/>
    <n v="3500.37"/>
    <n v="45893.7"/>
    <s v="GST"/>
    <x v="0"/>
    <s v=""/>
    <x v="3"/>
    <s v=""/>
  </r>
  <r>
    <s v="INV2209"/>
    <s v="29-05-2024"/>
    <s v="27ABCDE1234F1Z5"/>
    <s v="Sharma Traders"/>
    <n v="44253.07"/>
    <n v="3982.78"/>
    <n v="3982.78"/>
    <n v="52218.63"/>
    <s v="GST"/>
    <x v="0"/>
    <s v=""/>
    <x v="3"/>
    <s v=""/>
  </r>
  <r>
    <s v="INV2210"/>
    <s v="16-04-2024"/>
    <s v="19ASDFG2468H1Z9"/>
    <s v="Eastern Distributors"/>
    <n v="43501.72"/>
    <n v="3915.15"/>
    <n v="3915.15"/>
    <n v="51332.02"/>
    <s v="GST"/>
    <x v="0"/>
    <s v=""/>
    <x v="3"/>
    <s v=""/>
  </r>
  <r>
    <s v="INV2211"/>
    <s v="19-05-2024"/>
    <s v="27ABCDE1234F1Z5"/>
    <s v="Sharma Traders"/>
    <n v="44660.6"/>
    <n v="4019.45"/>
    <n v="4019.45"/>
    <n v="52699.5"/>
    <s v="GST"/>
    <x v="0"/>
    <s v=""/>
    <x v="3"/>
    <s v=""/>
  </r>
  <r>
    <s v="INV2212"/>
    <s v="08-06-2024"/>
    <s v="29PQRSX5678L1Z2"/>
    <s v="Kiran Enterprises"/>
    <n v="3935.28"/>
    <n v="354.18"/>
    <n v="354.18"/>
    <n v="4643.6400000000003"/>
    <s v="GST"/>
    <x v="0"/>
    <s v=""/>
    <x v="3"/>
    <s v=""/>
  </r>
  <r>
    <s v="INV2213"/>
    <s v="23-06-2024"/>
    <s v="19ASDFG2468H1Z9"/>
    <s v="Eastern Distributors"/>
    <n v="31254.55"/>
    <n v="2812.91"/>
    <n v="2812.91"/>
    <n v="36880.370000000003"/>
    <s v="GST"/>
    <x v="0"/>
    <s v=""/>
    <x v="3"/>
    <s v=""/>
  </r>
  <r>
    <s v="INV2214"/>
    <s v="18-06-2024"/>
    <s v="29PQRSX5678L1Z2"/>
    <s v="Kiran Enterprises"/>
    <n v="13908.57"/>
    <n v="1251.77"/>
    <n v="1251.77"/>
    <n v="16412.11"/>
    <s v="GST"/>
    <x v="0"/>
    <s v=""/>
    <x v="3"/>
    <s v=""/>
  </r>
  <r>
    <s v="INV2215"/>
    <s v="08-04-2024"/>
    <s v="19ASDFG2468H1Z9"/>
    <s v="Eastern Distributors"/>
    <n v="22519.97"/>
    <n v="2026.8"/>
    <n v="2026.8"/>
    <n v="26573.57"/>
    <s v="GST"/>
    <x v="0"/>
    <s v=""/>
    <x v="3"/>
    <s v=""/>
  </r>
  <r>
    <s v="INV2216"/>
    <s v="29-06-2024"/>
    <s v="19ASDFG2468H1Z9"/>
    <s v="Eastern Distributors"/>
    <n v="16195.6"/>
    <n v="1457.6"/>
    <n v="1457.6"/>
    <n v="19110.8"/>
    <s v="GST"/>
    <x v="0"/>
    <s v=""/>
    <x v="3"/>
    <s v=""/>
  </r>
  <r>
    <s v="INV2217"/>
    <s v="25-06-2024"/>
    <s v="24LMNOP4321K1Z7"/>
    <s v="Patel Industries"/>
    <n v="2238.58"/>
    <n v="201.47"/>
    <n v="201.47"/>
    <n v="2641.52"/>
    <s v="GST"/>
    <x v="0"/>
    <s v=""/>
    <x v="3"/>
    <s v=""/>
  </r>
  <r>
    <s v="INV2218"/>
    <s v="26-04-2024"/>
    <s v="29PQRSX5678L1Z2"/>
    <s v="Kiran Enterprises"/>
    <n v="49658.93"/>
    <n v="4469.3"/>
    <n v="4469.3"/>
    <n v="58597.53"/>
    <s v="GST"/>
    <x v="0"/>
    <s v=""/>
    <x v="3"/>
    <s v=""/>
  </r>
  <r>
    <s v="INV2219"/>
    <s v="19-06-2024"/>
    <s v="19ASDFG2468H1Z9"/>
    <s v="Eastern Distributors"/>
    <n v="32895.71"/>
    <n v="2960.61"/>
    <n v="2960.61"/>
    <n v="38816.93"/>
    <s v="GST"/>
    <x v="0"/>
    <s v=""/>
    <x v="3"/>
    <s v=""/>
  </r>
  <r>
    <s v="INV2220"/>
    <s v="18-05-2024"/>
    <s v="07ZXCVB9876M1Z3"/>
    <s v="Gupta Supplies"/>
    <n v="48591.37"/>
    <n v="4373.22"/>
    <n v="4373.22"/>
    <n v="57337.81"/>
    <s v="GST"/>
    <x v="0"/>
    <s v=""/>
    <x v="3"/>
    <s v=""/>
  </r>
  <r>
    <s v="INV2221"/>
    <s v="18-06-2024"/>
    <s v="19ASDFG2468H1Z9"/>
    <s v="Eastern Distributors"/>
    <n v="25005.360000000001"/>
    <n v="2250.48"/>
    <n v="2250.48"/>
    <n v="29506.32"/>
    <s v="GST"/>
    <x v="0"/>
    <s v=""/>
    <x v="3"/>
    <s v=""/>
  </r>
  <r>
    <s v="INV2222"/>
    <s v="19-04-2024"/>
    <s v="27ABCDE1234F1Z5"/>
    <s v="Sharma Traders"/>
    <n v="17755.72"/>
    <n v="1598.01"/>
    <n v="1598.01"/>
    <n v="20951.740000000002"/>
    <s v="GST"/>
    <x v="0"/>
    <s v=""/>
    <x v="3"/>
    <s v=""/>
  </r>
  <r>
    <s v="INV2223"/>
    <s v="17-04-2024"/>
    <s v="29PQRSX5678L1Z2"/>
    <s v="Kiran Enterprises"/>
    <n v="19103.52"/>
    <n v="1719.32"/>
    <n v="1719.32"/>
    <n v="22542.16"/>
    <s v="GST"/>
    <x v="0"/>
    <s v=""/>
    <x v="3"/>
    <s v=""/>
  </r>
  <r>
    <s v="INV2224"/>
    <s v="01-06-2024"/>
    <s v="27ABCDE1234F1Z5"/>
    <s v="Sharma Traders"/>
    <n v="5776.85"/>
    <n v="519.91999999999996"/>
    <n v="519.91999999999996"/>
    <n v="6816.69"/>
    <s v="GST"/>
    <x v="0"/>
    <s v=""/>
    <x v="3"/>
    <s v=""/>
  </r>
  <r>
    <s v="INV2225"/>
    <s v="26-06-2024"/>
    <s v="27ABCDE1234F1Z5"/>
    <s v="Sharma Traders"/>
    <n v="20226.34"/>
    <n v="1820.37"/>
    <n v="1820.37"/>
    <n v="23867.08"/>
    <s v="GST"/>
    <x v="0"/>
    <s v=""/>
    <x v="3"/>
    <s v=""/>
  </r>
  <r>
    <s v="INV2226"/>
    <s v="08-06-2024"/>
    <s v="29PQRSX5678L1Z2"/>
    <s v="Kiran Enterprises"/>
    <n v="47362.86"/>
    <n v="4262.66"/>
    <n v="4262.66"/>
    <n v="55888.18"/>
    <s v="GST"/>
    <x v="0"/>
    <s v=""/>
    <x v="3"/>
    <s v=""/>
  </r>
  <r>
    <s v="INV2227"/>
    <s v="30-05-2024"/>
    <s v="29PQRSX5678L1Z2"/>
    <s v="Kiran Enterprises"/>
    <n v="29567.25"/>
    <n v="2661.05"/>
    <n v="2661.05"/>
    <n v="34889.35"/>
    <s v="GST"/>
    <x v="0"/>
    <s v=""/>
    <x v="3"/>
    <s v=""/>
  </r>
  <r>
    <s v="INV2228"/>
    <s v="10-06-2024"/>
    <s v="27ABCDE1234F1Z5"/>
    <s v="Sharma Traders"/>
    <n v="26749.32"/>
    <n v="2407.44"/>
    <n v="2407.44"/>
    <n v="31564.2"/>
    <s v="GST"/>
    <x v="0"/>
    <s v=""/>
    <x v="3"/>
    <s v=""/>
  </r>
  <r>
    <s v="INV2229"/>
    <s v="25-05-2024"/>
    <s v="24LMNOP4321K1Z7"/>
    <s v="Patel Industries"/>
    <n v="47690.5"/>
    <n v="4292.1400000000003"/>
    <n v="4292.1400000000003"/>
    <n v="56274.78"/>
    <s v="GST"/>
    <x v="0"/>
    <s v=""/>
    <x v="3"/>
    <s v=""/>
  </r>
  <r>
    <s v="INV2230"/>
    <s v="05-04-2024"/>
    <s v="19ASDFG2468H1Z9"/>
    <s v="Eastern Distributors"/>
    <n v="1635.39"/>
    <n v="147.19"/>
    <n v="147.19"/>
    <n v="1929.77"/>
    <s v="GST"/>
    <x v="0"/>
    <s v=""/>
    <x v="3"/>
    <s v=""/>
  </r>
  <r>
    <s v="INV2231"/>
    <s v="21-05-2024"/>
    <s v="19ASDFG2468H1Z9"/>
    <s v="Eastern Distributors"/>
    <n v="27754.44"/>
    <n v="2497.9"/>
    <n v="2497.9"/>
    <n v="32750.240000000002"/>
    <s v="GST"/>
    <x v="0"/>
    <s v=""/>
    <x v="3"/>
    <s v=""/>
  </r>
  <r>
    <s v="INV2232"/>
    <s v="01-05-2024"/>
    <s v="19ASDFG2468H1Z9"/>
    <s v="Eastern Distributors"/>
    <n v="6133.62"/>
    <n v="552.03"/>
    <n v="552.03"/>
    <n v="7237.68"/>
    <s v="GST"/>
    <x v="0"/>
    <s v=""/>
    <x v="3"/>
    <s v=""/>
  </r>
  <r>
    <s v="INV2233"/>
    <s v="20-04-2024"/>
    <s v="29PQRSX5678L1Z2"/>
    <s v="Kiran Enterprises"/>
    <n v="47490.03"/>
    <n v="4274.1000000000004"/>
    <n v="4274.1000000000004"/>
    <n v="56038.23"/>
    <s v="GST"/>
    <x v="0"/>
    <s v=""/>
    <x v="3"/>
    <s v=""/>
  </r>
  <r>
    <s v="INV2234"/>
    <s v="11-06-2024"/>
    <s v="19ASDFG2468H1Z9"/>
    <s v="Eastern Distributors"/>
    <n v="45878.46"/>
    <n v="4129.0600000000004"/>
    <n v="4129.0600000000004"/>
    <n v="54136.58"/>
    <s v="GST"/>
    <x v="0"/>
    <s v=""/>
    <x v="3"/>
    <s v=""/>
  </r>
  <r>
    <s v="INV2235"/>
    <s v="16-04-2024"/>
    <s v="07ZXCVB9876M1Z3"/>
    <s v="Gupta Supplies"/>
    <n v="33557.879999999997"/>
    <n v="3020.21"/>
    <n v="3020.21"/>
    <n v="39598.300000000003"/>
    <s v="GST"/>
    <x v="0"/>
    <s v=""/>
    <x v="3"/>
    <s v=""/>
  </r>
  <r>
    <s v="INV2236"/>
    <s v="21-06-2024"/>
    <s v="24LMNOP4321K1Z7"/>
    <s v="Patel Industries"/>
    <n v="35483.51"/>
    <n v="3193.52"/>
    <n v="3193.52"/>
    <n v="41870.550000000003"/>
    <s v="GST"/>
    <x v="0"/>
    <s v=""/>
    <x v="3"/>
    <s v=""/>
  </r>
  <r>
    <s v="INV2237"/>
    <s v="07-04-2024"/>
    <s v="29PQRSX5678L1Z2"/>
    <s v="Kiran Enterprises"/>
    <n v="40296.199999999997"/>
    <n v="3626.66"/>
    <n v="3626.66"/>
    <n v="47549.52"/>
    <s v="GST"/>
    <x v="0"/>
    <s v=""/>
    <x v="3"/>
    <s v=""/>
  </r>
  <r>
    <s v="INV2238"/>
    <s v="23-06-2024"/>
    <s v="07ZXCVB9876M1Z3"/>
    <s v="Gupta Supplies"/>
    <n v="20957.87"/>
    <n v="1886.21"/>
    <n v="1886.21"/>
    <n v="24730.29"/>
    <s v="GST"/>
    <x v="0"/>
    <s v=""/>
    <x v="3"/>
    <s v=""/>
  </r>
  <r>
    <s v="INV2239"/>
    <s v="26-06-2024"/>
    <s v="24LMNOP4321K1Z7"/>
    <s v="Patel Industries"/>
    <n v="28710.31"/>
    <n v="2583.9299999999998"/>
    <n v="2583.9299999999998"/>
    <n v="33878.17"/>
    <s v="GST"/>
    <x v="0"/>
    <s v=""/>
    <x v="3"/>
    <s v=""/>
  </r>
  <r>
    <s v="INV2240"/>
    <s v="23-06-2024"/>
    <s v="19ASDFG2468H1Z9"/>
    <s v="Eastern Distributors"/>
    <n v="3771.49"/>
    <n v="339.43"/>
    <n v="339.43"/>
    <n v="4450.3500000000004"/>
    <s v="GST"/>
    <x v="0"/>
    <s v=""/>
    <x v="3"/>
    <s v=""/>
  </r>
  <r>
    <s v="INV2241"/>
    <s v="26-04-2024"/>
    <s v="29PQRSX5678L1Z2"/>
    <s v="Kiran Enterprises"/>
    <n v="6987.7"/>
    <n v="628.89"/>
    <n v="628.89"/>
    <n v="8245.48"/>
    <s v="GST"/>
    <x v="0"/>
    <s v=""/>
    <x v="3"/>
    <s v=""/>
  </r>
  <r>
    <s v="INV2242"/>
    <s v="14-05-2024"/>
    <s v="24LMNOP4321K1Z7"/>
    <s v="Patel Industries"/>
    <n v="25838.02"/>
    <n v="2325.42"/>
    <n v="2325.42"/>
    <n v="30488.86"/>
    <s v="GST"/>
    <x v="0"/>
    <s v=""/>
    <x v="3"/>
    <s v=""/>
  </r>
  <r>
    <s v="INV2243"/>
    <s v="26-06-2024"/>
    <s v="07ZXCVB9876M1Z3"/>
    <s v="Gupta Supplies"/>
    <n v="24751.43"/>
    <n v="2227.63"/>
    <n v="2227.63"/>
    <n v="29206.69"/>
    <s v="GST"/>
    <x v="0"/>
    <s v=""/>
    <x v="3"/>
    <s v=""/>
  </r>
  <r>
    <s v="INV2244"/>
    <s v="27-05-2024"/>
    <s v="29PQRSX5678L1Z2"/>
    <s v="Kiran Enterprises"/>
    <n v="40924.43"/>
    <n v="3683.2"/>
    <n v="3683.2"/>
    <n v="48290.83"/>
    <s v="GST"/>
    <x v="0"/>
    <s v=""/>
    <x v="3"/>
    <s v=""/>
  </r>
  <r>
    <s v="INV2245"/>
    <s v="13-06-2024"/>
    <s v="07ZXCVB9876M1Z3"/>
    <s v="Gupta Supplies"/>
    <n v="6252.49"/>
    <n v="562.72"/>
    <n v="562.72"/>
    <n v="7377.93"/>
    <s v="GST"/>
    <x v="0"/>
    <s v=""/>
    <x v="3"/>
    <s v=""/>
  </r>
  <r>
    <s v="INV2246"/>
    <s v="14-06-2024"/>
    <s v="19ASDFG2468H1Z9"/>
    <s v="Eastern Distributors"/>
    <n v="9181.81"/>
    <n v="826.36"/>
    <n v="826.36"/>
    <n v="10834.53"/>
    <s v="GST"/>
    <x v="0"/>
    <s v=""/>
    <x v="3"/>
    <s v=""/>
  </r>
  <r>
    <s v="INV2247"/>
    <s v="25-06-2024"/>
    <s v="07ZXCVB9876M1Z3"/>
    <s v="Gupta Supplies"/>
    <n v="10348.92"/>
    <n v="931.4"/>
    <n v="931.4"/>
    <n v="12211.72"/>
    <s v="GST"/>
    <x v="0"/>
    <s v=""/>
    <x v="3"/>
    <s v=""/>
  </r>
  <r>
    <s v="INV2248"/>
    <s v="04-04-2024"/>
    <s v="07ZXCVB9876M1Z3"/>
    <s v="Gupta Supplies"/>
    <n v="6784.47"/>
    <n v="610.6"/>
    <n v="610.6"/>
    <n v="8005.67"/>
    <s v="GST"/>
    <x v="0"/>
    <s v=""/>
    <x v="3"/>
    <s v=""/>
  </r>
  <r>
    <s v="INV2249"/>
    <s v="17-04-2024"/>
    <s v="27ABCDE1234F1Z5"/>
    <s v="Sharma Traders"/>
    <n v="17403.41"/>
    <n v="1566.31"/>
    <n v="1566.31"/>
    <n v="20536.03"/>
    <s v="GST"/>
    <x v="0"/>
    <s v=""/>
    <x v="3"/>
    <s v=""/>
  </r>
  <r>
    <s v="INV2250"/>
    <s v="02-04-2024"/>
    <s v="07ZXCVB9876M1Z3"/>
    <s v="Gupta Supplies"/>
    <n v="33709.35"/>
    <n v="3033.84"/>
    <n v="3033.84"/>
    <n v="39777.03"/>
    <s v="GST"/>
    <x v="0"/>
    <s v=""/>
    <x v="3"/>
    <s v=""/>
  </r>
  <r>
    <s v="INV2251"/>
    <s v="10-04-2024"/>
    <s v="27ABCDE1234F1Z5"/>
    <s v="Sharma Traders"/>
    <n v="47140.36"/>
    <n v="4242.63"/>
    <n v="4242.63"/>
    <n v="55625.62"/>
    <s v="GST"/>
    <x v="0"/>
    <s v=""/>
    <x v="3"/>
    <s v=""/>
  </r>
  <r>
    <s v="INV2252"/>
    <s v="02-06-2024"/>
    <s v="27ABCDE1234F1Z5"/>
    <s v="Sharma Traders"/>
    <n v="43573.48"/>
    <n v="3921.61"/>
    <n v="3921.61"/>
    <n v="51416.7"/>
    <s v="GST"/>
    <x v="0"/>
    <s v=""/>
    <x v="3"/>
    <s v=""/>
  </r>
  <r>
    <s v="INV2253"/>
    <s v="24-06-2024"/>
    <s v="07ZXCVB9876M1Z3"/>
    <s v="Gupta Supplies"/>
    <n v="44370.63"/>
    <n v="3993.36"/>
    <n v="3993.36"/>
    <n v="52357.35"/>
    <s v="GST"/>
    <x v="0"/>
    <s v=""/>
    <x v="3"/>
    <s v=""/>
  </r>
  <r>
    <s v="INV2254"/>
    <s v="16-05-2024"/>
    <s v="24LMNOP4321K1Z7"/>
    <s v="Patel Industries"/>
    <n v="8234.09"/>
    <n v="741.07"/>
    <n v="741.07"/>
    <n v="9716.23"/>
    <s v="GST"/>
    <x v="0"/>
    <s v=""/>
    <x v="3"/>
    <s v=""/>
  </r>
  <r>
    <s v="INV2255"/>
    <s v="05-06-2024"/>
    <s v="29PQRSX5678L1Z2"/>
    <s v="Kiran Enterprises"/>
    <n v="8514.58"/>
    <n v="766.31"/>
    <n v="766.31"/>
    <n v="10047.200000000001"/>
    <s v="GST"/>
    <x v="0"/>
    <s v=""/>
    <x v="3"/>
    <s v=""/>
  </r>
  <r>
    <s v="INV2256"/>
    <s v="31-05-2024"/>
    <s v="29PQRSX5678L1Z2"/>
    <s v="Kiran Enterprises"/>
    <n v="36009.839999999997"/>
    <n v="3240.89"/>
    <n v="3240.89"/>
    <n v="42491.62"/>
    <s v="GST"/>
    <x v="0"/>
    <s v=""/>
    <x v="3"/>
    <s v=""/>
  </r>
  <r>
    <s v="INV2257"/>
    <s v="16-04-2024"/>
    <s v="24LMNOP4321K1Z7"/>
    <s v="Patel Industries"/>
    <n v="15581.97"/>
    <n v="1402.38"/>
    <n v="1402.38"/>
    <n v="18386.73"/>
    <s v="GST"/>
    <x v="0"/>
    <s v=""/>
    <x v="3"/>
    <s v=""/>
  </r>
  <r>
    <s v="INV2258"/>
    <s v="14-06-2024"/>
    <s v="19ASDFG2468H1Z9"/>
    <s v="Eastern Distributors"/>
    <n v="38641.83"/>
    <n v="3477.76"/>
    <n v="3477.76"/>
    <n v="45597.35"/>
    <s v="GST"/>
    <x v="0"/>
    <s v=""/>
    <x v="3"/>
    <s v=""/>
  </r>
  <r>
    <s v="INV2259"/>
    <s v="06-04-2024"/>
    <s v="24LMNOP4321K1Z7"/>
    <s v="Patel Industries"/>
    <n v="33727.760000000002"/>
    <n v="3035.5"/>
    <n v="3035.5"/>
    <n v="39798.76"/>
    <s v="GST"/>
    <x v="0"/>
    <s v=""/>
    <x v="3"/>
    <s v=""/>
  </r>
  <r>
    <s v="INV2260"/>
    <s v="27-05-2024"/>
    <s v="07ZXCVB9876M1Z3"/>
    <s v="Gupta Supplies"/>
    <n v="30704.7"/>
    <n v="2763.42"/>
    <n v="2763.42"/>
    <n v="36231.54"/>
    <s v="GST"/>
    <x v="0"/>
    <s v=""/>
    <x v="3"/>
    <s v=""/>
  </r>
  <r>
    <s v="INV2261"/>
    <s v="09-06-2024"/>
    <s v="27ABCDE1234F1Z5"/>
    <s v="Sharma Traders"/>
    <n v="46147.39"/>
    <n v="4153.2700000000004"/>
    <n v="4153.2700000000004"/>
    <n v="54453.93"/>
    <s v="GST"/>
    <x v="0"/>
    <s v=""/>
    <x v="3"/>
    <s v=""/>
  </r>
  <r>
    <s v="INV2262"/>
    <s v="12-05-2024"/>
    <s v="24LMNOP4321K1Z7"/>
    <s v="Patel Industries"/>
    <n v="26569.49"/>
    <n v="2391.25"/>
    <n v="2391.25"/>
    <n v="31351.99"/>
    <s v="GST"/>
    <x v="0"/>
    <s v=""/>
    <x v="3"/>
    <s v=""/>
  </r>
  <r>
    <s v="INV2263"/>
    <s v="29-05-2024"/>
    <s v="24LMNOP4321K1Z7"/>
    <s v="Patel Industries"/>
    <n v="5243.35"/>
    <n v="471.9"/>
    <n v="471.9"/>
    <n v="6187.15"/>
    <s v="GST"/>
    <x v="0"/>
    <s v=""/>
    <x v="3"/>
    <s v=""/>
  </r>
  <r>
    <s v="INV2264"/>
    <s v="29-04-2024"/>
    <s v="27ABCDE1234F1Z5"/>
    <s v="Sharma Traders"/>
    <n v="11395.87"/>
    <n v="1025.6300000000001"/>
    <n v="1025.6300000000001"/>
    <n v="13447.13"/>
    <s v="GST"/>
    <x v="0"/>
    <s v=""/>
    <x v="3"/>
    <s v=""/>
  </r>
  <r>
    <s v="INV2265"/>
    <s v="09-06-2024"/>
    <s v="29PQRSX5678L1Z2"/>
    <s v="Kiran Enterprises"/>
    <n v="10508.19"/>
    <n v="945.74"/>
    <n v="945.74"/>
    <n v="12399.67"/>
    <s v="GST"/>
    <x v="0"/>
    <s v=""/>
    <x v="3"/>
    <s v=""/>
  </r>
  <r>
    <s v="INV2266"/>
    <s v="18-04-2024"/>
    <s v="27ABCDE1234F1Z5"/>
    <s v="Sharma Traders"/>
    <n v="1623.77"/>
    <n v="146.13999999999999"/>
    <n v="146.13999999999999"/>
    <n v="1916.05"/>
    <s v="GST"/>
    <x v="0"/>
    <s v=""/>
    <x v="3"/>
    <s v=""/>
  </r>
  <r>
    <s v="INV2267"/>
    <s v="01-04-2024"/>
    <s v="07ZXCVB9876M1Z3"/>
    <s v="Gupta Supplies"/>
    <n v="2331.94"/>
    <n v="209.87"/>
    <n v="209.87"/>
    <n v="2751.68"/>
    <s v="GST"/>
    <x v="0"/>
    <s v=""/>
    <x v="3"/>
    <s v=""/>
  </r>
  <r>
    <s v="INV2268"/>
    <s v="08-05-2024"/>
    <s v="07ZXCVB9876M1Z3"/>
    <s v="Gupta Supplies"/>
    <n v="48770.98"/>
    <n v="4389.3900000000003"/>
    <n v="4389.3900000000003"/>
    <n v="57549.760000000002"/>
    <s v="GST"/>
    <x v="0"/>
    <s v=""/>
    <x v="3"/>
    <s v=""/>
  </r>
  <r>
    <s v="INV2269"/>
    <s v="16-05-2024"/>
    <s v="07ZXCVB9876M1Z3"/>
    <s v="Gupta Supplies"/>
    <n v="3457.03"/>
    <n v="311.13"/>
    <n v="311.13"/>
    <n v="4079.29"/>
    <s v="GST"/>
    <x v="0"/>
    <s v=""/>
    <x v="3"/>
    <s v=""/>
  </r>
  <r>
    <s v="INV2270"/>
    <s v="30-06-2024"/>
    <s v="19ASDFG2468H1Z9"/>
    <s v="Eastern Distributors"/>
    <n v="26618.43"/>
    <n v="2395.66"/>
    <n v="2395.66"/>
    <n v="31409.75"/>
    <s v="GST"/>
    <x v="0"/>
    <s v=""/>
    <x v="3"/>
    <s v=""/>
  </r>
  <r>
    <s v="INV2271"/>
    <s v="20-05-2024"/>
    <s v="07ZXCVB9876M1Z3"/>
    <s v="Gupta Supplies"/>
    <n v="2847.19"/>
    <n v="256.25"/>
    <n v="256.25"/>
    <n v="3359.69"/>
    <s v="GST"/>
    <x v="0"/>
    <s v=""/>
    <x v="3"/>
    <s v=""/>
  </r>
  <r>
    <s v="INV2272"/>
    <s v="01-05-2024"/>
    <s v="07ZXCVB9876M1Z3"/>
    <s v="Gupta Supplies"/>
    <n v="17550.39"/>
    <n v="1579.54"/>
    <n v="1579.54"/>
    <n v="20709.47"/>
    <s v="GST"/>
    <x v="0"/>
    <s v=""/>
    <x v="3"/>
    <s v=""/>
  </r>
  <r>
    <s v="INV2273"/>
    <s v="15-06-2024"/>
    <s v="29PQRSX5678L1Z2"/>
    <s v="Kiran Enterprises"/>
    <n v="23918.23"/>
    <n v="2152.64"/>
    <n v="2152.64"/>
    <n v="28223.51"/>
    <s v="GST"/>
    <x v="0"/>
    <s v=""/>
    <x v="3"/>
    <s v=""/>
  </r>
  <r>
    <s v="INV2274"/>
    <s v="01-06-2024"/>
    <s v="29PQRSX5678L1Z2"/>
    <s v="Kiran Enterprises"/>
    <n v="46027.33"/>
    <n v="4142.46"/>
    <n v="4142.46"/>
    <n v="54312.25"/>
    <s v="GST"/>
    <x v="0"/>
    <s v=""/>
    <x v="3"/>
    <s v=""/>
  </r>
  <r>
    <s v="INV2275"/>
    <s v="13-05-2024"/>
    <s v="07ZXCVB9876M1Z3"/>
    <s v="Gupta Supplies"/>
    <n v="3294.69"/>
    <n v="296.52"/>
    <n v="296.52"/>
    <n v="3887.73"/>
    <s v="GST"/>
    <x v="0"/>
    <s v=""/>
    <x v="3"/>
    <s v=""/>
  </r>
  <r>
    <s v="INV2276"/>
    <s v="09-06-2024"/>
    <s v="07ZXCVB9876M1Z3"/>
    <s v="Gupta Supplies"/>
    <n v="23924.77"/>
    <n v="2153.23"/>
    <n v="2153.23"/>
    <n v="28231.23"/>
    <s v="GST"/>
    <x v="0"/>
    <s v=""/>
    <x v="3"/>
    <s v=""/>
  </r>
  <r>
    <s v="INV2277"/>
    <s v="09-05-2024"/>
    <s v="24LMNOP4321K1Z7"/>
    <s v="Patel Industries"/>
    <n v="28252.75"/>
    <n v="2542.75"/>
    <n v="2542.75"/>
    <n v="33338.25"/>
    <s v="GST"/>
    <x v="0"/>
    <s v=""/>
    <x v="3"/>
    <s v=""/>
  </r>
  <r>
    <s v="INV2278"/>
    <s v="20-06-2024"/>
    <s v="27ABCDE1234F1Z5"/>
    <s v="Sharma Traders"/>
    <n v="8771.91"/>
    <n v="789.47"/>
    <n v="789.47"/>
    <n v="10350.85"/>
    <s v="GST"/>
    <x v="0"/>
    <s v=""/>
    <x v="3"/>
    <s v=""/>
  </r>
  <r>
    <s v="INV2279"/>
    <s v="08-06-2024"/>
    <s v="24LMNOP4321K1Z7"/>
    <s v="Patel Industries"/>
    <n v="25827.52"/>
    <n v="2324.48"/>
    <n v="2324.48"/>
    <n v="30476.48"/>
    <s v="GST"/>
    <x v="0"/>
    <s v=""/>
    <x v="3"/>
    <s v=""/>
  </r>
  <r>
    <s v="INV2280"/>
    <s v="15-04-2024"/>
    <s v="24LMNOP4321K1Z7"/>
    <s v="Patel Industries"/>
    <n v="16784.86"/>
    <n v="1510.64"/>
    <n v="1510.64"/>
    <n v="19806.14"/>
    <s v="GST"/>
    <x v="0"/>
    <s v=""/>
    <x v="3"/>
    <s v=""/>
  </r>
  <r>
    <s v="INV2281"/>
    <s v="24-05-2024"/>
    <s v="27ABCDE1234F1Z5"/>
    <s v="Sharma Traders"/>
    <n v="22006.959999999999"/>
    <n v="1980.63"/>
    <n v="1980.63"/>
    <n v="25968.22"/>
    <s v="GST"/>
    <x v="0"/>
    <s v=""/>
    <x v="3"/>
    <s v=""/>
  </r>
  <r>
    <s v="INV2282"/>
    <s v="07-06-2024"/>
    <s v="29PQRSX5678L1Z2"/>
    <s v="Kiran Enterprises"/>
    <n v="14158.67"/>
    <n v="1274.28"/>
    <n v="1274.28"/>
    <n v="16707.23"/>
    <s v="GST"/>
    <x v="0"/>
    <s v=""/>
    <x v="3"/>
    <s v=""/>
  </r>
  <r>
    <s v="INV2283"/>
    <s v="23-05-2024"/>
    <s v="07ZXCVB9876M1Z3"/>
    <s v="Gupta Supplies"/>
    <n v="49608.45"/>
    <n v="4464.76"/>
    <n v="4464.76"/>
    <n v="58537.97"/>
    <s v="GST"/>
    <x v="0"/>
    <s v=""/>
    <x v="3"/>
    <s v=""/>
  </r>
  <r>
    <s v="INV2284"/>
    <s v="05-06-2024"/>
    <s v="27ABCDE1234F1Z5"/>
    <s v="Sharma Traders"/>
    <n v="28238.41"/>
    <n v="2541.46"/>
    <n v="2541.46"/>
    <n v="33321.33"/>
    <s v="GST"/>
    <x v="0"/>
    <s v=""/>
    <x v="3"/>
    <s v=""/>
  </r>
  <r>
    <s v="INV2285"/>
    <s v="30-06-2024"/>
    <s v="24LMNOP4321K1Z7"/>
    <s v="Patel Industries"/>
    <n v="14429.4"/>
    <n v="1298.6500000000001"/>
    <n v="1298.6500000000001"/>
    <n v="17026.7"/>
    <s v="GST"/>
    <x v="0"/>
    <s v=""/>
    <x v="3"/>
    <s v=""/>
  </r>
  <r>
    <s v="INV2286"/>
    <s v="24-06-2024"/>
    <s v="24LMNOP4321K1Z7"/>
    <s v="Patel Industries"/>
    <n v="48185.05"/>
    <n v="4336.6499999999996"/>
    <n v="4336.6499999999996"/>
    <n v="56858.35"/>
    <s v="GST"/>
    <x v="0"/>
    <s v=""/>
    <x v="3"/>
    <s v=""/>
  </r>
  <r>
    <s v="INV2287"/>
    <s v="13-06-2024"/>
    <s v="07ZXCVB9876M1Z3"/>
    <s v="Gupta Supplies"/>
    <n v="44047.15"/>
    <n v="3964.24"/>
    <n v="3964.24"/>
    <n v="51975.63"/>
    <s v="GST"/>
    <x v="0"/>
    <s v=""/>
    <x v="3"/>
    <s v=""/>
  </r>
  <r>
    <s v="INV2288"/>
    <s v="29-06-2024"/>
    <s v="24LMNOP4321K1Z7"/>
    <s v="Patel Industries"/>
    <n v="3789.61"/>
    <n v="341.06"/>
    <n v="341.06"/>
    <n v="4471.7299999999996"/>
    <s v="GST"/>
    <x v="0"/>
    <s v=""/>
    <x v="3"/>
    <s v=""/>
  </r>
  <r>
    <s v="INV2289"/>
    <s v="29-05-2024"/>
    <s v="27ABCDE1234F1Z5"/>
    <s v="Sharma Traders"/>
    <n v="42933.31"/>
    <n v="3864"/>
    <n v="3864"/>
    <n v="50661.31"/>
    <s v="GST"/>
    <x v="0"/>
    <s v=""/>
    <x v="3"/>
    <s v=""/>
  </r>
  <r>
    <s v="INV2290"/>
    <s v="27-06-2024"/>
    <s v="07ZXCVB9876M1Z3"/>
    <s v="Gupta Supplies"/>
    <n v="31928.07"/>
    <n v="2873.53"/>
    <n v="2873.53"/>
    <n v="37675.129999999997"/>
    <s v="GST"/>
    <x v="0"/>
    <s v=""/>
    <x v="3"/>
    <s v=""/>
  </r>
  <r>
    <s v="INV2291"/>
    <s v="05-05-2024"/>
    <s v="29PQRSX5678L1Z2"/>
    <s v="Kiran Enterprises"/>
    <n v="8488.2000000000007"/>
    <n v="763.94"/>
    <n v="763.94"/>
    <n v="10016.08"/>
    <s v="GST"/>
    <x v="0"/>
    <s v=""/>
    <x v="3"/>
    <s v=""/>
  </r>
  <r>
    <s v="INV2292"/>
    <s v="07-06-2024"/>
    <s v="24LMNOP4321K1Z7"/>
    <s v="Patel Industries"/>
    <n v="13648.98"/>
    <n v="1228.4100000000001"/>
    <n v="1228.4100000000001"/>
    <n v="16105.8"/>
    <s v="GST"/>
    <x v="0"/>
    <s v=""/>
    <x v="3"/>
    <s v=""/>
  </r>
  <r>
    <s v="INV2293"/>
    <s v="09-05-2024"/>
    <s v="19ASDFG2468H1Z9"/>
    <s v="Eastern Distributors"/>
    <n v="48150.32"/>
    <n v="4333.53"/>
    <n v="4333.53"/>
    <n v="56817.38"/>
    <s v="GST"/>
    <x v="0"/>
    <s v=""/>
    <x v="3"/>
    <s v=""/>
  </r>
  <r>
    <s v="INV2294"/>
    <s v="28-05-2024"/>
    <s v="24LMNOP4321K1Z7"/>
    <s v="Patel Industries"/>
    <n v="7356.61"/>
    <n v="662.09"/>
    <n v="662.09"/>
    <n v="8680.7900000000009"/>
    <s v="GST"/>
    <x v="0"/>
    <s v=""/>
    <x v="3"/>
    <s v=""/>
  </r>
  <r>
    <s v="INV2295"/>
    <s v="06-05-2024"/>
    <s v="29PQRSX5678L1Z2"/>
    <s v="Kiran Enterprises"/>
    <n v="11465.14"/>
    <n v="1031.8599999999999"/>
    <n v="1031.8599999999999"/>
    <n v="13528.86"/>
    <s v="GST"/>
    <x v="0"/>
    <s v=""/>
    <x v="3"/>
    <s v=""/>
  </r>
  <r>
    <s v="INV2296"/>
    <s v="19-04-2024"/>
    <s v="24LMNOP4321K1Z7"/>
    <s v="Patel Industries"/>
    <n v="8109.2"/>
    <n v="729.83"/>
    <n v="729.83"/>
    <n v="9568.86"/>
    <s v="GST"/>
    <x v="0"/>
    <s v=""/>
    <x v="3"/>
    <s v=""/>
  </r>
  <r>
    <s v="INV2297"/>
    <s v="22-05-2024"/>
    <s v="19ASDFG2468H1Z9"/>
    <s v="Eastern Distributors"/>
    <n v="46196.6"/>
    <n v="4157.6899999999996"/>
    <n v="4157.6899999999996"/>
    <n v="54511.98"/>
    <s v="GST"/>
    <x v="0"/>
    <s v=""/>
    <x v="3"/>
    <s v=""/>
  </r>
  <r>
    <s v="INV2298"/>
    <s v="07-06-2024"/>
    <s v="29PQRSX5678L1Z2"/>
    <s v="Kiran Enterprises"/>
    <n v="43092.68"/>
    <n v="3878.34"/>
    <n v="3878.34"/>
    <n v="50849.36"/>
    <s v="GST"/>
    <x v="0"/>
    <s v=""/>
    <x v="3"/>
    <s v=""/>
  </r>
  <r>
    <s v="INV2299"/>
    <s v="30-04-2024"/>
    <s v="19ASDFG2468H1Z9"/>
    <s v="Eastern Distributors"/>
    <n v="3967.81"/>
    <n v="357.1"/>
    <n v="357.1"/>
    <n v="4682.01"/>
    <s v="GST"/>
    <x v="0"/>
    <s v=""/>
    <x v="3"/>
    <s v=""/>
  </r>
  <r>
    <s v="INV2300"/>
    <s v="16-06-2024"/>
    <s v="24LMNOP4321K1Z7"/>
    <s v="Patel Industries"/>
    <n v="35335.72"/>
    <n v="3180.21"/>
    <n v="3180.21"/>
    <n v="41696.14"/>
    <s v="GST"/>
    <x v="0"/>
    <s v=""/>
    <x v="3"/>
    <s v=""/>
  </r>
  <r>
    <s v="INV2301"/>
    <s v="18-06-2024"/>
    <s v="29PQRSX5678L1Z2"/>
    <s v="Kiran Enterprises"/>
    <n v="41326.620000000003"/>
    <n v="3719.4"/>
    <n v="3719.4"/>
    <n v="48765.42"/>
    <s v="GST"/>
    <x v="0"/>
    <s v=""/>
    <x v="3"/>
    <s v=""/>
  </r>
  <r>
    <s v="INV2302"/>
    <s v="12-05-2024"/>
    <s v="07ZXCVB9876M1Z3"/>
    <s v="Gupta Supplies"/>
    <n v="30163.65"/>
    <n v="2714.73"/>
    <n v="2714.73"/>
    <n v="35593.11"/>
    <s v="GST"/>
    <x v="0"/>
    <s v=""/>
    <x v="3"/>
    <s v=""/>
  </r>
  <r>
    <s v="INV2303"/>
    <s v="04-04-2024"/>
    <s v="07ZXCVB9876M1Z3"/>
    <s v="Gupta Supplies"/>
    <n v="36179.11"/>
    <n v="3256.12"/>
    <n v="3256.12"/>
    <n v="42691.35"/>
    <s v="GST"/>
    <x v="0"/>
    <s v=""/>
    <x v="3"/>
    <s v=""/>
  </r>
  <r>
    <s v="INV2304"/>
    <s v="02-06-2024"/>
    <s v="19ASDFG2468H1Z9"/>
    <s v="Eastern Distributors"/>
    <n v="32724.35"/>
    <n v="2945.19"/>
    <n v="2945.19"/>
    <n v="38614.730000000003"/>
    <s v="GST"/>
    <x v="0"/>
    <s v=""/>
    <x v="3"/>
    <s v=""/>
  </r>
  <r>
    <s v="INV2305"/>
    <s v="02-05-2024"/>
    <s v="19ASDFG2468H1Z9"/>
    <s v="Eastern Distributors"/>
    <n v="13303.56"/>
    <n v="1197.32"/>
    <n v="1197.32"/>
    <n v="15698.2"/>
    <s v="GST"/>
    <x v="0"/>
    <s v=""/>
    <x v="3"/>
    <s v=""/>
  </r>
  <r>
    <s v="INV2306"/>
    <s v="16-04-2024"/>
    <s v="19ASDFG2468H1Z9"/>
    <s v="Eastern Distributors"/>
    <n v="17585.27"/>
    <n v="1582.67"/>
    <n v="1582.67"/>
    <n v="20750.61"/>
    <s v="GST"/>
    <x v="0"/>
    <s v=""/>
    <x v="3"/>
    <s v=""/>
  </r>
  <r>
    <s v="INV2307"/>
    <s v="02-04-2024"/>
    <s v="24LMNOP4321K1Z7"/>
    <s v="Patel Industries"/>
    <n v="37788.15"/>
    <n v="3400.93"/>
    <n v="3400.93"/>
    <n v="44590.01"/>
    <s v="GST"/>
    <x v="0"/>
    <s v=""/>
    <x v="3"/>
    <s v=""/>
  </r>
  <r>
    <s v="INV2308"/>
    <s v="30-05-2024"/>
    <s v="07ZXCVB9876M1Z3"/>
    <s v="Gupta Supplies"/>
    <n v="41136.22"/>
    <n v="3702.26"/>
    <n v="3702.26"/>
    <n v="48540.74"/>
    <s v="GST"/>
    <x v="0"/>
    <s v=""/>
    <x v="3"/>
    <s v=""/>
  </r>
  <r>
    <s v="INV2309"/>
    <s v="18-05-2024"/>
    <s v="27ABCDE1234F1Z5"/>
    <s v="Sharma Traders"/>
    <n v="48426.080000000002"/>
    <n v="4358.3500000000004"/>
    <n v="4358.3500000000004"/>
    <n v="57142.78"/>
    <s v="GST"/>
    <x v="0"/>
    <s v=""/>
    <x v="3"/>
    <s v=""/>
  </r>
  <r>
    <s v="INV2310"/>
    <s v="25-04-2024"/>
    <s v="07ZXCVB9876M1Z3"/>
    <s v="Gupta Supplies"/>
    <n v="42169.74"/>
    <n v="3795.28"/>
    <n v="3795.28"/>
    <n v="49760.3"/>
    <s v="GST"/>
    <x v="0"/>
    <s v=""/>
    <x v="3"/>
    <s v=""/>
  </r>
  <r>
    <s v="INV2311"/>
    <s v="05-05-2024"/>
    <s v="07ZXCVB9876M1Z3"/>
    <s v="Gupta Supplies"/>
    <n v="36844.269999999997"/>
    <n v="3315.98"/>
    <n v="3315.98"/>
    <n v="43476.23"/>
    <s v="GST"/>
    <x v="0"/>
    <s v=""/>
    <x v="3"/>
    <s v=""/>
  </r>
  <r>
    <s v="INV2312"/>
    <s v="08-06-2024"/>
    <s v="24LMNOP4321K1Z7"/>
    <s v="Patel Industries"/>
    <n v="40488.720000000001"/>
    <n v="3643.98"/>
    <n v="3643.98"/>
    <n v="47776.68"/>
    <s v="GST"/>
    <x v="0"/>
    <s v=""/>
    <x v="3"/>
    <s v=""/>
  </r>
  <r>
    <s v="INV2313"/>
    <s v="09-06-2024"/>
    <s v="29PQRSX5678L1Z2"/>
    <s v="Kiran Enterprises"/>
    <n v="17250.009999999998"/>
    <n v="1552.5"/>
    <n v="1552.5"/>
    <n v="20355.009999999998"/>
    <s v="GST"/>
    <x v="0"/>
    <s v=""/>
    <x v="3"/>
    <s v=""/>
  </r>
  <r>
    <s v="INV2314"/>
    <s v="16-05-2024"/>
    <s v="19ASDFG2468H1Z9"/>
    <s v="Eastern Distributors"/>
    <n v="22684.7"/>
    <n v="2041.62"/>
    <n v="2041.62"/>
    <n v="26767.94"/>
    <s v="GST"/>
    <x v="0"/>
    <s v=""/>
    <x v="3"/>
    <s v=""/>
  </r>
  <r>
    <s v="INV2315"/>
    <s v="16-06-2024"/>
    <s v="19ASDFG2468H1Z9"/>
    <s v="Eastern Distributors"/>
    <n v="13694.52"/>
    <n v="1232.51"/>
    <n v="1232.51"/>
    <n v="16159.54"/>
    <s v="GST"/>
    <x v="0"/>
    <s v=""/>
    <x v="3"/>
    <s v=""/>
  </r>
  <r>
    <s v="INV2316"/>
    <s v="26-04-2024"/>
    <s v="29PQRSX5678L1Z2"/>
    <s v="Kiran Enterprises"/>
    <n v="28805.91"/>
    <n v="2592.5300000000002"/>
    <n v="2592.5300000000002"/>
    <n v="33990.97"/>
    <s v="GST"/>
    <x v="0"/>
    <s v=""/>
    <x v="3"/>
    <s v=""/>
  </r>
  <r>
    <s v="INV2317"/>
    <s v="28-04-2024"/>
    <s v="19ASDFG2468H1Z9"/>
    <s v="Eastern Distributors"/>
    <n v="7111.04"/>
    <n v="639.99"/>
    <n v="639.99"/>
    <n v="8391.02"/>
    <s v="GST"/>
    <x v="0"/>
    <s v=""/>
    <x v="3"/>
    <s v=""/>
  </r>
  <r>
    <s v="INV2318"/>
    <s v="14-05-2024"/>
    <s v="29PQRSX5678L1Z2"/>
    <s v="Kiran Enterprises"/>
    <n v="20151.849999999999"/>
    <n v="1813.67"/>
    <n v="1813.67"/>
    <n v="23779.19"/>
    <s v="GST"/>
    <x v="0"/>
    <s v=""/>
    <x v="3"/>
    <s v=""/>
  </r>
  <r>
    <s v="INV2319"/>
    <s v="12-04-2024"/>
    <s v="19ASDFG2468H1Z9"/>
    <s v="Eastern Distributors"/>
    <n v="18412.86"/>
    <n v="1657.16"/>
    <n v="1657.16"/>
    <n v="21727.18"/>
    <s v="GST"/>
    <x v="0"/>
    <s v=""/>
    <x v="3"/>
    <s v=""/>
  </r>
  <r>
    <s v="INV2320"/>
    <s v="18-06-2024"/>
    <s v="19ASDFG2468H1Z9"/>
    <s v="Eastern Distributors"/>
    <n v="40194.92"/>
    <n v="3617.54"/>
    <n v="3617.54"/>
    <n v="47430"/>
    <s v="GST"/>
    <x v="0"/>
    <s v=""/>
    <x v="3"/>
    <s v=""/>
  </r>
  <r>
    <s v="INV2321"/>
    <s v="15-06-2024"/>
    <s v="07ZXCVB9876M1Z3"/>
    <s v="Gupta Supplies"/>
    <n v="29034.58"/>
    <n v="2613.11"/>
    <n v="2613.11"/>
    <n v="34260.800000000003"/>
    <s v="GST"/>
    <x v="0"/>
    <s v=""/>
    <x v="3"/>
    <s v=""/>
  </r>
  <r>
    <s v="INV2322"/>
    <s v="28-04-2024"/>
    <s v="29PQRSX5678L1Z2"/>
    <s v="Kiran Enterprises"/>
    <n v="8802.5400000000009"/>
    <n v="792.23"/>
    <n v="792.23"/>
    <n v="10387"/>
    <s v="GST"/>
    <x v="0"/>
    <s v=""/>
    <x v="3"/>
    <s v=""/>
  </r>
  <r>
    <s v="INV2323"/>
    <s v="11-06-2024"/>
    <s v="24LMNOP4321K1Z7"/>
    <s v="Patel Industries"/>
    <n v="34270.129999999997"/>
    <n v="3084.31"/>
    <n v="3084.31"/>
    <n v="40438.75"/>
    <s v="GST"/>
    <x v="0"/>
    <s v=""/>
    <x v="3"/>
    <s v=""/>
  </r>
  <r>
    <s v="INV2324"/>
    <s v="06-06-2024"/>
    <s v="29PQRSX5678L1Z2"/>
    <s v="Kiran Enterprises"/>
    <n v="19905.18"/>
    <n v="1791.47"/>
    <n v="1791.47"/>
    <n v="23488.12"/>
    <s v="GST"/>
    <x v="0"/>
    <s v=""/>
    <x v="3"/>
    <s v=""/>
  </r>
  <r>
    <s v="INV2325"/>
    <s v="09-06-2024"/>
    <s v="24LMNOP4321K1Z7"/>
    <s v="Patel Industries"/>
    <n v="42462.38"/>
    <n v="3821.61"/>
    <n v="3821.61"/>
    <n v="50105.599999999999"/>
    <s v="GST"/>
    <x v="0"/>
    <s v=""/>
    <x v="3"/>
    <s v=""/>
  </r>
  <r>
    <s v="INV2326"/>
    <s v="04-04-2024"/>
    <s v="24LMNOP4321K1Z7"/>
    <s v="Patel Industries"/>
    <n v="13408.97"/>
    <n v="1206.81"/>
    <n v="1206.81"/>
    <n v="15822.59"/>
    <s v="GST"/>
    <x v="0"/>
    <s v=""/>
    <x v="3"/>
    <s v=""/>
  </r>
  <r>
    <s v="INV2327"/>
    <s v="14-06-2024"/>
    <s v="07ZXCVB9876M1Z3"/>
    <s v="Gupta Supplies"/>
    <n v="49941.73"/>
    <n v="4494.76"/>
    <n v="4494.76"/>
    <n v="58931.25"/>
    <s v="GST"/>
    <x v="0"/>
    <s v=""/>
    <x v="3"/>
    <s v=""/>
  </r>
  <r>
    <s v="INV2328"/>
    <s v="30-05-2024"/>
    <s v="27ABCDE1234F1Z5"/>
    <s v="Sharma Traders"/>
    <n v="49452.67"/>
    <n v="4450.74"/>
    <n v="4450.74"/>
    <n v="58354.15"/>
    <s v="GST"/>
    <x v="0"/>
    <s v=""/>
    <x v="3"/>
    <s v=""/>
  </r>
  <r>
    <s v="INV2329"/>
    <s v="30-05-2024"/>
    <s v="07ZXCVB9876M1Z3"/>
    <s v="Gupta Supplies"/>
    <n v="34915.65"/>
    <n v="3142.41"/>
    <n v="3142.41"/>
    <n v="41200.47"/>
    <s v="GST"/>
    <x v="0"/>
    <s v=""/>
    <x v="3"/>
    <s v=""/>
  </r>
  <r>
    <s v="INV2330"/>
    <s v="30-06-2024"/>
    <s v="29PQRSX5678L1Z2"/>
    <s v="Kiran Enterprises"/>
    <n v="28423.31"/>
    <n v="2558.1"/>
    <n v="2558.1"/>
    <n v="33539.51"/>
    <s v="GST"/>
    <x v="0"/>
    <s v=""/>
    <x v="3"/>
    <s v=""/>
  </r>
  <r>
    <s v="INV2331"/>
    <s v="20-04-2024"/>
    <s v="19ASDFG2468H1Z9"/>
    <s v="Eastern Distributors"/>
    <n v="18357.27"/>
    <n v="1652.15"/>
    <n v="1652.15"/>
    <n v="21661.57"/>
    <s v="GST"/>
    <x v="0"/>
    <s v=""/>
    <x v="3"/>
    <s v=""/>
  </r>
  <r>
    <s v="INV2332"/>
    <s v="06-05-2024"/>
    <s v="24LMNOP4321K1Z7"/>
    <s v="Patel Industries"/>
    <n v="37579.83"/>
    <n v="3382.18"/>
    <n v="3382.18"/>
    <n v="44344.19"/>
    <s v="GST"/>
    <x v="0"/>
    <s v=""/>
    <x v="3"/>
    <s v=""/>
  </r>
  <r>
    <s v="INV2333"/>
    <s v="08-05-2024"/>
    <s v="27ABCDE1234F1Z5"/>
    <s v="Sharma Traders"/>
    <n v="17301.59"/>
    <n v="1557.14"/>
    <n v="1557.14"/>
    <n v="20415.87"/>
    <s v="GST"/>
    <x v="0"/>
    <s v=""/>
    <x v="3"/>
    <s v=""/>
  </r>
  <r>
    <s v="INV2334"/>
    <s v="22-04-2024"/>
    <s v="27ABCDE1234F1Z5"/>
    <s v="Sharma Traders"/>
    <n v="7932.01"/>
    <n v="713.88"/>
    <n v="713.88"/>
    <n v="9359.77"/>
    <s v="GST"/>
    <x v="0"/>
    <s v=""/>
    <x v="3"/>
    <s v=""/>
  </r>
  <r>
    <s v="INV2335"/>
    <s v="09-05-2024"/>
    <s v="29PQRSX5678L1Z2"/>
    <s v="Kiran Enterprises"/>
    <n v="2866.9"/>
    <n v="258.02"/>
    <n v="258.02"/>
    <n v="3382.94"/>
    <s v="GST"/>
    <x v="0"/>
    <s v=""/>
    <x v="3"/>
    <s v=""/>
  </r>
  <r>
    <s v="INV2336"/>
    <s v="11-05-2024"/>
    <s v="29PQRSX5678L1Z2"/>
    <s v="Kiran Enterprises"/>
    <n v="40458.449999999997"/>
    <n v="3641.26"/>
    <n v="3641.26"/>
    <n v="47740.97"/>
    <s v="GST"/>
    <x v="0"/>
    <s v=""/>
    <x v="3"/>
    <s v=""/>
  </r>
  <r>
    <s v="INV2337"/>
    <s v="25-05-2024"/>
    <s v="24LMNOP4321K1Z7"/>
    <s v="Patel Industries"/>
    <n v="43576.09"/>
    <n v="3921.85"/>
    <n v="3921.85"/>
    <n v="51419.79"/>
    <s v="GST"/>
    <x v="0"/>
    <s v=""/>
    <x v="3"/>
    <s v=""/>
  </r>
  <r>
    <s v="INV2338"/>
    <s v="02-05-2024"/>
    <s v="07ZXCVB9876M1Z3"/>
    <s v="Gupta Supplies"/>
    <n v="35192.949999999997"/>
    <n v="3167.37"/>
    <n v="3167.37"/>
    <n v="41527.69"/>
    <s v="GST"/>
    <x v="0"/>
    <s v=""/>
    <x v="3"/>
    <s v=""/>
  </r>
  <r>
    <s v="INV2339"/>
    <s v="12-06-2024"/>
    <s v="19ASDFG2468H1Z9"/>
    <s v="Eastern Distributors"/>
    <n v="1416.77"/>
    <n v="127.51"/>
    <n v="127.51"/>
    <n v="1671.79"/>
    <s v="GST"/>
    <x v="0"/>
    <s v=""/>
    <x v="3"/>
    <s v=""/>
  </r>
  <r>
    <s v="INV2340"/>
    <s v="02-04-2024"/>
    <s v="19ASDFG2468H1Z9"/>
    <s v="Eastern Distributors"/>
    <n v="39056.339999999997"/>
    <n v="3515.07"/>
    <n v="3515.07"/>
    <n v="46086.48"/>
    <s v="GST"/>
    <x v="0"/>
    <s v=""/>
    <x v="3"/>
    <s v=""/>
  </r>
  <r>
    <s v="INV2341"/>
    <s v="01-06-2024"/>
    <s v="27ABCDE1234F1Z5"/>
    <s v="Sharma Traders"/>
    <n v="4756.8599999999997"/>
    <n v="428.12"/>
    <n v="428.12"/>
    <n v="5613.1"/>
    <s v="GST"/>
    <x v="0"/>
    <s v=""/>
    <x v="3"/>
    <s v=""/>
  </r>
  <r>
    <s v="INV2342"/>
    <s v="25-04-2024"/>
    <s v="29PQRSX5678L1Z2"/>
    <s v="Kiran Enterprises"/>
    <n v="18375.88"/>
    <n v="1653.83"/>
    <n v="1653.83"/>
    <n v="21683.54"/>
    <s v="GST"/>
    <x v="0"/>
    <s v=""/>
    <x v="3"/>
    <s v=""/>
  </r>
  <r>
    <s v="INV2343"/>
    <s v="02-04-2024"/>
    <s v="07ZXCVB9876M1Z3"/>
    <s v="Gupta Supplies"/>
    <n v="14645.85"/>
    <n v="1318.13"/>
    <n v="1318.13"/>
    <n v="17282.11"/>
    <s v="GST"/>
    <x v="0"/>
    <s v=""/>
    <x v="3"/>
    <s v=""/>
  </r>
  <r>
    <s v="INV2344"/>
    <s v="20-04-2024"/>
    <s v="19ASDFG2468H1Z9"/>
    <s v="Eastern Distributors"/>
    <n v="39246.03"/>
    <n v="3532.14"/>
    <n v="3532.14"/>
    <n v="46310.31"/>
    <s v="GST"/>
    <x v="0"/>
    <s v=""/>
    <x v="3"/>
    <s v=""/>
  </r>
  <r>
    <s v="INV2345"/>
    <s v="30-04-2024"/>
    <s v="07ZXCVB9876M1Z3"/>
    <s v="Gupta Supplies"/>
    <n v="34893.82"/>
    <n v="3140.44"/>
    <n v="3140.44"/>
    <n v="41174.699999999997"/>
    <s v="GST"/>
    <x v="0"/>
    <s v=""/>
    <x v="3"/>
    <s v=""/>
  </r>
  <r>
    <s v="INV2346"/>
    <s v="30-04-2024"/>
    <s v="19ASDFG2468H1Z9"/>
    <s v="Eastern Distributors"/>
    <n v="48711.99"/>
    <n v="4384.08"/>
    <n v="4384.08"/>
    <n v="57480.15"/>
    <s v="GST"/>
    <x v="0"/>
    <s v=""/>
    <x v="3"/>
    <s v=""/>
  </r>
  <r>
    <s v="INV2347"/>
    <s v="06-05-2024"/>
    <s v="07ZXCVB9876M1Z3"/>
    <s v="Gupta Supplies"/>
    <n v="39338.160000000003"/>
    <n v="3540.43"/>
    <n v="3540.43"/>
    <n v="46419.02"/>
    <s v="GST"/>
    <x v="0"/>
    <s v=""/>
    <x v="3"/>
    <s v=""/>
  </r>
  <r>
    <s v="INV2348"/>
    <s v="13-06-2024"/>
    <s v="27ABCDE1234F1Z5"/>
    <s v="Sharma Traders"/>
    <n v="12625.4"/>
    <n v="1136.29"/>
    <n v="1136.29"/>
    <n v="14897.98"/>
    <s v="GST"/>
    <x v="0"/>
    <s v=""/>
    <x v="3"/>
    <s v=""/>
  </r>
  <r>
    <s v="INV2349"/>
    <s v="19-04-2024"/>
    <s v="19ASDFG2468H1Z9"/>
    <s v="Eastern Distributors"/>
    <n v="25415.56"/>
    <n v="2287.4"/>
    <n v="2287.4"/>
    <n v="29990.36"/>
    <s v="GST"/>
    <x v="0"/>
    <s v=""/>
    <x v="3"/>
    <s v=""/>
  </r>
  <r>
    <s v="INV2350"/>
    <s v="26-06-2024"/>
    <s v="27ABCDE1234F1Z5"/>
    <s v="Sharma Traders"/>
    <n v="6939.01"/>
    <n v="624.51"/>
    <n v="624.51"/>
    <n v="8188.03"/>
    <s v="GST"/>
    <x v="0"/>
    <s v=""/>
    <x v="3"/>
    <s v=""/>
  </r>
  <r>
    <s v="INV2351"/>
    <s v="29-05-2024"/>
    <s v="27ABCDE1234F1Z5"/>
    <s v="Sharma Traders"/>
    <n v="18967.04"/>
    <n v="1707.03"/>
    <n v="1707.03"/>
    <n v="22381.1"/>
    <s v="GST"/>
    <x v="0"/>
    <s v=""/>
    <x v="3"/>
    <s v=""/>
  </r>
  <r>
    <s v="INV2352"/>
    <s v="02-04-2024"/>
    <s v="07ZXCVB9876M1Z3"/>
    <s v="Gupta Supplies"/>
    <n v="35327.72"/>
    <n v="3179.49"/>
    <n v="3179.49"/>
    <n v="41686.699999999997"/>
    <s v="GST"/>
    <x v="0"/>
    <s v=""/>
    <x v="3"/>
    <s v=""/>
  </r>
  <r>
    <s v="INV2353"/>
    <s v="16-05-2024"/>
    <s v="27ABCDE1234F1Z5"/>
    <s v="Sharma Traders"/>
    <n v="23718.78"/>
    <n v="2134.69"/>
    <n v="2134.69"/>
    <n v="27988.16"/>
    <s v="GST"/>
    <x v="0"/>
    <s v=""/>
    <x v="3"/>
    <s v=""/>
  </r>
  <r>
    <s v="INV2354"/>
    <s v="28-05-2024"/>
    <s v="07ZXCVB9876M1Z3"/>
    <s v="Gupta Supplies"/>
    <n v="17249.93"/>
    <n v="1552.49"/>
    <n v="1552.49"/>
    <n v="20354.91"/>
    <s v="GST"/>
    <x v="0"/>
    <s v=""/>
    <x v="3"/>
    <s v=""/>
  </r>
  <r>
    <s v="INV2355"/>
    <s v="15-06-2024"/>
    <s v="24LMNOP4321K1Z7"/>
    <s v="Patel Industries"/>
    <n v="24709.23"/>
    <n v="2223.83"/>
    <n v="2223.83"/>
    <n v="29156.89"/>
    <s v="GST"/>
    <x v="0"/>
    <s v=""/>
    <x v="3"/>
    <s v=""/>
  </r>
  <r>
    <s v="INV2356"/>
    <s v="07-05-2024"/>
    <s v="24LMNOP4321K1Z7"/>
    <s v="Patel Industries"/>
    <n v="45622.83"/>
    <n v="4106.05"/>
    <n v="4106.05"/>
    <n v="53834.93"/>
    <s v="GST"/>
    <x v="0"/>
    <s v=""/>
    <x v="3"/>
    <s v=""/>
  </r>
  <r>
    <s v="INV2357"/>
    <s v="20-04-2024"/>
    <s v="27ABCDE1234F1Z5"/>
    <s v="Sharma Traders"/>
    <n v="25796.01"/>
    <n v="2321.64"/>
    <n v="2321.64"/>
    <n v="30439.29"/>
    <s v="GST"/>
    <x v="0"/>
    <s v=""/>
    <x v="3"/>
    <s v=""/>
  </r>
  <r>
    <s v="INV2358"/>
    <s v="29-06-2024"/>
    <s v="07ZXCVB9876M1Z3"/>
    <s v="Gupta Supplies"/>
    <n v="21695.54"/>
    <n v="1952.6"/>
    <n v="1952.6"/>
    <n v="25600.74"/>
    <s v="GST"/>
    <x v="0"/>
    <s v=""/>
    <x v="3"/>
    <s v=""/>
  </r>
  <r>
    <s v="INV2359"/>
    <s v="12-04-2024"/>
    <s v="19ASDFG2468H1Z9"/>
    <s v="Eastern Distributors"/>
    <n v="9066.16"/>
    <n v="815.95"/>
    <n v="815.95"/>
    <n v="10698.06"/>
    <s v="GST"/>
    <x v="0"/>
    <s v=""/>
    <x v="3"/>
    <s v=""/>
  </r>
  <r>
    <s v="INV2360"/>
    <s v="24-05-2024"/>
    <s v="19ASDFG2468H1Z9"/>
    <s v="Eastern Distributors"/>
    <n v="35315.29"/>
    <n v="3178.38"/>
    <n v="3178.38"/>
    <n v="41672.050000000003"/>
    <s v="GST"/>
    <x v="0"/>
    <s v=""/>
    <x v="3"/>
    <s v=""/>
  </r>
  <r>
    <s v="INV2361"/>
    <s v="27-05-2024"/>
    <s v="27ABCDE1234F1Z5"/>
    <s v="Sharma Traders"/>
    <n v="14839.83"/>
    <n v="1335.58"/>
    <n v="1335.58"/>
    <n v="17510.990000000002"/>
    <s v="GST"/>
    <x v="0"/>
    <s v=""/>
    <x v="3"/>
    <s v=""/>
  </r>
  <r>
    <s v="INV2362"/>
    <s v="17-06-2024"/>
    <s v="24LMNOP4321K1Z7"/>
    <s v="Patel Industries"/>
    <n v="40599.67"/>
    <n v="3653.97"/>
    <n v="3653.97"/>
    <n v="47907.61"/>
    <s v="GST"/>
    <x v="0"/>
    <s v=""/>
    <x v="3"/>
    <s v=""/>
  </r>
  <r>
    <s v="INV2363"/>
    <s v="24-06-2024"/>
    <s v="29PQRSX5678L1Z2"/>
    <s v="Kiran Enterprises"/>
    <n v="17426.22"/>
    <n v="1568.36"/>
    <n v="1568.36"/>
    <n v="20562.939999999999"/>
    <s v="GST"/>
    <x v="0"/>
    <s v=""/>
    <x v="3"/>
    <s v=""/>
  </r>
  <r>
    <s v="INV2364"/>
    <s v="03-06-2024"/>
    <s v="27ABCDE1234F1Z5"/>
    <s v="Sharma Traders"/>
    <n v="24770.82"/>
    <n v="2229.37"/>
    <n v="2229.37"/>
    <n v="29229.56"/>
    <s v="GST"/>
    <x v="0"/>
    <s v=""/>
    <x v="3"/>
    <s v=""/>
  </r>
  <r>
    <s v="INV2365"/>
    <s v="03-04-2024"/>
    <s v="07ZXCVB9876M1Z3"/>
    <s v="Gupta Supplies"/>
    <n v="15199"/>
    <n v="1367.91"/>
    <n v="1367.91"/>
    <n v="17934.82"/>
    <s v="GST"/>
    <x v="0"/>
    <s v=""/>
    <x v="3"/>
    <s v=""/>
  </r>
  <r>
    <s v="INV2366"/>
    <s v="25-05-2024"/>
    <s v="19ASDFG2468H1Z9"/>
    <s v="Eastern Distributors"/>
    <n v="31513.13"/>
    <n v="2836.18"/>
    <n v="2836.18"/>
    <n v="37185.49"/>
    <s v="GST"/>
    <x v="0"/>
    <s v=""/>
    <x v="3"/>
    <s v=""/>
  </r>
  <r>
    <s v="INV2367"/>
    <s v="24-04-2024"/>
    <s v="24LMNOP4321K1Z7"/>
    <s v="Patel Industries"/>
    <n v="26683.3"/>
    <n v="2401.5"/>
    <n v="2401.5"/>
    <n v="31486.3"/>
    <s v="GST"/>
    <x v="0"/>
    <s v=""/>
    <x v="3"/>
    <s v=""/>
  </r>
  <r>
    <s v="INV2368"/>
    <s v="16-05-2024"/>
    <s v="27ABCDE1234F1Z5"/>
    <s v="Sharma Traders"/>
    <n v="32798.01"/>
    <n v="2951.82"/>
    <n v="2951.82"/>
    <n v="38701.65"/>
    <s v="GST"/>
    <x v="0"/>
    <s v=""/>
    <x v="3"/>
    <s v=""/>
  </r>
  <r>
    <s v="INV2369"/>
    <s v="16-04-2024"/>
    <s v="27ABCDE1234F1Z5"/>
    <s v="Sharma Traders"/>
    <n v="33741.019999999997"/>
    <n v="3036.69"/>
    <n v="3036.69"/>
    <n v="39814.400000000001"/>
    <s v="GST"/>
    <x v="0"/>
    <s v=""/>
    <x v="3"/>
    <s v=""/>
  </r>
  <r>
    <s v="INV2370"/>
    <s v="16-06-2024"/>
    <s v="27ABCDE1234F1Z5"/>
    <s v="Sharma Traders"/>
    <n v="18476.330000000002"/>
    <n v="1662.87"/>
    <n v="1662.87"/>
    <n v="21802.07"/>
    <s v="GST"/>
    <x v="0"/>
    <s v=""/>
    <x v="3"/>
    <s v=""/>
  </r>
  <r>
    <s v="INV2371"/>
    <s v="06-06-2024"/>
    <s v="07ZXCVB9876M1Z3"/>
    <s v="Gupta Supplies"/>
    <n v="9938.24"/>
    <n v="894.44"/>
    <n v="894.44"/>
    <n v="11727.12"/>
    <s v="GST"/>
    <x v="0"/>
    <s v=""/>
    <x v="3"/>
    <s v=""/>
  </r>
  <r>
    <s v="INV2372"/>
    <s v="22-04-2024"/>
    <s v="19ASDFG2468H1Z9"/>
    <s v="Eastern Distributors"/>
    <n v="41064.839999999997"/>
    <n v="3695.84"/>
    <n v="3695.84"/>
    <n v="48456.52"/>
    <s v="GST"/>
    <x v="0"/>
    <s v=""/>
    <x v="3"/>
    <s v=""/>
  </r>
  <r>
    <s v="INV2373"/>
    <s v="02-06-2024"/>
    <s v="07ZXCVB9876M1Z3"/>
    <s v="Gupta Supplies"/>
    <n v="34284.36"/>
    <n v="3085.59"/>
    <n v="3085.59"/>
    <n v="40455.54"/>
    <s v="GST"/>
    <x v="0"/>
    <s v=""/>
    <x v="3"/>
    <s v=""/>
  </r>
  <r>
    <s v="INV2374"/>
    <s v="24-04-2024"/>
    <s v="19ASDFG2468H1Z9"/>
    <s v="Eastern Distributors"/>
    <n v="20161.95"/>
    <n v="1814.58"/>
    <n v="1814.58"/>
    <n v="23791.11"/>
    <s v="GST"/>
    <x v="0"/>
    <s v=""/>
    <x v="3"/>
    <s v=""/>
  </r>
  <r>
    <s v="INV2375"/>
    <s v="01-04-2024"/>
    <s v="24LMNOP4321K1Z7"/>
    <s v="Patel Industries"/>
    <n v="19973.330000000002"/>
    <n v="1797.6"/>
    <n v="1797.6"/>
    <n v="23568.53"/>
    <s v="GST"/>
    <x v="0"/>
    <s v=""/>
    <x v="3"/>
    <s v=""/>
  </r>
  <r>
    <s v="INV2376"/>
    <s v="18-06-2024"/>
    <s v="19ASDFG2468H1Z9"/>
    <s v="Eastern Distributors"/>
    <n v="23987.82"/>
    <n v="2158.9"/>
    <n v="2158.9"/>
    <n v="28305.62"/>
    <s v="GST"/>
    <x v="0"/>
    <s v=""/>
    <x v="3"/>
    <s v=""/>
  </r>
  <r>
    <s v="INV2377"/>
    <s v="09-06-2024"/>
    <s v="27ABCDE1234F1Z5"/>
    <s v="Sharma Traders"/>
    <n v="19630.3"/>
    <n v="1766.73"/>
    <n v="1766.73"/>
    <n v="23163.759999999998"/>
    <s v="GST"/>
    <x v="0"/>
    <s v=""/>
    <x v="3"/>
    <s v=""/>
  </r>
  <r>
    <s v="INV2378"/>
    <s v="15-04-2024"/>
    <s v="24LMNOP4321K1Z7"/>
    <s v="Patel Industries"/>
    <n v="3343.83"/>
    <n v="300.94"/>
    <n v="300.94"/>
    <n v="3945.71"/>
    <s v="GST"/>
    <x v="0"/>
    <s v=""/>
    <x v="3"/>
    <s v=""/>
  </r>
  <r>
    <s v="INV2379"/>
    <s v="17-06-2024"/>
    <s v="27ABCDE1234F1Z5"/>
    <s v="Sharma Traders"/>
    <n v="25139.599999999999"/>
    <n v="2262.56"/>
    <n v="2262.56"/>
    <n v="29664.720000000001"/>
    <s v="GST"/>
    <x v="0"/>
    <s v=""/>
    <x v="3"/>
    <s v=""/>
  </r>
  <r>
    <s v="INV2380"/>
    <s v="23-04-2024"/>
    <s v="24LMNOP4321K1Z7"/>
    <s v="Patel Industries"/>
    <n v="41385.699999999997"/>
    <n v="3724.71"/>
    <n v="3724.71"/>
    <n v="48835.12"/>
    <s v="GST"/>
    <x v="0"/>
    <s v=""/>
    <x v="3"/>
    <s v=""/>
  </r>
  <r>
    <s v="INV2381"/>
    <s v="16-04-2024"/>
    <s v="07ZXCVB9876M1Z3"/>
    <s v="Gupta Supplies"/>
    <n v="38278.26"/>
    <n v="3445.04"/>
    <n v="3445.04"/>
    <n v="45168.34"/>
    <s v="GST"/>
    <x v="0"/>
    <s v=""/>
    <x v="3"/>
    <s v=""/>
  </r>
  <r>
    <s v="INV2382"/>
    <s v="13-06-2024"/>
    <s v="24LMNOP4321K1Z7"/>
    <s v="Patel Industries"/>
    <n v="40208.99"/>
    <n v="3618.81"/>
    <n v="3618.81"/>
    <n v="47446.61"/>
    <s v="GST"/>
    <x v="0"/>
    <s v=""/>
    <x v="3"/>
    <s v=""/>
  </r>
  <r>
    <s v="INV2383"/>
    <s v="04-05-2024"/>
    <s v="19ASDFG2468H1Z9"/>
    <s v="Eastern Distributors"/>
    <n v="48323.040000000001"/>
    <n v="4349.07"/>
    <n v="4349.07"/>
    <n v="57021.18"/>
    <s v="GST"/>
    <x v="0"/>
    <s v=""/>
    <x v="3"/>
    <s v=""/>
  </r>
  <r>
    <s v="INV2384"/>
    <s v="01-05-2024"/>
    <s v="07ZXCVB9876M1Z3"/>
    <s v="Gupta Supplies"/>
    <n v="12523.43"/>
    <n v="1127.1099999999999"/>
    <n v="1127.1099999999999"/>
    <n v="14777.65"/>
    <s v="GST"/>
    <x v="0"/>
    <s v=""/>
    <x v="3"/>
    <s v=""/>
  </r>
  <r>
    <s v="INV2385"/>
    <s v="23-05-2024"/>
    <s v="19ASDFG2468H1Z9"/>
    <s v="Eastern Distributors"/>
    <n v="5843.35"/>
    <n v="525.9"/>
    <n v="525.9"/>
    <n v="6895.15"/>
    <s v="GST"/>
    <x v="0"/>
    <s v=""/>
    <x v="3"/>
    <s v=""/>
  </r>
  <r>
    <s v="INV2386"/>
    <s v="27-05-2024"/>
    <s v="27ABCDE1234F1Z5"/>
    <s v="Sharma Traders"/>
    <n v="8670.34"/>
    <n v="780.33"/>
    <n v="780.33"/>
    <n v="10231"/>
    <s v="GST"/>
    <x v="0"/>
    <s v=""/>
    <x v="3"/>
    <s v=""/>
  </r>
  <r>
    <s v="INV2387"/>
    <s v="19-06-2024"/>
    <s v="19ASDFG2468H1Z9"/>
    <s v="Eastern Distributors"/>
    <n v="1187.3"/>
    <n v="106.86"/>
    <n v="106.86"/>
    <n v="1401.02"/>
    <s v="GST"/>
    <x v="0"/>
    <s v=""/>
    <x v="3"/>
    <s v=""/>
  </r>
  <r>
    <s v="INV2388"/>
    <s v="19-04-2024"/>
    <s v="19ASDFG2468H1Z9"/>
    <s v="Eastern Distributors"/>
    <n v="15537.02"/>
    <n v="1398.33"/>
    <n v="1398.33"/>
    <n v="18333.68"/>
    <s v="GST"/>
    <x v="0"/>
    <s v=""/>
    <x v="3"/>
    <s v=""/>
  </r>
  <r>
    <s v="INV2389"/>
    <s v="24-05-2024"/>
    <s v="29PQRSX5678L1Z2"/>
    <s v="Kiran Enterprises"/>
    <n v="29432.09"/>
    <n v="2648.89"/>
    <n v="2648.89"/>
    <n v="34729.870000000003"/>
    <s v="GST"/>
    <x v="0"/>
    <s v=""/>
    <x v="3"/>
    <s v=""/>
  </r>
  <r>
    <s v="INV2390"/>
    <s v="04-04-2024"/>
    <s v="29PQRSX5678L1Z2"/>
    <s v="Kiran Enterprises"/>
    <n v="27651.91"/>
    <n v="2488.67"/>
    <n v="2488.67"/>
    <n v="32629.25"/>
    <s v="GST"/>
    <x v="0"/>
    <s v=""/>
    <x v="3"/>
    <s v=""/>
  </r>
  <r>
    <s v="INV2391"/>
    <s v="29-06-2024"/>
    <s v="07ZXCVB9876M1Z3"/>
    <s v="Gupta Supplies"/>
    <n v="38578"/>
    <n v="3472.02"/>
    <n v="3472.02"/>
    <n v="45522.04"/>
    <s v="GST"/>
    <x v="0"/>
    <s v=""/>
    <x v="3"/>
    <s v=""/>
  </r>
  <r>
    <s v="INV2392"/>
    <s v="19-04-2024"/>
    <s v="07ZXCVB9876M1Z3"/>
    <s v="Gupta Supplies"/>
    <n v="2988.56"/>
    <n v="268.97000000000003"/>
    <n v="268.97000000000003"/>
    <n v="3526.5"/>
    <s v="GST"/>
    <x v="0"/>
    <s v=""/>
    <x v="3"/>
    <s v=""/>
  </r>
  <r>
    <s v="INV2393"/>
    <s v="24-05-2024"/>
    <s v="29PQRSX5678L1Z2"/>
    <s v="Kiran Enterprises"/>
    <n v="25672.52"/>
    <n v="2310.5300000000002"/>
    <n v="2310.5300000000002"/>
    <n v="30293.58"/>
    <s v="GST"/>
    <x v="0"/>
    <s v=""/>
    <x v="3"/>
    <s v=""/>
  </r>
  <r>
    <s v="INV2394"/>
    <s v="05-06-2024"/>
    <s v="19ASDFG2468H1Z9"/>
    <s v="Eastern Distributors"/>
    <n v="48402.76"/>
    <n v="4356.25"/>
    <n v="4356.25"/>
    <n v="57115.26"/>
    <s v="GST"/>
    <x v="0"/>
    <s v=""/>
    <x v="3"/>
    <s v=""/>
  </r>
  <r>
    <s v="INV2395"/>
    <s v="26-06-2024"/>
    <s v="29PQRSX5678L1Z2"/>
    <s v="Kiran Enterprises"/>
    <n v="48114.559999999998"/>
    <n v="4330.3100000000004"/>
    <n v="4330.3100000000004"/>
    <n v="56775.18"/>
    <s v="GST"/>
    <x v="0"/>
    <s v=""/>
    <x v="3"/>
    <s v=""/>
  </r>
  <r>
    <s v="INV2396"/>
    <s v="23-05-2024"/>
    <s v="27ABCDE1234F1Z5"/>
    <s v="Sharma Traders"/>
    <n v="20040.52"/>
    <n v="1803.65"/>
    <n v="1803.65"/>
    <n v="23647.82"/>
    <s v="GST"/>
    <x v="0"/>
    <s v=""/>
    <x v="3"/>
    <s v=""/>
  </r>
  <r>
    <s v="INV2397"/>
    <s v="13-04-2024"/>
    <s v="29PQRSX5678L1Z2"/>
    <s v="Kiran Enterprises"/>
    <n v="45288.4"/>
    <n v="4075.96"/>
    <n v="4075.96"/>
    <n v="53440.32"/>
    <s v="GST"/>
    <x v="0"/>
    <s v=""/>
    <x v="3"/>
    <s v=""/>
  </r>
  <r>
    <s v="INV2398"/>
    <s v="25-05-2024"/>
    <s v="29PQRSX5678L1Z2"/>
    <s v="Kiran Enterprises"/>
    <n v="48052.91"/>
    <n v="4324.76"/>
    <n v="4324.76"/>
    <n v="56702.43"/>
    <s v="GST"/>
    <x v="0"/>
    <s v=""/>
    <x v="3"/>
    <s v=""/>
  </r>
  <r>
    <s v="INV2399"/>
    <s v="19-05-2024"/>
    <s v="27ABCDE1234F1Z5"/>
    <s v="Sharma Traders"/>
    <n v="11562.9"/>
    <n v="1040.6600000000001"/>
    <n v="1040.6600000000001"/>
    <n v="13644.22"/>
    <s v="GST"/>
    <x v="0"/>
    <s v=""/>
    <x v="3"/>
    <s v=""/>
  </r>
  <r>
    <s v="INV2400"/>
    <s v="09-04-2024"/>
    <s v="27ABCDE1234F1Z5"/>
    <s v="Sharma Traders"/>
    <n v="46816.65"/>
    <n v="4213.5"/>
    <n v="4213.5"/>
    <n v="55243.65"/>
    <s v="GST"/>
    <x v="0"/>
    <s v=""/>
    <x v="3"/>
    <s v=""/>
  </r>
  <r>
    <s v="INV2401"/>
    <s v="06-04-2024"/>
    <s v="07ZXCVB9876M1Z3"/>
    <s v="Gupta Supplies"/>
    <n v="17679.53"/>
    <n v="1591.16"/>
    <n v="1591.16"/>
    <n v="20861.849999999999"/>
    <s v="GST"/>
    <x v="0"/>
    <s v=""/>
    <x v="3"/>
    <s v=""/>
  </r>
  <r>
    <s v="INV2402"/>
    <s v="20-05-2024"/>
    <s v="27ABCDE1234F1Z5"/>
    <s v="Sharma Traders"/>
    <n v="43452.44"/>
    <n v="3910.72"/>
    <n v="3910.72"/>
    <n v="51273.88"/>
    <s v="GST"/>
    <x v="0"/>
    <s v=""/>
    <x v="3"/>
    <s v=""/>
  </r>
  <r>
    <s v="INV2403"/>
    <s v="21-05-2024"/>
    <s v="27ABCDE1234F1Z5"/>
    <s v="Sharma Traders"/>
    <n v="4010.04"/>
    <n v="360.9"/>
    <n v="360.9"/>
    <n v="4731.84"/>
    <s v="GST"/>
    <x v="0"/>
    <s v=""/>
    <x v="3"/>
    <s v=""/>
  </r>
  <r>
    <s v="INV2404"/>
    <s v="22-04-2024"/>
    <s v="19ASDFG2468H1Z9"/>
    <s v="Eastern Distributors"/>
    <n v="25998.06"/>
    <n v="2339.83"/>
    <n v="2339.83"/>
    <n v="30677.72"/>
    <s v="GST"/>
    <x v="0"/>
    <s v=""/>
    <x v="3"/>
    <s v=""/>
  </r>
  <r>
    <s v="INV2405"/>
    <s v="14-05-2024"/>
    <s v="27ABCDE1234F1Z5"/>
    <s v="Sharma Traders"/>
    <n v="47904.82"/>
    <n v="4311.43"/>
    <n v="4311.43"/>
    <n v="56527.68"/>
    <s v="GST"/>
    <x v="0"/>
    <s v=""/>
    <x v="3"/>
    <s v=""/>
  </r>
  <r>
    <s v="INV2406"/>
    <s v="20-04-2024"/>
    <s v="07ZXCVB9876M1Z3"/>
    <s v="Gupta Supplies"/>
    <n v="34858"/>
    <n v="3137.22"/>
    <n v="3137.22"/>
    <n v="41132.44"/>
    <s v="GST"/>
    <x v="0"/>
    <s v=""/>
    <x v="3"/>
    <s v=""/>
  </r>
  <r>
    <s v="INV2407"/>
    <s v="02-05-2024"/>
    <s v="24LMNOP4321K1Z7"/>
    <s v="Patel Industries"/>
    <n v="9508.69"/>
    <n v="855.78"/>
    <n v="855.78"/>
    <n v="11220.25"/>
    <s v="GST"/>
    <x v="0"/>
    <s v=""/>
    <x v="3"/>
    <s v=""/>
  </r>
  <r>
    <s v="INV2408"/>
    <s v="08-04-2024"/>
    <s v="27ABCDE1234F1Z5"/>
    <s v="Sharma Traders"/>
    <n v="14980.88"/>
    <n v="1348.28"/>
    <n v="1348.28"/>
    <n v="17677.439999999999"/>
    <s v="GST"/>
    <x v="0"/>
    <s v=""/>
    <x v="3"/>
    <s v=""/>
  </r>
  <r>
    <s v="INV2409"/>
    <s v="18-05-2024"/>
    <s v="07ZXCVB9876M1Z3"/>
    <s v="Gupta Supplies"/>
    <n v="45111.16"/>
    <n v="4060"/>
    <n v="4060"/>
    <n v="53231.16"/>
    <s v="GST"/>
    <x v="0"/>
    <s v=""/>
    <x v="3"/>
    <s v=""/>
  </r>
  <r>
    <s v="INV2410"/>
    <s v="06-05-2024"/>
    <s v="24LMNOP4321K1Z7"/>
    <s v="Patel Industries"/>
    <n v="9184.32"/>
    <n v="826.59"/>
    <n v="826.59"/>
    <n v="10837.5"/>
    <s v="GST"/>
    <x v="0"/>
    <s v=""/>
    <x v="3"/>
    <s v=""/>
  </r>
  <r>
    <s v="INV2411"/>
    <s v="09-06-2024"/>
    <s v="24LMNOP4321K1Z7"/>
    <s v="Patel Industries"/>
    <n v="4985.6499999999996"/>
    <n v="448.71"/>
    <n v="448.71"/>
    <n v="5883.07"/>
    <s v="GST"/>
    <x v="0"/>
    <s v=""/>
    <x v="3"/>
    <s v=""/>
  </r>
  <r>
    <s v="INV2412"/>
    <s v="19-05-2024"/>
    <s v="24LMNOP4321K1Z7"/>
    <s v="Patel Industries"/>
    <n v="41285.03"/>
    <n v="3715.65"/>
    <n v="3715.65"/>
    <n v="48716.33"/>
    <s v="GST"/>
    <x v="0"/>
    <s v=""/>
    <x v="3"/>
    <s v=""/>
  </r>
  <r>
    <s v="INV2413"/>
    <s v="06-05-2024"/>
    <s v="24LMNOP4321K1Z7"/>
    <s v="Patel Industries"/>
    <n v="1928.67"/>
    <n v="173.58"/>
    <n v="173.58"/>
    <n v="2275.83"/>
    <s v="GST"/>
    <x v="0"/>
    <s v=""/>
    <x v="3"/>
    <s v=""/>
  </r>
  <r>
    <s v="INV2414"/>
    <s v="17-06-2024"/>
    <s v="07ZXCVB9876M1Z3"/>
    <s v="Gupta Supplies"/>
    <n v="3819.2"/>
    <n v="343.73"/>
    <n v="343.73"/>
    <n v="4506.66"/>
    <s v="GST"/>
    <x v="0"/>
    <s v=""/>
    <x v="3"/>
    <s v=""/>
  </r>
  <r>
    <s v="INV2415"/>
    <s v="15-05-2024"/>
    <s v="24LMNOP4321K1Z7"/>
    <s v="Patel Industries"/>
    <n v="17300.53"/>
    <n v="1557.05"/>
    <n v="1557.05"/>
    <n v="20414.63"/>
    <s v="GST"/>
    <x v="0"/>
    <s v=""/>
    <x v="3"/>
    <s v=""/>
  </r>
  <r>
    <s v="INV2416"/>
    <s v="09-06-2024"/>
    <s v="19ASDFG2468H1Z9"/>
    <s v="Eastern Distributors"/>
    <n v="32124.95"/>
    <n v="2891.25"/>
    <n v="2891.25"/>
    <n v="37907.449999999997"/>
    <s v="GST"/>
    <x v="0"/>
    <s v=""/>
    <x v="3"/>
    <s v=""/>
  </r>
  <r>
    <s v="INV2417"/>
    <s v="14-04-2024"/>
    <s v="24LMNOP4321K1Z7"/>
    <s v="Patel Industries"/>
    <n v="31593.57"/>
    <n v="2843.42"/>
    <n v="2843.42"/>
    <n v="37280.410000000003"/>
    <s v="GST"/>
    <x v="0"/>
    <s v=""/>
    <x v="3"/>
    <s v=""/>
  </r>
  <r>
    <s v="INV2418"/>
    <s v="06-06-2024"/>
    <s v="19ASDFG2468H1Z9"/>
    <s v="Eastern Distributors"/>
    <n v="38131.85"/>
    <n v="3431.87"/>
    <n v="3431.87"/>
    <n v="44995.59"/>
    <s v="GST"/>
    <x v="0"/>
    <s v=""/>
    <x v="3"/>
    <s v=""/>
  </r>
  <r>
    <s v="INV2419"/>
    <s v="15-04-2024"/>
    <s v="29PQRSX5678L1Z2"/>
    <s v="Kiran Enterprises"/>
    <n v="36652.720000000001"/>
    <n v="3298.74"/>
    <n v="3298.74"/>
    <n v="43250.2"/>
    <s v="GST"/>
    <x v="0"/>
    <s v=""/>
    <x v="3"/>
    <s v=""/>
  </r>
  <r>
    <s v="INV2420"/>
    <s v="07-06-2024"/>
    <s v="19ASDFG2468H1Z9"/>
    <s v="Eastern Distributors"/>
    <n v="11882.59"/>
    <n v="1069.43"/>
    <n v="1069.43"/>
    <n v="14021.45"/>
    <s v="GST"/>
    <x v="0"/>
    <s v=""/>
    <x v="3"/>
    <s v=""/>
  </r>
  <r>
    <s v="INV2421"/>
    <s v="02-05-2024"/>
    <s v="07ZXCVB9876M1Z3"/>
    <s v="Gupta Supplies"/>
    <n v="35967.410000000003"/>
    <n v="3237.07"/>
    <n v="3237.07"/>
    <n v="42441.55"/>
    <s v="GST"/>
    <x v="0"/>
    <s v=""/>
    <x v="3"/>
    <s v=""/>
  </r>
  <r>
    <s v="INV2422"/>
    <s v="11-06-2024"/>
    <s v="19ASDFG2468H1Z9"/>
    <s v="Eastern Distributors"/>
    <n v="20282.09"/>
    <n v="1825.39"/>
    <n v="1825.39"/>
    <n v="23932.87"/>
    <s v="GST"/>
    <x v="0"/>
    <s v=""/>
    <x v="3"/>
    <s v=""/>
  </r>
  <r>
    <s v="INV2423"/>
    <s v="17-06-2024"/>
    <s v="29PQRSX5678L1Z2"/>
    <s v="Kiran Enterprises"/>
    <n v="1527.06"/>
    <n v="137.44"/>
    <n v="137.44"/>
    <n v="1801.94"/>
    <s v="GST"/>
    <x v="0"/>
    <s v=""/>
    <x v="3"/>
    <s v=""/>
  </r>
  <r>
    <s v="INV2424"/>
    <s v="01-04-2024"/>
    <s v="19ASDFG2468H1Z9"/>
    <s v="Eastern Distributors"/>
    <n v="21380.639999999999"/>
    <n v="1924.26"/>
    <n v="1924.26"/>
    <n v="25229.16"/>
    <s v="GST"/>
    <x v="0"/>
    <s v=""/>
    <x v="3"/>
    <s v=""/>
  </r>
  <r>
    <s v="INV2425"/>
    <s v="15-05-2024"/>
    <s v="19ASDFG2468H1Z9"/>
    <s v="Eastern Distributors"/>
    <n v="22362.55"/>
    <n v="2012.63"/>
    <n v="2012.63"/>
    <n v="26387.81"/>
    <s v="GST"/>
    <x v="0"/>
    <s v=""/>
    <x v="3"/>
    <s v=""/>
  </r>
  <r>
    <s v="INV2426"/>
    <s v="26-05-2024"/>
    <s v="24LMNOP4321K1Z7"/>
    <s v="Patel Industries"/>
    <n v="9963.94"/>
    <n v="896.75"/>
    <n v="896.75"/>
    <n v="11757.44"/>
    <s v="GST"/>
    <x v="0"/>
    <s v=""/>
    <x v="3"/>
    <s v=""/>
  </r>
  <r>
    <s v="INV2427"/>
    <s v="07-06-2024"/>
    <s v="27ABCDE1234F1Z5"/>
    <s v="Sharma Traders"/>
    <n v="41173.769999999997"/>
    <n v="3705.64"/>
    <n v="3705.64"/>
    <n v="48585.05"/>
    <s v="GST"/>
    <x v="0"/>
    <s v=""/>
    <x v="3"/>
    <s v=""/>
  </r>
  <r>
    <s v="INV2428"/>
    <s v="25-04-2024"/>
    <s v="27ABCDE1234F1Z5"/>
    <s v="Sharma Traders"/>
    <n v="7969.74"/>
    <n v="717.28"/>
    <n v="717.28"/>
    <n v="9404.2999999999993"/>
    <s v="GST"/>
    <x v="0"/>
    <s v=""/>
    <x v="3"/>
    <s v=""/>
  </r>
  <r>
    <s v="INV2429"/>
    <s v="13-06-2024"/>
    <s v="19ASDFG2468H1Z9"/>
    <s v="Eastern Distributors"/>
    <n v="12078.59"/>
    <n v="1087.07"/>
    <n v="1087.07"/>
    <n v="14252.73"/>
    <s v="GST"/>
    <x v="0"/>
    <s v=""/>
    <x v="3"/>
    <s v=""/>
  </r>
  <r>
    <s v="INV2430"/>
    <s v="02-05-2024"/>
    <s v="24LMNOP4321K1Z7"/>
    <s v="Patel Industries"/>
    <n v="4595.75"/>
    <n v="413.62"/>
    <n v="413.62"/>
    <n v="5422.99"/>
    <s v="GST"/>
    <x v="0"/>
    <s v=""/>
    <x v="3"/>
    <s v=""/>
  </r>
  <r>
    <s v="INV2431"/>
    <s v="25-05-2024"/>
    <s v="29PQRSX5678L1Z2"/>
    <s v="Kiran Enterprises"/>
    <n v="1744.68"/>
    <n v="157.02000000000001"/>
    <n v="157.02000000000001"/>
    <n v="2058.7199999999998"/>
    <s v="GST"/>
    <x v="0"/>
    <s v=""/>
    <x v="3"/>
    <s v=""/>
  </r>
  <r>
    <s v="INV2432"/>
    <s v="12-06-2024"/>
    <s v="24LMNOP4321K1Z7"/>
    <s v="Patel Industries"/>
    <n v="29276.89"/>
    <n v="2634.92"/>
    <n v="2634.92"/>
    <n v="34546.730000000003"/>
    <s v="GST"/>
    <x v="0"/>
    <s v=""/>
    <x v="3"/>
    <s v=""/>
  </r>
  <r>
    <s v="INV2433"/>
    <s v="26-05-2024"/>
    <s v="29PQRSX5678L1Z2"/>
    <s v="Kiran Enterprises"/>
    <n v="7567.91"/>
    <n v="681.11"/>
    <n v="681.11"/>
    <n v="8930.1299999999992"/>
    <s v="GST"/>
    <x v="0"/>
    <s v=""/>
    <x v="3"/>
    <s v=""/>
  </r>
  <r>
    <s v="INV2434"/>
    <s v="25-04-2024"/>
    <s v="29PQRSX5678L1Z2"/>
    <s v="Kiran Enterprises"/>
    <n v="6999.62"/>
    <n v="629.97"/>
    <n v="629.97"/>
    <n v="8259.56"/>
    <s v="GST"/>
    <x v="0"/>
    <s v=""/>
    <x v="3"/>
    <s v=""/>
  </r>
  <r>
    <s v="INV2435"/>
    <s v="17-06-2024"/>
    <s v="29PQRSX5678L1Z2"/>
    <s v="Kiran Enterprises"/>
    <n v="16934.29"/>
    <n v="1524.09"/>
    <n v="1524.09"/>
    <n v="19982.47"/>
    <s v="GST"/>
    <x v="0"/>
    <s v=""/>
    <x v="3"/>
    <s v=""/>
  </r>
  <r>
    <s v="INV2436"/>
    <s v="30-06-2024"/>
    <s v="07ZXCVB9876M1Z3"/>
    <s v="Gupta Supplies"/>
    <n v="21697.67"/>
    <n v="1952.79"/>
    <n v="1952.79"/>
    <n v="25603.25"/>
    <s v="GST"/>
    <x v="0"/>
    <s v=""/>
    <x v="3"/>
    <s v=""/>
  </r>
  <r>
    <s v="INV2437"/>
    <s v="18-04-2024"/>
    <s v="29PQRSX5678L1Z2"/>
    <s v="Kiran Enterprises"/>
    <n v="11049.77"/>
    <n v="994.48"/>
    <n v="994.48"/>
    <n v="13038.73"/>
    <s v="GST"/>
    <x v="0"/>
    <s v=""/>
    <x v="3"/>
    <s v=""/>
  </r>
  <r>
    <s v="INV2438"/>
    <s v="12-06-2024"/>
    <s v="27ABCDE1234F1Z5"/>
    <s v="Sharma Traders"/>
    <n v="11885.92"/>
    <n v="1069.73"/>
    <n v="1069.73"/>
    <n v="14025.38"/>
    <s v="GST"/>
    <x v="0"/>
    <s v=""/>
    <x v="3"/>
    <s v=""/>
  </r>
  <r>
    <s v="INV2439"/>
    <s v="04-06-2024"/>
    <s v="29PQRSX5678L1Z2"/>
    <s v="Kiran Enterprises"/>
    <n v="1156.97"/>
    <n v="104.13"/>
    <n v="104.13"/>
    <n v="1365.23"/>
    <s v="GST"/>
    <x v="0"/>
    <s v=""/>
    <x v="3"/>
    <s v=""/>
  </r>
  <r>
    <s v="INV2440"/>
    <s v="16-06-2024"/>
    <s v="19ASDFG2468H1Z9"/>
    <s v="Eastern Distributors"/>
    <n v="33088.559999999998"/>
    <n v="2977.97"/>
    <n v="2977.97"/>
    <n v="39044.5"/>
    <s v="GST"/>
    <x v="0"/>
    <s v=""/>
    <x v="3"/>
    <s v=""/>
  </r>
  <r>
    <s v="INV2441"/>
    <s v="29-05-2024"/>
    <s v="07ZXCVB9876M1Z3"/>
    <s v="Gupta Supplies"/>
    <n v="18582.990000000002"/>
    <n v="1672.47"/>
    <n v="1672.47"/>
    <n v="21927.93"/>
    <s v="GST"/>
    <x v="0"/>
    <s v=""/>
    <x v="3"/>
    <s v=""/>
  </r>
  <r>
    <s v="INV2442"/>
    <s v="13-04-2024"/>
    <s v="29PQRSX5678L1Z2"/>
    <s v="Kiran Enterprises"/>
    <n v="44397.57"/>
    <n v="3995.78"/>
    <n v="3995.78"/>
    <n v="52389.13"/>
    <s v="GST"/>
    <x v="0"/>
    <s v=""/>
    <x v="3"/>
    <s v=""/>
  </r>
  <r>
    <s v="INV2443"/>
    <s v="03-06-2024"/>
    <s v="27ABCDE1234F1Z5"/>
    <s v="Sharma Traders"/>
    <n v="46227.86"/>
    <n v="4160.51"/>
    <n v="4160.51"/>
    <n v="54548.88"/>
    <s v="GST"/>
    <x v="0"/>
    <s v=""/>
    <x v="3"/>
    <s v=""/>
  </r>
  <r>
    <s v="INV2444"/>
    <s v="14-05-2024"/>
    <s v="19ASDFG2468H1Z9"/>
    <s v="Eastern Distributors"/>
    <n v="25300.37"/>
    <n v="2277.0300000000002"/>
    <n v="2277.0300000000002"/>
    <n v="29854.43"/>
    <s v="GST"/>
    <x v="0"/>
    <s v=""/>
    <x v="3"/>
    <s v=""/>
  </r>
  <r>
    <s v="INV2445"/>
    <s v="14-04-2024"/>
    <s v="24LMNOP4321K1Z7"/>
    <s v="Patel Industries"/>
    <n v="38175.47"/>
    <n v="3435.79"/>
    <n v="3435.79"/>
    <n v="45047.05"/>
    <s v="GST"/>
    <x v="0"/>
    <s v=""/>
    <x v="3"/>
    <s v=""/>
  </r>
  <r>
    <s v="INV2446"/>
    <s v="21-04-2024"/>
    <s v="29PQRSX5678L1Z2"/>
    <s v="Kiran Enterprises"/>
    <n v="14124.93"/>
    <n v="1271.24"/>
    <n v="1271.24"/>
    <n v="16667.41"/>
    <s v="GST"/>
    <x v="0"/>
    <s v=""/>
    <x v="3"/>
    <s v=""/>
  </r>
  <r>
    <s v="INV2447"/>
    <s v="14-04-2024"/>
    <s v="24LMNOP4321K1Z7"/>
    <s v="Patel Industries"/>
    <n v="13911.44"/>
    <n v="1252.03"/>
    <n v="1252.03"/>
    <n v="16415.5"/>
    <s v="GST"/>
    <x v="0"/>
    <s v=""/>
    <x v="3"/>
    <s v=""/>
  </r>
  <r>
    <s v="INV2448"/>
    <s v="31-05-2024"/>
    <s v="24LMNOP4321K1Z7"/>
    <s v="Patel Industries"/>
    <n v="2707.6"/>
    <n v="243.68"/>
    <n v="243.68"/>
    <n v="3194.96"/>
    <s v="GST"/>
    <x v="0"/>
    <s v=""/>
    <x v="3"/>
    <s v=""/>
  </r>
  <r>
    <s v="INV2449"/>
    <s v="15-04-2024"/>
    <s v="19ASDFG2468H1Z9"/>
    <s v="Eastern Distributors"/>
    <n v="4692.82"/>
    <n v="422.35"/>
    <n v="422.35"/>
    <n v="5537.52"/>
    <s v="GST"/>
    <x v="0"/>
    <s v=""/>
    <x v="3"/>
    <s v=""/>
  </r>
  <r>
    <s v="INV2450"/>
    <s v="23-05-2024"/>
    <s v="29PQRSX5678L1Z2"/>
    <s v="Kiran Enterprises"/>
    <n v="31293.65"/>
    <n v="2816.43"/>
    <n v="2816.43"/>
    <n v="36926.51"/>
    <s v="GST"/>
    <x v="0"/>
    <s v=""/>
    <x v="3"/>
    <s v=""/>
  </r>
  <r>
    <s v="INV2451"/>
    <s v="30-05-2024"/>
    <s v="29PQRSX5678L1Z2"/>
    <s v="Kiran Enterprises"/>
    <n v="25602.03"/>
    <n v="2304.1799999999998"/>
    <n v="2304.1799999999998"/>
    <n v="30210.39"/>
    <s v="GST"/>
    <x v="0"/>
    <s v=""/>
    <x v="3"/>
    <s v=""/>
  </r>
  <r>
    <s v="INV2452"/>
    <s v="19-04-2024"/>
    <s v="19ASDFG2468H1Z9"/>
    <s v="Eastern Distributors"/>
    <n v="28038.93"/>
    <n v="2523.5"/>
    <n v="2523.5"/>
    <n v="33085.93"/>
    <s v="GST"/>
    <x v="0"/>
    <s v=""/>
    <x v="3"/>
    <s v=""/>
  </r>
  <r>
    <s v="INV2453"/>
    <s v="02-06-2024"/>
    <s v="29PQRSX5678L1Z2"/>
    <s v="Kiran Enterprises"/>
    <n v="21714.880000000001"/>
    <n v="1954.34"/>
    <n v="1954.34"/>
    <n v="25623.56"/>
    <s v="GST"/>
    <x v="0"/>
    <s v=""/>
    <x v="3"/>
    <s v=""/>
  </r>
  <r>
    <s v="INV2454"/>
    <s v="25-06-2024"/>
    <s v="19ASDFG2468H1Z9"/>
    <s v="Eastern Distributors"/>
    <n v="3314.77"/>
    <n v="298.33"/>
    <n v="298.33"/>
    <n v="3911.43"/>
    <s v="GST"/>
    <x v="0"/>
    <s v=""/>
    <x v="3"/>
    <s v=""/>
  </r>
  <r>
    <s v="INV2455"/>
    <s v="18-06-2024"/>
    <s v="29PQRSX5678L1Z2"/>
    <s v="Kiran Enterprises"/>
    <n v="47897.2"/>
    <n v="4310.75"/>
    <n v="4310.75"/>
    <n v="56518.7"/>
    <s v="GST"/>
    <x v="0"/>
    <s v=""/>
    <x v="3"/>
    <s v=""/>
  </r>
  <r>
    <s v="INV2456"/>
    <s v="06-05-2024"/>
    <s v="24LMNOP4321K1Z7"/>
    <s v="Patel Industries"/>
    <n v="15360.02"/>
    <n v="1382.4"/>
    <n v="1382.4"/>
    <n v="18124.82"/>
    <s v="GST"/>
    <x v="0"/>
    <s v=""/>
    <x v="3"/>
    <s v=""/>
  </r>
  <r>
    <s v="INV2457"/>
    <s v="03-06-2024"/>
    <s v="24LMNOP4321K1Z7"/>
    <s v="Patel Industries"/>
    <n v="18655.72"/>
    <n v="1679.01"/>
    <n v="1679.01"/>
    <n v="22013.74"/>
    <s v="GST"/>
    <x v="0"/>
    <s v=""/>
    <x v="3"/>
    <s v=""/>
  </r>
  <r>
    <s v="INV2458"/>
    <s v="31-05-2024"/>
    <s v="19ASDFG2468H1Z9"/>
    <s v="Eastern Distributors"/>
    <n v="5492.23"/>
    <n v="494.3"/>
    <n v="494.3"/>
    <n v="6480.83"/>
    <s v="GST"/>
    <x v="0"/>
    <s v=""/>
    <x v="3"/>
    <s v=""/>
  </r>
  <r>
    <s v="INV2459"/>
    <s v="15-05-2024"/>
    <s v="19ASDFG2468H1Z9"/>
    <s v="Eastern Distributors"/>
    <n v="25101.64"/>
    <n v="2259.15"/>
    <n v="2259.15"/>
    <n v="29619.94"/>
    <s v="GST"/>
    <x v="0"/>
    <s v=""/>
    <x v="3"/>
    <s v=""/>
  </r>
  <r>
    <s v="INV2460"/>
    <s v="16-06-2024"/>
    <s v="19ASDFG2468H1Z9"/>
    <s v="Eastern Distributors"/>
    <n v="33521.050000000003"/>
    <n v="3016.89"/>
    <n v="3016.89"/>
    <n v="39554.83"/>
    <s v="GST"/>
    <x v="0"/>
    <s v=""/>
    <x v="3"/>
    <s v=""/>
  </r>
  <r>
    <s v="INV2461"/>
    <s v="08-05-2024"/>
    <s v="24LMNOP4321K1Z7"/>
    <s v="Patel Industries"/>
    <n v="18775.400000000001"/>
    <n v="1689.79"/>
    <n v="1689.79"/>
    <n v="22154.98"/>
    <s v="GST"/>
    <x v="0"/>
    <s v=""/>
    <x v="3"/>
    <s v=""/>
  </r>
  <r>
    <s v="INV2462"/>
    <s v="04-04-2024"/>
    <s v="29PQRSX5678L1Z2"/>
    <s v="Kiran Enterprises"/>
    <n v="25462"/>
    <n v="2291.58"/>
    <n v="2291.58"/>
    <n v="30045.16"/>
    <s v="GST"/>
    <x v="0"/>
    <s v=""/>
    <x v="3"/>
    <s v=""/>
  </r>
  <r>
    <s v="INV2463"/>
    <s v="30-05-2024"/>
    <s v="29PQRSX5678L1Z2"/>
    <s v="Kiran Enterprises"/>
    <n v="39714.26"/>
    <n v="3574.28"/>
    <n v="3574.28"/>
    <n v="46862.82"/>
    <s v="GST"/>
    <x v="0"/>
    <s v=""/>
    <x v="3"/>
    <s v=""/>
  </r>
  <r>
    <s v="INV2464"/>
    <s v="23-04-2024"/>
    <s v="19ASDFG2468H1Z9"/>
    <s v="Eastern Distributors"/>
    <n v="45183.35"/>
    <n v="4066.5"/>
    <n v="4066.5"/>
    <n v="53316.35"/>
    <s v="GST"/>
    <x v="0"/>
    <s v=""/>
    <x v="3"/>
    <s v=""/>
  </r>
  <r>
    <s v="INV2465"/>
    <s v="10-05-2024"/>
    <s v="27ABCDE1234F1Z5"/>
    <s v="Sharma Traders"/>
    <n v="45832.61"/>
    <n v="4124.93"/>
    <n v="4124.93"/>
    <n v="54082.47"/>
    <s v="GST"/>
    <x v="0"/>
    <s v=""/>
    <x v="3"/>
    <s v=""/>
  </r>
  <r>
    <s v="INV2466"/>
    <s v="09-04-2024"/>
    <s v="29PQRSX5678L1Z2"/>
    <s v="Kiran Enterprises"/>
    <n v="25410.43"/>
    <n v="2286.94"/>
    <n v="2286.94"/>
    <n v="29984.31"/>
    <s v="GST"/>
    <x v="0"/>
    <s v=""/>
    <x v="3"/>
    <s v=""/>
  </r>
  <r>
    <s v="INV2467"/>
    <s v="20-04-2024"/>
    <s v="19ASDFG2468H1Z9"/>
    <s v="Eastern Distributors"/>
    <n v="24680"/>
    <n v="2221.1999999999998"/>
    <n v="2221.1999999999998"/>
    <n v="29122.400000000001"/>
    <s v="GST"/>
    <x v="0"/>
    <s v=""/>
    <x v="3"/>
    <s v=""/>
  </r>
  <r>
    <s v="INV2468"/>
    <s v="08-05-2024"/>
    <s v="27ABCDE1234F1Z5"/>
    <s v="Sharma Traders"/>
    <n v="45079.33"/>
    <n v="4057.14"/>
    <n v="4057.14"/>
    <n v="53193.61"/>
    <s v="GST"/>
    <x v="0"/>
    <s v=""/>
    <x v="3"/>
    <s v=""/>
  </r>
  <r>
    <s v="INV2469"/>
    <s v="28-04-2024"/>
    <s v="07ZXCVB9876M1Z3"/>
    <s v="Gupta Supplies"/>
    <n v="17413.77"/>
    <n v="1567.24"/>
    <n v="1567.24"/>
    <n v="20548.25"/>
    <s v="GST"/>
    <x v="0"/>
    <s v=""/>
    <x v="3"/>
    <s v=""/>
  </r>
  <r>
    <s v="INV2470"/>
    <s v="22-04-2024"/>
    <s v="19ASDFG2468H1Z9"/>
    <s v="Eastern Distributors"/>
    <n v="45991.4"/>
    <n v="4139.2299999999996"/>
    <n v="4139.2299999999996"/>
    <n v="54269.86"/>
    <s v="GST"/>
    <x v="0"/>
    <s v=""/>
    <x v="3"/>
    <s v=""/>
  </r>
  <r>
    <s v="INV2471"/>
    <s v="24-05-2024"/>
    <s v="27ABCDE1234F1Z5"/>
    <s v="Sharma Traders"/>
    <n v="7812.27"/>
    <n v="703.1"/>
    <n v="703.1"/>
    <n v="9218.4699999999993"/>
    <s v="GST"/>
    <x v="0"/>
    <s v=""/>
    <x v="3"/>
    <s v=""/>
  </r>
  <r>
    <s v="INV2472"/>
    <s v="15-04-2024"/>
    <s v="07ZXCVB9876M1Z3"/>
    <s v="Gupta Supplies"/>
    <n v="25385.95"/>
    <n v="2284.7399999999998"/>
    <n v="2284.7399999999998"/>
    <n v="29955.43"/>
    <s v="GST"/>
    <x v="0"/>
    <s v=""/>
    <x v="3"/>
    <s v=""/>
  </r>
  <r>
    <s v="INV2473"/>
    <s v="25-06-2024"/>
    <s v="29PQRSX5678L1Z2"/>
    <s v="Kiran Enterprises"/>
    <n v="33830.25"/>
    <n v="3044.72"/>
    <n v="3044.72"/>
    <n v="39919.69"/>
    <s v="GST"/>
    <x v="0"/>
    <s v=""/>
    <x v="3"/>
    <s v=""/>
  </r>
  <r>
    <s v="INV2474"/>
    <s v="17-05-2024"/>
    <s v="07ZXCVB9876M1Z3"/>
    <s v="Gupta Supplies"/>
    <n v="39723.129999999997"/>
    <n v="3575.08"/>
    <n v="3575.08"/>
    <n v="46873.29"/>
    <s v="GST"/>
    <x v="0"/>
    <s v=""/>
    <x v="3"/>
    <s v=""/>
  </r>
  <r>
    <s v="INV2475"/>
    <s v="09-04-2024"/>
    <s v="19ASDFG2468H1Z9"/>
    <s v="Eastern Distributors"/>
    <n v="3994.09"/>
    <n v="359.47"/>
    <n v="359.47"/>
    <n v="4713.03"/>
    <s v="GST"/>
    <x v="0"/>
    <s v=""/>
    <x v="3"/>
    <s v=""/>
  </r>
  <r>
    <s v="INV2476"/>
    <s v="18-04-2024"/>
    <s v="27ABCDE1234F1Z5"/>
    <s v="Sharma Traders"/>
    <n v="15935.57"/>
    <n v="1434.2"/>
    <n v="1434.2"/>
    <n v="18803.97"/>
    <s v="GST"/>
    <x v="0"/>
    <s v=""/>
    <x v="3"/>
    <s v=""/>
  </r>
  <r>
    <s v="INV2477"/>
    <s v="24-04-2024"/>
    <s v="29PQRSX5678L1Z2"/>
    <s v="Kiran Enterprises"/>
    <n v="27946.51"/>
    <n v="2515.19"/>
    <n v="2515.19"/>
    <n v="32976.89"/>
    <s v="GST"/>
    <x v="0"/>
    <s v=""/>
    <x v="3"/>
    <s v=""/>
  </r>
  <r>
    <s v="INV2478"/>
    <s v="23-04-2024"/>
    <s v="27ABCDE1234F1Z5"/>
    <s v="Sharma Traders"/>
    <n v="1641.62"/>
    <n v="147.75"/>
    <n v="147.75"/>
    <n v="1937.12"/>
    <s v="GST"/>
    <x v="0"/>
    <s v=""/>
    <x v="3"/>
    <s v=""/>
  </r>
  <r>
    <s v="INV2479"/>
    <s v="13-06-2024"/>
    <s v="29PQRSX5678L1Z2"/>
    <s v="Kiran Enterprises"/>
    <n v="47870.49"/>
    <n v="4308.34"/>
    <n v="4308.34"/>
    <n v="56487.17"/>
    <s v="GST"/>
    <x v="0"/>
    <s v=""/>
    <x v="3"/>
    <s v=""/>
  </r>
  <r>
    <s v="INV2480"/>
    <s v="15-04-2024"/>
    <s v="29PQRSX5678L1Z2"/>
    <s v="Kiran Enterprises"/>
    <n v="18285.04"/>
    <n v="1645.65"/>
    <n v="1645.65"/>
    <n v="21576.34"/>
    <s v="GST"/>
    <x v="0"/>
    <s v=""/>
    <x v="3"/>
    <s v=""/>
  </r>
  <r>
    <s v="INV2481"/>
    <s v="16-06-2024"/>
    <s v="29PQRSX5678L1Z2"/>
    <s v="Kiran Enterprises"/>
    <n v="1488.12"/>
    <n v="133.93"/>
    <n v="133.93"/>
    <n v="1755.98"/>
    <s v="GST"/>
    <x v="0"/>
    <s v=""/>
    <x v="3"/>
    <s v=""/>
  </r>
  <r>
    <s v="INV2482"/>
    <s v="09-05-2024"/>
    <s v="07ZXCVB9876M1Z3"/>
    <s v="Gupta Supplies"/>
    <n v="37421.440000000002"/>
    <n v="3367.93"/>
    <n v="3367.93"/>
    <n v="44157.3"/>
    <s v="GST"/>
    <x v="0"/>
    <s v=""/>
    <x v="3"/>
    <s v=""/>
  </r>
  <r>
    <s v="INV2483"/>
    <s v="30-04-2024"/>
    <s v="27ABCDE1234F1Z5"/>
    <s v="Sharma Traders"/>
    <n v="37535.269999999997"/>
    <n v="3378.17"/>
    <n v="3378.17"/>
    <n v="44291.61"/>
    <s v="GST"/>
    <x v="0"/>
    <s v=""/>
    <x v="3"/>
    <s v=""/>
  </r>
  <r>
    <s v="INV2484"/>
    <s v="30-04-2024"/>
    <s v="07ZXCVB9876M1Z3"/>
    <s v="Gupta Supplies"/>
    <n v="46116.38"/>
    <n v="4150.47"/>
    <n v="4150.47"/>
    <n v="54417.32"/>
    <s v="GST"/>
    <x v="0"/>
    <s v=""/>
    <x v="3"/>
    <s v=""/>
  </r>
  <r>
    <s v="INV2485"/>
    <s v="13-05-2024"/>
    <s v="24LMNOP4321K1Z7"/>
    <s v="Patel Industries"/>
    <n v="36993.06"/>
    <n v="3329.38"/>
    <n v="3329.38"/>
    <n v="43651.82"/>
    <s v="GST"/>
    <x v="0"/>
    <s v=""/>
    <x v="3"/>
    <s v=""/>
  </r>
  <r>
    <s v="INV2486"/>
    <s v="31-05-2024"/>
    <s v="07ZXCVB9876M1Z3"/>
    <s v="Gupta Supplies"/>
    <n v="40652.1"/>
    <n v="3658.69"/>
    <n v="3658.69"/>
    <n v="47969.48"/>
    <s v="GST"/>
    <x v="0"/>
    <s v=""/>
    <x v="3"/>
    <s v=""/>
  </r>
  <r>
    <s v="INV2487"/>
    <s v="09-05-2024"/>
    <s v="07ZXCVB9876M1Z3"/>
    <s v="Gupta Supplies"/>
    <n v="8503.0499999999993"/>
    <n v="765.27"/>
    <n v="765.27"/>
    <n v="10033.59"/>
    <s v="GST"/>
    <x v="0"/>
    <s v=""/>
    <x v="3"/>
    <s v=""/>
  </r>
  <r>
    <s v="INV2488"/>
    <s v="28-04-2024"/>
    <s v="29PQRSX5678L1Z2"/>
    <s v="Kiran Enterprises"/>
    <n v="13442.25"/>
    <n v="1209.8"/>
    <n v="1209.8"/>
    <n v="15861.85"/>
    <s v="GST"/>
    <x v="0"/>
    <s v=""/>
    <x v="3"/>
    <s v=""/>
  </r>
  <r>
    <s v="INV2489"/>
    <s v="02-06-2024"/>
    <s v="19ASDFG2468H1Z9"/>
    <s v="Eastern Distributors"/>
    <n v="42174.79"/>
    <n v="3795.73"/>
    <n v="3795.73"/>
    <n v="49766.25"/>
    <s v="GST"/>
    <x v="0"/>
    <s v=""/>
    <x v="3"/>
    <s v=""/>
  </r>
  <r>
    <s v="INV2490"/>
    <s v="25-06-2024"/>
    <s v="19ASDFG2468H1Z9"/>
    <s v="Eastern Distributors"/>
    <n v="35242.559999999998"/>
    <n v="3171.83"/>
    <n v="3171.83"/>
    <n v="41586.22"/>
    <s v="GST"/>
    <x v="0"/>
    <s v=""/>
    <x v="3"/>
    <s v=""/>
  </r>
  <r>
    <s v="INV2491"/>
    <s v="29-05-2024"/>
    <s v="27ABCDE1234F1Z5"/>
    <s v="Sharma Traders"/>
    <n v="41666.57"/>
    <n v="3749.99"/>
    <n v="3749.99"/>
    <n v="49166.55"/>
    <s v="GST"/>
    <x v="0"/>
    <s v=""/>
    <x v="3"/>
    <s v=""/>
  </r>
  <r>
    <s v="INV2492"/>
    <s v="21-05-2024"/>
    <s v="27ABCDE1234F1Z5"/>
    <s v="Sharma Traders"/>
    <n v="5766.54"/>
    <n v="518.99"/>
    <n v="518.99"/>
    <n v="6804.52"/>
    <s v="GST"/>
    <x v="0"/>
    <s v=""/>
    <x v="3"/>
    <s v=""/>
  </r>
  <r>
    <s v="INV2493"/>
    <s v="10-04-2024"/>
    <s v="29PQRSX5678L1Z2"/>
    <s v="Kiran Enterprises"/>
    <n v="1305.82"/>
    <n v="117.52"/>
    <n v="117.52"/>
    <n v="1540.86"/>
    <s v="GST"/>
    <x v="0"/>
    <s v=""/>
    <x v="3"/>
    <s v=""/>
  </r>
  <r>
    <s v="INV2494"/>
    <s v="15-05-2024"/>
    <s v="27ABCDE1234F1Z5"/>
    <s v="Sharma Traders"/>
    <n v="6166.03"/>
    <n v="554.94000000000005"/>
    <n v="554.94000000000005"/>
    <n v="7275.91"/>
    <s v="GST"/>
    <x v="0"/>
    <s v=""/>
    <x v="3"/>
    <s v=""/>
  </r>
  <r>
    <s v="INV2495"/>
    <s v="17-04-2024"/>
    <s v="29PQRSX5678L1Z2"/>
    <s v="Kiran Enterprises"/>
    <n v="19816.39"/>
    <n v="1783.48"/>
    <n v="1783.48"/>
    <n v="23383.35"/>
    <s v="GST"/>
    <x v="0"/>
    <s v=""/>
    <x v="3"/>
    <s v=""/>
  </r>
  <r>
    <s v="INV2496"/>
    <s v="01-05-2024"/>
    <s v="19ASDFG2468H1Z9"/>
    <s v="Eastern Distributors"/>
    <n v="40060.83"/>
    <n v="3605.47"/>
    <n v="3605.47"/>
    <n v="47271.77"/>
    <s v="GST"/>
    <x v="0"/>
    <s v=""/>
    <x v="3"/>
    <s v=""/>
  </r>
  <r>
    <s v="INV2497"/>
    <s v="25-04-2024"/>
    <s v="24LMNOP4321K1Z7"/>
    <s v="Patel Industries"/>
    <n v="48124.57"/>
    <n v="4331.21"/>
    <n v="4331.21"/>
    <n v="56786.99"/>
    <s v="GST"/>
    <x v="0"/>
    <s v=""/>
    <x v="3"/>
    <s v=""/>
  </r>
  <r>
    <s v="INV2498"/>
    <s v="27-05-2024"/>
    <s v="07ZXCVB9876M1Z3"/>
    <s v="Gupta Supplies"/>
    <n v="25185.75"/>
    <n v="2266.7199999999998"/>
    <n v="2266.7199999999998"/>
    <n v="29719.19"/>
    <s v="GST"/>
    <x v="0"/>
    <s v=""/>
    <x v="3"/>
    <s v=""/>
  </r>
  <r>
    <s v="INV2499"/>
    <s v="28-04-2024"/>
    <s v="19ASDFG2468H1Z9"/>
    <s v="Eastern Distributors"/>
    <n v="48355"/>
    <n v="4351.95"/>
    <n v="4351.95"/>
    <n v="57058.9"/>
    <s v="GST"/>
    <x v="0"/>
    <s v=""/>
    <x v="3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CAFFE-7B1C-419F-AD24-C62630885BEB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B17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5">
        <item x="1"/>
        <item x="0"/>
        <item m="1" x="2"/>
        <item m="1"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Invoice_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40B6C-FC64-4795-A184-6119ACF9EDA6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voice_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I501"/>
  <sheetViews>
    <sheetView workbookViewId="0">
      <selection activeCell="K510" sqref="K510"/>
    </sheetView>
  </sheetViews>
  <sheetFormatPr defaultRowHeight="15" x14ac:dyDescent="0.2"/>
  <cols>
    <col min="1" max="1" width="10.76171875" bestFit="1" customWidth="1"/>
    <col min="2" max="2" width="12.5078125" bestFit="1" customWidth="1"/>
    <col min="3" max="4" width="18.29296875" bestFit="1" customWidth="1"/>
    <col min="5" max="5" width="13.44921875" bestFit="1" customWidth="1"/>
    <col min="6" max="7" width="7.93359375" bestFit="1" customWidth="1"/>
    <col min="8" max="8" width="18.695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25694.94</v>
      </c>
      <c r="F2">
        <v>2312.54</v>
      </c>
      <c r="G2">
        <v>2312.54</v>
      </c>
      <c r="H2">
        <v>30320.02</v>
      </c>
      <c r="I2" t="s">
        <v>13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>
        <v>39747.74</v>
      </c>
      <c r="F3">
        <v>3577.3</v>
      </c>
      <c r="G3">
        <v>3577.3</v>
      </c>
      <c r="H3">
        <v>46902.34</v>
      </c>
      <c r="I3" t="s">
        <v>13</v>
      </c>
    </row>
    <row r="4" spans="1:9" x14ac:dyDescent="0.2">
      <c r="A4" t="s">
        <v>18</v>
      </c>
      <c r="B4" t="s">
        <v>19</v>
      </c>
      <c r="C4" t="s">
        <v>20</v>
      </c>
      <c r="D4" t="s">
        <v>21</v>
      </c>
      <c r="E4">
        <v>3722.42</v>
      </c>
      <c r="F4">
        <v>335.02</v>
      </c>
      <c r="G4">
        <v>335.02</v>
      </c>
      <c r="H4">
        <v>4392.46</v>
      </c>
      <c r="I4" t="s">
        <v>13</v>
      </c>
    </row>
    <row r="5" spans="1:9" x14ac:dyDescent="0.2">
      <c r="A5" t="s">
        <v>22</v>
      </c>
      <c r="B5" t="s">
        <v>23</v>
      </c>
      <c r="C5" t="s">
        <v>24</v>
      </c>
      <c r="D5" t="s">
        <v>25</v>
      </c>
      <c r="E5">
        <v>44040.36</v>
      </c>
      <c r="F5">
        <v>3963.63</v>
      </c>
      <c r="G5">
        <v>3963.63</v>
      </c>
      <c r="H5">
        <v>51967.62</v>
      </c>
      <c r="I5" t="s">
        <v>13</v>
      </c>
    </row>
    <row r="6" spans="1:9" x14ac:dyDescent="0.2">
      <c r="A6" t="s">
        <v>26</v>
      </c>
      <c r="B6" t="s">
        <v>27</v>
      </c>
      <c r="C6" t="s">
        <v>16</v>
      </c>
      <c r="D6" t="s">
        <v>17</v>
      </c>
      <c r="E6">
        <v>41564.97</v>
      </c>
      <c r="F6">
        <v>3740.85</v>
      </c>
      <c r="G6">
        <v>3740.85</v>
      </c>
      <c r="H6">
        <v>49046.67</v>
      </c>
      <c r="I6" t="s">
        <v>13</v>
      </c>
    </row>
    <row r="7" spans="1:9" x14ac:dyDescent="0.2">
      <c r="A7" t="s">
        <v>28</v>
      </c>
      <c r="B7" t="s">
        <v>29</v>
      </c>
      <c r="C7" t="s">
        <v>16</v>
      </c>
      <c r="D7" t="s">
        <v>17</v>
      </c>
      <c r="E7">
        <v>24499.7</v>
      </c>
      <c r="F7">
        <v>2204.9699999999998</v>
      </c>
      <c r="G7">
        <v>2204.9699999999998</v>
      </c>
      <c r="H7">
        <v>28909.64</v>
      </c>
      <c r="I7" t="s">
        <v>13</v>
      </c>
    </row>
    <row r="8" spans="1:9" x14ac:dyDescent="0.2">
      <c r="A8" t="s">
        <v>30</v>
      </c>
      <c r="B8" t="s">
        <v>31</v>
      </c>
      <c r="C8" t="s">
        <v>32</v>
      </c>
      <c r="D8" t="s">
        <v>33</v>
      </c>
      <c r="E8">
        <v>16158.02</v>
      </c>
      <c r="F8">
        <v>1454.22</v>
      </c>
      <c r="G8">
        <v>1454.22</v>
      </c>
      <c r="H8">
        <v>19066.46</v>
      </c>
      <c r="I8" t="s">
        <v>13</v>
      </c>
    </row>
    <row r="9" spans="1:9" x14ac:dyDescent="0.2">
      <c r="A9" t="s">
        <v>34</v>
      </c>
      <c r="B9" t="s">
        <v>19</v>
      </c>
      <c r="C9" t="s">
        <v>16</v>
      </c>
      <c r="D9" t="s">
        <v>17</v>
      </c>
      <c r="E9">
        <v>29107.09</v>
      </c>
      <c r="F9">
        <v>2619.64</v>
      </c>
      <c r="G9">
        <v>2619.64</v>
      </c>
      <c r="H9">
        <v>34346.370000000003</v>
      </c>
      <c r="I9" t="s">
        <v>13</v>
      </c>
    </row>
    <row r="10" spans="1:9" x14ac:dyDescent="0.2">
      <c r="A10" t="s">
        <v>35</v>
      </c>
      <c r="B10" t="s">
        <v>36</v>
      </c>
      <c r="C10" t="s">
        <v>32</v>
      </c>
      <c r="D10" t="s">
        <v>33</v>
      </c>
      <c r="E10">
        <v>19595.52</v>
      </c>
      <c r="F10">
        <v>1763.6</v>
      </c>
      <c r="G10">
        <v>1763.6</v>
      </c>
      <c r="H10">
        <v>23122.720000000001</v>
      </c>
      <c r="I10" t="s">
        <v>13</v>
      </c>
    </row>
    <row r="11" spans="1:9" x14ac:dyDescent="0.2">
      <c r="A11" t="s">
        <v>37</v>
      </c>
      <c r="B11" t="s">
        <v>38</v>
      </c>
      <c r="C11" t="s">
        <v>32</v>
      </c>
      <c r="D11" t="s">
        <v>33</v>
      </c>
      <c r="E11">
        <v>28660.799999999999</v>
      </c>
      <c r="F11">
        <v>2579.4699999999998</v>
      </c>
      <c r="G11">
        <v>2579.4699999999998</v>
      </c>
      <c r="H11">
        <v>33819.74</v>
      </c>
      <c r="I11" t="s">
        <v>13</v>
      </c>
    </row>
    <row r="12" spans="1:9" x14ac:dyDescent="0.2">
      <c r="A12" t="s">
        <v>39</v>
      </c>
      <c r="B12" t="s">
        <v>40</v>
      </c>
      <c r="C12" t="s">
        <v>11</v>
      </c>
      <c r="D12" t="s">
        <v>12</v>
      </c>
      <c r="E12">
        <v>31233.919999999998</v>
      </c>
      <c r="F12">
        <v>2811.05</v>
      </c>
      <c r="G12">
        <v>2811.05</v>
      </c>
      <c r="H12">
        <v>36856.019999999997</v>
      </c>
      <c r="I12" t="s">
        <v>13</v>
      </c>
    </row>
    <row r="13" spans="1:9" x14ac:dyDescent="0.2">
      <c r="A13" t="s">
        <v>41</v>
      </c>
      <c r="B13" t="s">
        <v>42</v>
      </c>
      <c r="C13" t="s">
        <v>24</v>
      </c>
      <c r="D13" t="s">
        <v>25</v>
      </c>
      <c r="E13">
        <v>14485.35</v>
      </c>
      <c r="F13">
        <v>1303.68</v>
      </c>
      <c r="G13">
        <v>1303.68</v>
      </c>
      <c r="H13">
        <v>17092.71</v>
      </c>
      <c r="I13" t="s">
        <v>13</v>
      </c>
    </row>
    <row r="14" spans="1:9" x14ac:dyDescent="0.2">
      <c r="A14" t="s">
        <v>43</v>
      </c>
      <c r="B14" t="s">
        <v>10</v>
      </c>
      <c r="C14" t="s">
        <v>16</v>
      </c>
      <c r="D14" t="s">
        <v>17</v>
      </c>
      <c r="E14">
        <v>13965.23</v>
      </c>
      <c r="F14">
        <v>1256.8699999999999</v>
      </c>
      <c r="G14">
        <v>1256.8699999999999</v>
      </c>
      <c r="H14">
        <v>16478.97</v>
      </c>
      <c r="I14" t="s">
        <v>13</v>
      </c>
    </row>
    <row r="15" spans="1:9" x14ac:dyDescent="0.2">
      <c r="A15" t="s">
        <v>44</v>
      </c>
      <c r="B15" t="s">
        <v>45</v>
      </c>
      <c r="C15" t="s">
        <v>20</v>
      </c>
      <c r="D15" t="s">
        <v>21</v>
      </c>
      <c r="E15">
        <v>48785.53</v>
      </c>
      <c r="F15">
        <v>4390.7</v>
      </c>
      <c r="G15">
        <v>4390.7</v>
      </c>
      <c r="H15">
        <v>57566.93</v>
      </c>
      <c r="I15" t="s">
        <v>13</v>
      </c>
    </row>
    <row r="16" spans="1:9" x14ac:dyDescent="0.2">
      <c r="A16" t="s">
        <v>46</v>
      </c>
      <c r="B16" t="s">
        <v>47</v>
      </c>
      <c r="C16" t="s">
        <v>11</v>
      </c>
      <c r="D16" t="s">
        <v>12</v>
      </c>
      <c r="E16">
        <v>49562.13</v>
      </c>
      <c r="F16">
        <v>4460.59</v>
      </c>
      <c r="G16">
        <v>4460.59</v>
      </c>
      <c r="H16">
        <v>58483.31</v>
      </c>
      <c r="I16" t="s">
        <v>13</v>
      </c>
    </row>
    <row r="17" spans="1:9" x14ac:dyDescent="0.2">
      <c r="A17" t="s">
        <v>48</v>
      </c>
      <c r="B17" t="s">
        <v>49</v>
      </c>
      <c r="C17" t="s">
        <v>24</v>
      </c>
      <c r="D17" t="s">
        <v>25</v>
      </c>
      <c r="E17">
        <v>26226.25</v>
      </c>
      <c r="F17">
        <v>2360.36</v>
      </c>
      <c r="G17">
        <v>2360.36</v>
      </c>
      <c r="H17">
        <v>30946.97</v>
      </c>
      <c r="I17" t="s">
        <v>13</v>
      </c>
    </row>
    <row r="18" spans="1:9" x14ac:dyDescent="0.2">
      <c r="A18" t="s">
        <v>50</v>
      </c>
      <c r="B18" t="s">
        <v>51</v>
      </c>
      <c r="C18" t="s">
        <v>24</v>
      </c>
      <c r="D18" t="s">
        <v>25</v>
      </c>
      <c r="E18">
        <v>32810.870000000003</v>
      </c>
      <c r="F18">
        <v>2952.98</v>
      </c>
      <c r="G18">
        <v>2952.98</v>
      </c>
      <c r="H18">
        <v>38716.83</v>
      </c>
      <c r="I18" t="s">
        <v>13</v>
      </c>
    </row>
    <row r="19" spans="1:9" x14ac:dyDescent="0.2">
      <c r="A19" t="s">
        <v>52</v>
      </c>
      <c r="B19" t="s">
        <v>19</v>
      </c>
      <c r="C19" t="s">
        <v>20</v>
      </c>
      <c r="D19" t="s">
        <v>21</v>
      </c>
      <c r="E19">
        <v>14249.06</v>
      </c>
      <c r="F19">
        <v>1282.42</v>
      </c>
      <c r="G19">
        <v>1282.42</v>
      </c>
      <c r="H19">
        <v>16813.900000000001</v>
      </c>
      <c r="I19" t="s">
        <v>13</v>
      </c>
    </row>
    <row r="20" spans="1:9" x14ac:dyDescent="0.2">
      <c r="A20" t="s">
        <v>53</v>
      </c>
      <c r="B20" t="s">
        <v>54</v>
      </c>
      <c r="C20" t="s">
        <v>11</v>
      </c>
      <c r="D20" t="s">
        <v>12</v>
      </c>
      <c r="E20">
        <v>40719.56</v>
      </c>
      <c r="F20">
        <v>3664.76</v>
      </c>
      <c r="G20">
        <v>3664.76</v>
      </c>
      <c r="H20">
        <v>48049.08</v>
      </c>
      <c r="I20" t="s">
        <v>13</v>
      </c>
    </row>
    <row r="21" spans="1:9" x14ac:dyDescent="0.2">
      <c r="A21" t="s">
        <v>55</v>
      </c>
      <c r="B21" t="s">
        <v>56</v>
      </c>
      <c r="C21" t="s">
        <v>11</v>
      </c>
      <c r="D21" t="s">
        <v>12</v>
      </c>
      <c r="E21">
        <v>37378.43</v>
      </c>
      <c r="F21">
        <v>3364.06</v>
      </c>
      <c r="G21">
        <v>3364.06</v>
      </c>
      <c r="H21">
        <v>44106.55</v>
      </c>
      <c r="I21" t="s">
        <v>13</v>
      </c>
    </row>
    <row r="22" spans="1:9" x14ac:dyDescent="0.2">
      <c r="A22" t="s">
        <v>57</v>
      </c>
      <c r="B22" t="s">
        <v>58</v>
      </c>
      <c r="C22" t="s">
        <v>11</v>
      </c>
      <c r="D22" t="s">
        <v>12</v>
      </c>
      <c r="E22">
        <v>28472.92</v>
      </c>
      <c r="F22">
        <v>2562.56</v>
      </c>
      <c r="G22">
        <v>2562.56</v>
      </c>
      <c r="H22">
        <v>33598.04</v>
      </c>
      <c r="I22" t="s">
        <v>13</v>
      </c>
    </row>
    <row r="23" spans="1:9" x14ac:dyDescent="0.2">
      <c r="A23" t="s">
        <v>59</v>
      </c>
      <c r="B23" t="s">
        <v>60</v>
      </c>
      <c r="C23" t="s">
        <v>16</v>
      </c>
      <c r="D23" t="s">
        <v>17</v>
      </c>
      <c r="E23">
        <v>24883.14</v>
      </c>
      <c r="F23">
        <v>2239.48</v>
      </c>
      <c r="G23">
        <v>2239.48</v>
      </c>
      <c r="H23">
        <v>29362.1</v>
      </c>
      <c r="I23" t="s">
        <v>13</v>
      </c>
    </row>
    <row r="24" spans="1:9" x14ac:dyDescent="0.2">
      <c r="A24" t="s">
        <v>61</v>
      </c>
      <c r="B24" t="s">
        <v>51</v>
      </c>
      <c r="C24" t="s">
        <v>20</v>
      </c>
      <c r="D24" t="s">
        <v>21</v>
      </c>
      <c r="E24">
        <v>15724.13</v>
      </c>
      <c r="F24">
        <v>1415.17</v>
      </c>
      <c r="G24">
        <v>1415.17</v>
      </c>
      <c r="H24">
        <v>18554.47</v>
      </c>
      <c r="I24" t="s">
        <v>13</v>
      </c>
    </row>
    <row r="25" spans="1:9" x14ac:dyDescent="0.2">
      <c r="A25" t="s">
        <v>62</v>
      </c>
      <c r="B25" t="s">
        <v>63</v>
      </c>
      <c r="C25" t="s">
        <v>32</v>
      </c>
      <c r="D25" t="s">
        <v>33</v>
      </c>
      <c r="E25">
        <v>10499.98</v>
      </c>
      <c r="F25">
        <v>945</v>
      </c>
      <c r="G25">
        <v>945</v>
      </c>
      <c r="H25">
        <v>12389.98</v>
      </c>
      <c r="I25" t="s">
        <v>13</v>
      </c>
    </row>
    <row r="26" spans="1:9" x14ac:dyDescent="0.2">
      <c r="A26" t="s">
        <v>64</v>
      </c>
      <c r="B26" t="s">
        <v>65</v>
      </c>
      <c r="C26" t="s">
        <v>20</v>
      </c>
      <c r="D26" t="s">
        <v>21</v>
      </c>
      <c r="E26">
        <v>47599.97</v>
      </c>
      <c r="F26">
        <v>4284</v>
      </c>
      <c r="G26">
        <v>4284</v>
      </c>
      <c r="H26">
        <v>56167.97</v>
      </c>
      <c r="I26" t="s">
        <v>13</v>
      </c>
    </row>
    <row r="27" spans="1:9" x14ac:dyDescent="0.2">
      <c r="A27" t="s">
        <v>66</v>
      </c>
      <c r="B27" t="s">
        <v>56</v>
      </c>
      <c r="C27" t="s">
        <v>11</v>
      </c>
      <c r="D27" t="s">
        <v>12</v>
      </c>
      <c r="E27">
        <v>6762.77</v>
      </c>
      <c r="F27">
        <v>608.65</v>
      </c>
      <c r="G27">
        <v>608.65</v>
      </c>
      <c r="H27">
        <v>7980.07</v>
      </c>
      <c r="I27" t="s">
        <v>13</v>
      </c>
    </row>
    <row r="28" spans="1:9" x14ac:dyDescent="0.2">
      <c r="A28" t="s">
        <v>67</v>
      </c>
      <c r="B28" t="s">
        <v>68</v>
      </c>
      <c r="C28" t="s">
        <v>32</v>
      </c>
      <c r="D28" t="s">
        <v>33</v>
      </c>
      <c r="E28">
        <v>23014.85</v>
      </c>
      <c r="F28">
        <v>2071.34</v>
      </c>
      <c r="G28">
        <v>2071.34</v>
      </c>
      <c r="H28">
        <v>27157.53</v>
      </c>
      <c r="I28" t="s">
        <v>13</v>
      </c>
    </row>
    <row r="29" spans="1:9" x14ac:dyDescent="0.2">
      <c r="A29" t="s">
        <v>69</v>
      </c>
      <c r="B29" t="s">
        <v>49</v>
      </c>
      <c r="C29" t="s">
        <v>24</v>
      </c>
      <c r="D29" t="s">
        <v>25</v>
      </c>
      <c r="E29">
        <v>28074.6</v>
      </c>
      <c r="F29">
        <v>2526.71</v>
      </c>
      <c r="G29">
        <v>2526.71</v>
      </c>
      <c r="H29">
        <v>33128.019999999997</v>
      </c>
      <c r="I29" t="s">
        <v>13</v>
      </c>
    </row>
    <row r="30" spans="1:9" x14ac:dyDescent="0.2">
      <c r="A30" t="s">
        <v>70</v>
      </c>
      <c r="B30" t="s">
        <v>71</v>
      </c>
      <c r="C30" t="s">
        <v>32</v>
      </c>
      <c r="D30" t="s">
        <v>33</v>
      </c>
      <c r="E30">
        <v>41642.120000000003</v>
      </c>
      <c r="F30">
        <v>3747.79</v>
      </c>
      <c r="G30">
        <v>3747.79</v>
      </c>
      <c r="H30">
        <v>49137.7</v>
      </c>
      <c r="I30" t="s">
        <v>13</v>
      </c>
    </row>
    <row r="31" spans="1:9" x14ac:dyDescent="0.2">
      <c r="A31" t="s">
        <v>72</v>
      </c>
      <c r="B31" t="s">
        <v>73</v>
      </c>
      <c r="C31" t="s">
        <v>16</v>
      </c>
      <c r="D31" t="s">
        <v>17</v>
      </c>
      <c r="E31">
        <v>38382.44</v>
      </c>
      <c r="F31">
        <v>3454.42</v>
      </c>
      <c r="G31">
        <v>3454.42</v>
      </c>
      <c r="H31">
        <v>45291.28</v>
      </c>
      <c r="I31" t="s">
        <v>13</v>
      </c>
    </row>
    <row r="32" spans="1:9" x14ac:dyDescent="0.2">
      <c r="A32" t="s">
        <v>74</v>
      </c>
      <c r="B32" t="s">
        <v>75</v>
      </c>
      <c r="C32" t="s">
        <v>11</v>
      </c>
      <c r="D32" t="s">
        <v>12</v>
      </c>
      <c r="E32">
        <v>2979.72</v>
      </c>
      <c r="F32">
        <v>268.17</v>
      </c>
      <c r="G32">
        <v>268.17</v>
      </c>
      <c r="H32">
        <v>3516.06</v>
      </c>
      <c r="I32" t="s">
        <v>13</v>
      </c>
    </row>
    <row r="33" spans="1:9" x14ac:dyDescent="0.2">
      <c r="A33" t="s">
        <v>76</v>
      </c>
      <c r="B33" t="s">
        <v>77</v>
      </c>
      <c r="C33" t="s">
        <v>24</v>
      </c>
      <c r="D33" t="s">
        <v>25</v>
      </c>
      <c r="E33">
        <v>36114.959999999999</v>
      </c>
      <c r="F33">
        <v>3250.35</v>
      </c>
      <c r="G33">
        <v>3250.35</v>
      </c>
      <c r="H33">
        <v>42615.66</v>
      </c>
      <c r="I33" t="s">
        <v>13</v>
      </c>
    </row>
    <row r="34" spans="1:9" x14ac:dyDescent="0.2">
      <c r="A34" t="s">
        <v>78</v>
      </c>
      <c r="B34" t="s">
        <v>68</v>
      </c>
      <c r="C34" t="s">
        <v>11</v>
      </c>
      <c r="D34" t="s">
        <v>12</v>
      </c>
      <c r="E34">
        <v>19033.77</v>
      </c>
      <c r="F34">
        <v>1713.04</v>
      </c>
      <c r="G34">
        <v>1713.04</v>
      </c>
      <c r="H34">
        <v>22459.85</v>
      </c>
      <c r="I34" t="s">
        <v>13</v>
      </c>
    </row>
    <row r="35" spans="1:9" x14ac:dyDescent="0.2">
      <c r="A35" t="s">
        <v>79</v>
      </c>
      <c r="B35" t="s">
        <v>73</v>
      </c>
      <c r="C35" t="s">
        <v>24</v>
      </c>
      <c r="D35" t="s">
        <v>25</v>
      </c>
      <c r="E35">
        <v>3327.85</v>
      </c>
      <c r="F35">
        <v>299.51</v>
      </c>
      <c r="G35">
        <v>299.51</v>
      </c>
      <c r="H35">
        <v>3926.87</v>
      </c>
      <c r="I35" t="s">
        <v>13</v>
      </c>
    </row>
    <row r="36" spans="1:9" x14ac:dyDescent="0.2">
      <c r="A36" t="s">
        <v>80</v>
      </c>
      <c r="B36" t="s">
        <v>81</v>
      </c>
      <c r="C36" t="s">
        <v>24</v>
      </c>
      <c r="D36" t="s">
        <v>25</v>
      </c>
      <c r="E36">
        <v>44915.06</v>
      </c>
      <c r="F36">
        <v>4042.36</v>
      </c>
      <c r="G36">
        <v>4042.36</v>
      </c>
      <c r="H36">
        <v>52999.78</v>
      </c>
      <c r="I36" t="s">
        <v>13</v>
      </c>
    </row>
    <row r="37" spans="1:9" x14ac:dyDescent="0.2">
      <c r="A37" t="s">
        <v>82</v>
      </c>
      <c r="B37" t="s">
        <v>83</v>
      </c>
      <c r="C37" t="s">
        <v>16</v>
      </c>
      <c r="D37" t="s">
        <v>17</v>
      </c>
      <c r="E37">
        <v>35188.17</v>
      </c>
      <c r="F37">
        <v>3166.94</v>
      </c>
      <c r="G37">
        <v>3166.94</v>
      </c>
      <c r="H37">
        <v>41522.050000000003</v>
      </c>
      <c r="I37" t="s">
        <v>13</v>
      </c>
    </row>
    <row r="38" spans="1:9" x14ac:dyDescent="0.2">
      <c r="A38" t="s">
        <v>84</v>
      </c>
      <c r="B38" t="s">
        <v>27</v>
      </c>
      <c r="C38" t="s">
        <v>11</v>
      </c>
      <c r="D38" t="s">
        <v>12</v>
      </c>
      <c r="E38">
        <v>4633.16</v>
      </c>
      <c r="F38">
        <v>416.98</v>
      </c>
      <c r="G38">
        <v>416.98</v>
      </c>
      <c r="H38">
        <v>5467.12</v>
      </c>
      <c r="I38" t="s">
        <v>13</v>
      </c>
    </row>
    <row r="39" spans="1:9" x14ac:dyDescent="0.2">
      <c r="A39" t="s">
        <v>85</v>
      </c>
      <c r="B39" t="s">
        <v>58</v>
      </c>
      <c r="C39" t="s">
        <v>11</v>
      </c>
      <c r="D39" t="s">
        <v>12</v>
      </c>
      <c r="E39">
        <v>15285.54</v>
      </c>
      <c r="F39">
        <v>1375.7</v>
      </c>
      <c r="G39">
        <v>1375.7</v>
      </c>
      <c r="H39">
        <v>18036.939999999999</v>
      </c>
      <c r="I39" t="s">
        <v>13</v>
      </c>
    </row>
    <row r="40" spans="1:9" x14ac:dyDescent="0.2">
      <c r="A40" t="s">
        <v>86</v>
      </c>
      <c r="B40" t="s">
        <v>87</v>
      </c>
      <c r="C40" t="s">
        <v>32</v>
      </c>
      <c r="D40" t="s">
        <v>33</v>
      </c>
      <c r="E40">
        <v>14784.51</v>
      </c>
      <c r="F40">
        <v>1330.61</v>
      </c>
      <c r="G40">
        <v>1330.61</v>
      </c>
      <c r="H40">
        <v>17445.73</v>
      </c>
      <c r="I40" t="s">
        <v>13</v>
      </c>
    </row>
    <row r="41" spans="1:9" x14ac:dyDescent="0.2">
      <c r="A41" t="s">
        <v>88</v>
      </c>
      <c r="B41" t="s">
        <v>63</v>
      </c>
      <c r="C41" t="s">
        <v>32</v>
      </c>
      <c r="D41" t="s">
        <v>33</v>
      </c>
      <c r="E41">
        <v>43999.02</v>
      </c>
      <c r="F41">
        <v>3959.91</v>
      </c>
      <c r="G41">
        <v>3959.91</v>
      </c>
      <c r="H41">
        <v>51918.84</v>
      </c>
      <c r="I41" t="s">
        <v>13</v>
      </c>
    </row>
    <row r="42" spans="1:9" x14ac:dyDescent="0.2">
      <c r="A42" t="s">
        <v>89</v>
      </c>
      <c r="B42" t="s">
        <v>27</v>
      </c>
      <c r="C42" t="s">
        <v>16</v>
      </c>
      <c r="D42" t="s">
        <v>17</v>
      </c>
      <c r="E42">
        <v>44019.37</v>
      </c>
      <c r="F42">
        <v>3961.74</v>
      </c>
      <c r="G42">
        <v>3961.74</v>
      </c>
      <c r="H42">
        <v>51942.85</v>
      </c>
      <c r="I42" t="s">
        <v>13</v>
      </c>
    </row>
    <row r="43" spans="1:9" x14ac:dyDescent="0.2">
      <c r="A43" t="s">
        <v>90</v>
      </c>
      <c r="B43" t="s">
        <v>91</v>
      </c>
      <c r="C43" t="s">
        <v>16</v>
      </c>
      <c r="D43" t="s">
        <v>17</v>
      </c>
      <c r="E43">
        <v>10870.27</v>
      </c>
      <c r="F43">
        <v>978.32</v>
      </c>
      <c r="G43">
        <v>978.32</v>
      </c>
      <c r="H43">
        <v>12826.91</v>
      </c>
      <c r="I43" t="s">
        <v>13</v>
      </c>
    </row>
    <row r="44" spans="1:9" x14ac:dyDescent="0.2">
      <c r="A44" t="s">
        <v>92</v>
      </c>
      <c r="B44" t="s">
        <v>93</v>
      </c>
      <c r="C44" t="s">
        <v>20</v>
      </c>
      <c r="D44" t="s">
        <v>21</v>
      </c>
      <c r="E44">
        <v>26707.08</v>
      </c>
      <c r="F44">
        <v>2403.64</v>
      </c>
      <c r="G44">
        <v>2403.64</v>
      </c>
      <c r="H44">
        <v>31514.36</v>
      </c>
      <c r="I44" t="s">
        <v>13</v>
      </c>
    </row>
    <row r="45" spans="1:9" x14ac:dyDescent="0.2">
      <c r="A45" t="s">
        <v>94</v>
      </c>
      <c r="B45" t="s">
        <v>95</v>
      </c>
      <c r="C45" t="s">
        <v>20</v>
      </c>
      <c r="D45" t="s">
        <v>21</v>
      </c>
      <c r="E45">
        <v>26708.48</v>
      </c>
      <c r="F45">
        <v>2403.7600000000002</v>
      </c>
      <c r="G45">
        <v>2403.7600000000002</v>
      </c>
      <c r="H45">
        <v>31516</v>
      </c>
      <c r="I45" t="s">
        <v>13</v>
      </c>
    </row>
    <row r="46" spans="1:9" x14ac:dyDescent="0.2">
      <c r="A46" t="s">
        <v>96</v>
      </c>
      <c r="B46" t="s">
        <v>97</v>
      </c>
      <c r="C46" t="s">
        <v>20</v>
      </c>
      <c r="D46" t="s">
        <v>21</v>
      </c>
      <c r="E46">
        <v>15516.61</v>
      </c>
      <c r="F46">
        <v>1396.49</v>
      </c>
      <c r="G46">
        <v>1396.49</v>
      </c>
      <c r="H46">
        <v>18309.59</v>
      </c>
      <c r="I46" t="s">
        <v>13</v>
      </c>
    </row>
    <row r="47" spans="1:9" x14ac:dyDescent="0.2">
      <c r="A47" t="s">
        <v>98</v>
      </c>
      <c r="B47" t="s">
        <v>42</v>
      </c>
      <c r="C47" t="s">
        <v>24</v>
      </c>
      <c r="D47" t="s">
        <v>25</v>
      </c>
      <c r="E47">
        <v>15516.19</v>
      </c>
      <c r="F47">
        <v>1396.46</v>
      </c>
      <c r="G47">
        <v>1396.46</v>
      </c>
      <c r="H47">
        <v>18309.11</v>
      </c>
      <c r="I47" t="s">
        <v>13</v>
      </c>
    </row>
    <row r="48" spans="1:9" x14ac:dyDescent="0.2">
      <c r="A48" t="s">
        <v>99</v>
      </c>
      <c r="B48" t="s">
        <v>100</v>
      </c>
      <c r="C48" t="s">
        <v>20</v>
      </c>
      <c r="D48" t="s">
        <v>21</v>
      </c>
      <c r="E48">
        <v>27948.14</v>
      </c>
      <c r="F48">
        <v>2515.33</v>
      </c>
      <c r="G48">
        <v>2515.33</v>
      </c>
      <c r="H48">
        <v>32978.800000000003</v>
      </c>
      <c r="I48" t="s">
        <v>13</v>
      </c>
    </row>
    <row r="49" spans="1:9" x14ac:dyDescent="0.2">
      <c r="A49" t="s">
        <v>101</v>
      </c>
      <c r="B49" t="s">
        <v>38</v>
      </c>
      <c r="C49" t="s">
        <v>24</v>
      </c>
      <c r="D49" t="s">
        <v>25</v>
      </c>
      <c r="E49">
        <v>17540.689999999999</v>
      </c>
      <c r="F49">
        <v>1578.66</v>
      </c>
      <c r="G49">
        <v>1578.66</v>
      </c>
      <c r="H49">
        <v>20698.009999999998</v>
      </c>
      <c r="I49" t="s">
        <v>13</v>
      </c>
    </row>
    <row r="50" spans="1:9" x14ac:dyDescent="0.2">
      <c r="A50" t="s">
        <v>102</v>
      </c>
      <c r="B50" t="s">
        <v>103</v>
      </c>
      <c r="C50" t="s">
        <v>11</v>
      </c>
      <c r="D50" t="s">
        <v>12</v>
      </c>
      <c r="E50">
        <v>48154.47</v>
      </c>
      <c r="F50">
        <v>4333.8999999999996</v>
      </c>
      <c r="G50">
        <v>4333.8999999999996</v>
      </c>
      <c r="H50">
        <v>56822.27</v>
      </c>
      <c r="I50" t="s">
        <v>13</v>
      </c>
    </row>
    <row r="51" spans="1:9" x14ac:dyDescent="0.2">
      <c r="A51" t="s">
        <v>104</v>
      </c>
      <c r="B51" t="s">
        <v>105</v>
      </c>
      <c r="C51" t="s">
        <v>32</v>
      </c>
      <c r="D51" t="s">
        <v>33</v>
      </c>
      <c r="E51">
        <v>26513.16</v>
      </c>
      <c r="F51">
        <v>2386.1799999999998</v>
      </c>
      <c r="G51">
        <v>2386.1799999999998</v>
      </c>
      <c r="H51">
        <v>31285.52</v>
      </c>
      <c r="I51" t="s">
        <v>13</v>
      </c>
    </row>
    <row r="52" spans="1:9" x14ac:dyDescent="0.2">
      <c r="A52" t="s">
        <v>106</v>
      </c>
      <c r="B52" t="s">
        <v>107</v>
      </c>
      <c r="C52" t="s">
        <v>20</v>
      </c>
      <c r="D52" t="s">
        <v>21</v>
      </c>
      <c r="E52">
        <v>41817.54</v>
      </c>
      <c r="F52">
        <v>3763.58</v>
      </c>
      <c r="G52">
        <v>3763.58</v>
      </c>
      <c r="H52">
        <v>49344.7</v>
      </c>
      <c r="I52" t="s">
        <v>13</v>
      </c>
    </row>
    <row r="53" spans="1:9" x14ac:dyDescent="0.2">
      <c r="A53" t="s">
        <v>108</v>
      </c>
      <c r="B53" t="s">
        <v>109</v>
      </c>
      <c r="C53" t="s">
        <v>11</v>
      </c>
      <c r="D53" t="s">
        <v>12</v>
      </c>
      <c r="E53">
        <v>1858.65</v>
      </c>
      <c r="F53">
        <v>167.28</v>
      </c>
      <c r="G53">
        <v>167.28</v>
      </c>
      <c r="H53">
        <v>2193.21</v>
      </c>
      <c r="I53" t="s">
        <v>13</v>
      </c>
    </row>
    <row r="54" spans="1:9" x14ac:dyDescent="0.2">
      <c r="A54" t="s">
        <v>110</v>
      </c>
      <c r="B54" t="s">
        <v>105</v>
      </c>
      <c r="C54" t="s">
        <v>32</v>
      </c>
      <c r="D54" t="s">
        <v>33</v>
      </c>
      <c r="E54">
        <v>24623.85</v>
      </c>
      <c r="F54">
        <v>2216.15</v>
      </c>
      <c r="G54">
        <v>2216.15</v>
      </c>
      <c r="H54">
        <v>29056.15</v>
      </c>
      <c r="I54" t="s">
        <v>13</v>
      </c>
    </row>
    <row r="55" spans="1:9" x14ac:dyDescent="0.2">
      <c r="A55" t="s">
        <v>111</v>
      </c>
      <c r="B55" t="s">
        <v>112</v>
      </c>
      <c r="C55" t="s">
        <v>16</v>
      </c>
      <c r="D55" t="s">
        <v>17</v>
      </c>
      <c r="E55">
        <v>31633.46</v>
      </c>
      <c r="F55">
        <v>2847.01</v>
      </c>
      <c r="G55">
        <v>2847.01</v>
      </c>
      <c r="H55">
        <v>37327.480000000003</v>
      </c>
      <c r="I55" t="s">
        <v>13</v>
      </c>
    </row>
    <row r="56" spans="1:9" x14ac:dyDescent="0.2">
      <c r="A56" t="s">
        <v>113</v>
      </c>
      <c r="B56" t="s">
        <v>114</v>
      </c>
      <c r="C56" t="s">
        <v>20</v>
      </c>
      <c r="D56" t="s">
        <v>21</v>
      </c>
      <c r="E56">
        <v>36326.11</v>
      </c>
      <c r="F56">
        <v>3269.35</v>
      </c>
      <c r="G56">
        <v>3269.35</v>
      </c>
      <c r="H56">
        <v>42864.81</v>
      </c>
      <c r="I56" t="s">
        <v>13</v>
      </c>
    </row>
    <row r="57" spans="1:9" x14ac:dyDescent="0.2">
      <c r="A57" t="s">
        <v>115</v>
      </c>
      <c r="B57" t="s">
        <v>116</v>
      </c>
      <c r="C57" t="s">
        <v>32</v>
      </c>
      <c r="D57" t="s">
        <v>33</v>
      </c>
      <c r="E57">
        <v>20484.740000000002</v>
      </c>
      <c r="F57">
        <v>1843.63</v>
      </c>
      <c r="G57">
        <v>1843.63</v>
      </c>
      <c r="H57">
        <v>24172</v>
      </c>
      <c r="I57" t="s">
        <v>13</v>
      </c>
    </row>
    <row r="58" spans="1:9" x14ac:dyDescent="0.2">
      <c r="A58" t="s">
        <v>117</v>
      </c>
      <c r="B58" t="s">
        <v>118</v>
      </c>
      <c r="C58" t="s">
        <v>32</v>
      </c>
      <c r="D58" t="s">
        <v>33</v>
      </c>
      <c r="E58">
        <v>39527.22</v>
      </c>
      <c r="F58">
        <v>3557.45</v>
      </c>
      <c r="G58">
        <v>3557.45</v>
      </c>
      <c r="H58">
        <v>46642.12</v>
      </c>
      <c r="I58" t="s">
        <v>13</v>
      </c>
    </row>
    <row r="59" spans="1:9" x14ac:dyDescent="0.2">
      <c r="A59" t="s">
        <v>119</v>
      </c>
      <c r="B59" t="s">
        <v>100</v>
      </c>
      <c r="C59" t="s">
        <v>32</v>
      </c>
      <c r="D59" t="s">
        <v>33</v>
      </c>
      <c r="E59">
        <v>42338.400000000001</v>
      </c>
      <c r="F59">
        <v>3810.46</v>
      </c>
      <c r="G59">
        <v>3810.46</v>
      </c>
      <c r="H59">
        <v>49959.32</v>
      </c>
      <c r="I59" t="s">
        <v>13</v>
      </c>
    </row>
    <row r="60" spans="1:9" x14ac:dyDescent="0.2">
      <c r="A60" t="s">
        <v>120</v>
      </c>
      <c r="B60" t="s">
        <v>121</v>
      </c>
      <c r="C60" t="s">
        <v>20</v>
      </c>
      <c r="D60" t="s">
        <v>21</v>
      </c>
      <c r="E60">
        <v>37088.65</v>
      </c>
      <c r="F60">
        <v>3337.98</v>
      </c>
      <c r="G60">
        <v>3337.98</v>
      </c>
      <c r="H60">
        <v>43764.61</v>
      </c>
      <c r="I60" t="s">
        <v>13</v>
      </c>
    </row>
    <row r="61" spans="1:9" x14ac:dyDescent="0.2">
      <c r="A61" t="s">
        <v>122</v>
      </c>
      <c r="B61" t="s">
        <v>116</v>
      </c>
      <c r="C61" t="s">
        <v>32</v>
      </c>
      <c r="D61" t="s">
        <v>33</v>
      </c>
      <c r="E61">
        <v>44289.59</v>
      </c>
      <c r="F61">
        <v>3986.06</v>
      </c>
      <c r="G61">
        <v>3986.06</v>
      </c>
      <c r="H61">
        <v>52261.71</v>
      </c>
      <c r="I61" t="s">
        <v>13</v>
      </c>
    </row>
    <row r="62" spans="1:9" x14ac:dyDescent="0.2">
      <c r="A62" t="s">
        <v>123</v>
      </c>
      <c r="B62" t="s">
        <v>124</v>
      </c>
      <c r="C62" t="s">
        <v>24</v>
      </c>
      <c r="D62" t="s">
        <v>25</v>
      </c>
      <c r="E62">
        <v>13216.96</v>
      </c>
      <c r="F62">
        <v>1189.53</v>
      </c>
      <c r="G62">
        <v>1189.53</v>
      </c>
      <c r="H62">
        <v>15596.02</v>
      </c>
      <c r="I62" t="s">
        <v>13</v>
      </c>
    </row>
    <row r="63" spans="1:9" x14ac:dyDescent="0.2">
      <c r="A63" t="s">
        <v>125</v>
      </c>
      <c r="B63" t="s">
        <v>40</v>
      </c>
      <c r="C63" t="s">
        <v>11</v>
      </c>
      <c r="D63" t="s">
        <v>12</v>
      </c>
      <c r="E63">
        <v>15452.98</v>
      </c>
      <c r="F63">
        <v>1390.77</v>
      </c>
      <c r="G63">
        <v>1390.77</v>
      </c>
      <c r="H63">
        <v>18234.52</v>
      </c>
      <c r="I63" t="s">
        <v>13</v>
      </c>
    </row>
    <row r="64" spans="1:9" x14ac:dyDescent="0.2">
      <c r="A64" t="s">
        <v>126</v>
      </c>
      <c r="B64" t="s">
        <v>116</v>
      </c>
      <c r="C64" t="s">
        <v>24</v>
      </c>
      <c r="D64" t="s">
        <v>25</v>
      </c>
      <c r="E64">
        <v>6151.48</v>
      </c>
      <c r="F64">
        <v>553.63</v>
      </c>
      <c r="G64">
        <v>553.63</v>
      </c>
      <c r="H64">
        <v>7258.74</v>
      </c>
      <c r="I64" t="s">
        <v>13</v>
      </c>
    </row>
    <row r="65" spans="1:9" x14ac:dyDescent="0.2">
      <c r="A65" t="s">
        <v>127</v>
      </c>
      <c r="B65" t="s">
        <v>128</v>
      </c>
      <c r="C65" t="s">
        <v>32</v>
      </c>
      <c r="D65" t="s">
        <v>33</v>
      </c>
      <c r="E65">
        <v>28248.77</v>
      </c>
      <c r="F65">
        <v>2542.39</v>
      </c>
      <c r="G65">
        <v>2542.39</v>
      </c>
      <c r="H65">
        <v>33333.550000000003</v>
      </c>
      <c r="I65" t="s">
        <v>13</v>
      </c>
    </row>
    <row r="66" spans="1:9" x14ac:dyDescent="0.2">
      <c r="A66" t="s">
        <v>129</v>
      </c>
      <c r="B66" t="s">
        <v>130</v>
      </c>
      <c r="C66" t="s">
        <v>20</v>
      </c>
      <c r="D66" t="s">
        <v>21</v>
      </c>
      <c r="E66">
        <v>45940.31</v>
      </c>
      <c r="F66">
        <v>4134.63</v>
      </c>
      <c r="G66">
        <v>4134.63</v>
      </c>
      <c r="H66">
        <v>54209.57</v>
      </c>
      <c r="I66" t="s">
        <v>13</v>
      </c>
    </row>
    <row r="67" spans="1:9" x14ac:dyDescent="0.2">
      <c r="A67" t="s">
        <v>131</v>
      </c>
      <c r="B67" t="s">
        <v>132</v>
      </c>
      <c r="C67" t="s">
        <v>11</v>
      </c>
      <c r="D67" t="s">
        <v>12</v>
      </c>
      <c r="E67">
        <v>35841.07</v>
      </c>
      <c r="F67">
        <v>3225.7</v>
      </c>
      <c r="G67">
        <v>3225.7</v>
      </c>
      <c r="H67">
        <v>42292.47</v>
      </c>
      <c r="I67" t="s">
        <v>13</v>
      </c>
    </row>
    <row r="68" spans="1:9" x14ac:dyDescent="0.2">
      <c r="A68" t="s">
        <v>133</v>
      </c>
      <c r="B68" t="s">
        <v>134</v>
      </c>
      <c r="C68" t="s">
        <v>11</v>
      </c>
      <c r="D68" t="s">
        <v>12</v>
      </c>
      <c r="E68">
        <v>32720.02</v>
      </c>
      <c r="F68">
        <v>2944.8</v>
      </c>
      <c r="G68">
        <v>2944.8</v>
      </c>
      <c r="H68">
        <v>38609.620000000003</v>
      </c>
      <c r="I68" t="s">
        <v>13</v>
      </c>
    </row>
    <row r="69" spans="1:9" x14ac:dyDescent="0.2">
      <c r="A69" t="s">
        <v>135</v>
      </c>
      <c r="B69" t="s">
        <v>132</v>
      </c>
      <c r="C69" t="s">
        <v>24</v>
      </c>
      <c r="D69" t="s">
        <v>25</v>
      </c>
      <c r="E69">
        <v>2999.91</v>
      </c>
      <c r="F69">
        <v>269.99</v>
      </c>
      <c r="G69">
        <v>269.99</v>
      </c>
      <c r="H69">
        <v>3539.89</v>
      </c>
      <c r="I69" t="s">
        <v>13</v>
      </c>
    </row>
    <row r="70" spans="1:9" x14ac:dyDescent="0.2">
      <c r="A70" t="s">
        <v>136</v>
      </c>
      <c r="B70" t="s">
        <v>103</v>
      </c>
      <c r="C70" t="s">
        <v>16</v>
      </c>
      <c r="D70" t="s">
        <v>17</v>
      </c>
      <c r="E70">
        <v>43321.42</v>
      </c>
      <c r="F70">
        <v>3898.93</v>
      </c>
      <c r="G70">
        <v>3898.93</v>
      </c>
      <c r="H70">
        <v>51119.28</v>
      </c>
      <c r="I70" t="s">
        <v>13</v>
      </c>
    </row>
    <row r="71" spans="1:9" x14ac:dyDescent="0.2">
      <c r="A71" t="s">
        <v>137</v>
      </c>
      <c r="B71" t="s">
        <v>83</v>
      </c>
      <c r="C71" t="s">
        <v>11</v>
      </c>
      <c r="D71" t="s">
        <v>12</v>
      </c>
      <c r="E71">
        <v>5859.28</v>
      </c>
      <c r="F71">
        <v>527.34</v>
      </c>
      <c r="G71">
        <v>527.34</v>
      </c>
      <c r="H71">
        <v>6913.96</v>
      </c>
      <c r="I71" t="s">
        <v>13</v>
      </c>
    </row>
    <row r="72" spans="1:9" x14ac:dyDescent="0.2">
      <c r="A72" t="s">
        <v>138</v>
      </c>
      <c r="B72" t="s">
        <v>93</v>
      </c>
      <c r="C72" t="s">
        <v>32</v>
      </c>
      <c r="D72" t="s">
        <v>33</v>
      </c>
      <c r="E72">
        <v>45087.519999999997</v>
      </c>
      <c r="F72">
        <v>4057.88</v>
      </c>
      <c r="G72">
        <v>4057.88</v>
      </c>
      <c r="H72">
        <v>53203.28</v>
      </c>
      <c r="I72" t="s">
        <v>13</v>
      </c>
    </row>
    <row r="73" spans="1:9" x14ac:dyDescent="0.2">
      <c r="A73" t="s">
        <v>139</v>
      </c>
      <c r="B73" t="s">
        <v>140</v>
      </c>
      <c r="C73" t="s">
        <v>20</v>
      </c>
      <c r="D73" t="s">
        <v>21</v>
      </c>
      <c r="E73">
        <v>6621.01</v>
      </c>
      <c r="F73">
        <v>595.89</v>
      </c>
      <c r="G73">
        <v>595.89</v>
      </c>
      <c r="H73">
        <v>7812.79</v>
      </c>
      <c r="I73" t="s">
        <v>13</v>
      </c>
    </row>
    <row r="74" spans="1:9" x14ac:dyDescent="0.2">
      <c r="A74" t="s">
        <v>141</v>
      </c>
      <c r="B74" t="s">
        <v>71</v>
      </c>
      <c r="C74" t="s">
        <v>16</v>
      </c>
      <c r="D74" t="s">
        <v>17</v>
      </c>
      <c r="E74">
        <v>10547.14</v>
      </c>
      <c r="F74">
        <v>949.24</v>
      </c>
      <c r="G74">
        <v>949.24</v>
      </c>
      <c r="H74">
        <v>12445.62</v>
      </c>
      <c r="I74" t="s">
        <v>13</v>
      </c>
    </row>
    <row r="75" spans="1:9" x14ac:dyDescent="0.2">
      <c r="A75" t="s">
        <v>142</v>
      </c>
      <c r="B75" t="s">
        <v>81</v>
      </c>
      <c r="C75" t="s">
        <v>24</v>
      </c>
      <c r="D75" t="s">
        <v>25</v>
      </c>
      <c r="E75">
        <v>30113.66</v>
      </c>
      <c r="F75">
        <v>2710.23</v>
      </c>
      <c r="G75">
        <v>2710.23</v>
      </c>
      <c r="H75">
        <v>35534.120000000003</v>
      </c>
      <c r="I75" t="s">
        <v>13</v>
      </c>
    </row>
    <row r="76" spans="1:9" x14ac:dyDescent="0.2">
      <c r="A76" t="s">
        <v>143</v>
      </c>
      <c r="B76" t="s">
        <v>128</v>
      </c>
      <c r="C76" t="s">
        <v>20</v>
      </c>
      <c r="D76" t="s">
        <v>21</v>
      </c>
      <c r="E76">
        <v>42518.48</v>
      </c>
      <c r="F76">
        <v>3826.66</v>
      </c>
      <c r="G76">
        <v>3826.66</v>
      </c>
      <c r="H76">
        <v>50171.8</v>
      </c>
      <c r="I76" t="s">
        <v>13</v>
      </c>
    </row>
    <row r="77" spans="1:9" x14ac:dyDescent="0.2">
      <c r="A77" t="s">
        <v>144</v>
      </c>
      <c r="B77" t="s">
        <v>95</v>
      </c>
      <c r="C77" t="s">
        <v>32</v>
      </c>
      <c r="D77" t="s">
        <v>33</v>
      </c>
      <c r="E77">
        <v>29881.43</v>
      </c>
      <c r="F77">
        <v>2689.33</v>
      </c>
      <c r="G77">
        <v>2689.33</v>
      </c>
      <c r="H77">
        <v>35260.089999999997</v>
      </c>
      <c r="I77" t="s">
        <v>13</v>
      </c>
    </row>
    <row r="78" spans="1:9" x14ac:dyDescent="0.2">
      <c r="A78" t="s">
        <v>145</v>
      </c>
      <c r="B78" t="s">
        <v>146</v>
      </c>
      <c r="C78" t="s">
        <v>16</v>
      </c>
      <c r="D78" t="s">
        <v>17</v>
      </c>
      <c r="E78">
        <v>9695.99</v>
      </c>
      <c r="F78">
        <v>872.64</v>
      </c>
      <c r="G78">
        <v>872.64</v>
      </c>
      <c r="H78">
        <v>11441.27</v>
      </c>
      <c r="I78" t="s">
        <v>13</v>
      </c>
    </row>
    <row r="79" spans="1:9" x14ac:dyDescent="0.2">
      <c r="A79" t="s">
        <v>147</v>
      </c>
      <c r="B79" t="s">
        <v>60</v>
      </c>
      <c r="C79" t="s">
        <v>24</v>
      </c>
      <c r="D79" t="s">
        <v>25</v>
      </c>
      <c r="E79">
        <v>42333.26</v>
      </c>
      <c r="F79">
        <v>3809.99</v>
      </c>
      <c r="G79">
        <v>3809.99</v>
      </c>
      <c r="H79">
        <v>49953.24</v>
      </c>
      <c r="I79" t="s">
        <v>13</v>
      </c>
    </row>
    <row r="80" spans="1:9" x14ac:dyDescent="0.2">
      <c r="A80" t="s">
        <v>148</v>
      </c>
      <c r="B80" t="s">
        <v>146</v>
      </c>
      <c r="C80" t="s">
        <v>24</v>
      </c>
      <c r="D80" t="s">
        <v>25</v>
      </c>
      <c r="E80">
        <v>24042.9</v>
      </c>
      <c r="F80">
        <v>2163.86</v>
      </c>
      <c r="G80">
        <v>2163.86</v>
      </c>
      <c r="H80">
        <v>28370.62</v>
      </c>
      <c r="I80" t="s">
        <v>13</v>
      </c>
    </row>
    <row r="81" spans="1:9" x14ac:dyDescent="0.2">
      <c r="A81" t="s">
        <v>149</v>
      </c>
      <c r="B81" t="s">
        <v>150</v>
      </c>
      <c r="C81" t="s">
        <v>24</v>
      </c>
      <c r="D81" t="s">
        <v>25</v>
      </c>
      <c r="E81">
        <v>1256.1500000000001</v>
      </c>
      <c r="F81">
        <v>113.05</v>
      </c>
      <c r="G81">
        <v>113.05</v>
      </c>
      <c r="H81">
        <v>1482.25</v>
      </c>
      <c r="I81" t="s">
        <v>13</v>
      </c>
    </row>
    <row r="82" spans="1:9" x14ac:dyDescent="0.2">
      <c r="A82" t="s">
        <v>151</v>
      </c>
      <c r="B82" t="s">
        <v>152</v>
      </c>
      <c r="C82" t="s">
        <v>20</v>
      </c>
      <c r="D82" t="s">
        <v>21</v>
      </c>
      <c r="E82">
        <v>23038.61</v>
      </c>
      <c r="F82">
        <v>2073.4699999999998</v>
      </c>
      <c r="G82">
        <v>2073.4699999999998</v>
      </c>
      <c r="H82">
        <v>27185.55</v>
      </c>
      <c r="I82" t="s">
        <v>13</v>
      </c>
    </row>
    <row r="83" spans="1:9" x14ac:dyDescent="0.2">
      <c r="A83" t="s">
        <v>153</v>
      </c>
      <c r="B83" t="s">
        <v>124</v>
      </c>
      <c r="C83" t="s">
        <v>11</v>
      </c>
      <c r="D83" t="s">
        <v>12</v>
      </c>
      <c r="E83">
        <v>29316.880000000001</v>
      </c>
      <c r="F83">
        <v>2638.52</v>
      </c>
      <c r="G83">
        <v>2638.52</v>
      </c>
      <c r="H83">
        <v>34593.919999999998</v>
      </c>
      <c r="I83" t="s">
        <v>13</v>
      </c>
    </row>
    <row r="84" spans="1:9" x14ac:dyDescent="0.2">
      <c r="A84" t="s">
        <v>154</v>
      </c>
      <c r="B84" t="s">
        <v>155</v>
      </c>
      <c r="C84" t="s">
        <v>11</v>
      </c>
      <c r="D84" t="s">
        <v>12</v>
      </c>
      <c r="E84">
        <v>44882.64</v>
      </c>
      <c r="F84">
        <v>4039.44</v>
      </c>
      <c r="G84">
        <v>4039.44</v>
      </c>
      <c r="H84">
        <v>52961.52</v>
      </c>
      <c r="I84" t="s">
        <v>13</v>
      </c>
    </row>
    <row r="85" spans="1:9" x14ac:dyDescent="0.2">
      <c r="A85" t="s">
        <v>156</v>
      </c>
      <c r="B85" t="s">
        <v>157</v>
      </c>
      <c r="C85" t="s">
        <v>24</v>
      </c>
      <c r="D85" t="s">
        <v>25</v>
      </c>
      <c r="E85">
        <v>3670.87</v>
      </c>
      <c r="F85">
        <v>330.38</v>
      </c>
      <c r="G85">
        <v>330.38</v>
      </c>
      <c r="H85">
        <v>4331.63</v>
      </c>
      <c r="I85" t="s">
        <v>13</v>
      </c>
    </row>
    <row r="86" spans="1:9" x14ac:dyDescent="0.2">
      <c r="A86" t="s">
        <v>158</v>
      </c>
      <c r="B86" t="s">
        <v>159</v>
      </c>
      <c r="C86" t="s">
        <v>32</v>
      </c>
      <c r="D86" t="s">
        <v>33</v>
      </c>
      <c r="E86">
        <v>38675.870000000003</v>
      </c>
      <c r="F86">
        <v>3480.83</v>
      </c>
      <c r="G86">
        <v>3480.83</v>
      </c>
      <c r="H86">
        <v>45637.53</v>
      </c>
      <c r="I86" t="s">
        <v>13</v>
      </c>
    </row>
    <row r="87" spans="1:9" x14ac:dyDescent="0.2">
      <c r="A87" t="s">
        <v>160</v>
      </c>
      <c r="B87" t="s">
        <v>161</v>
      </c>
      <c r="C87" t="s">
        <v>20</v>
      </c>
      <c r="D87" t="s">
        <v>21</v>
      </c>
      <c r="E87">
        <v>38816.519999999997</v>
      </c>
      <c r="F87">
        <v>3493.49</v>
      </c>
      <c r="G87">
        <v>3493.49</v>
      </c>
      <c r="H87">
        <v>45803.5</v>
      </c>
      <c r="I87" t="s">
        <v>13</v>
      </c>
    </row>
    <row r="88" spans="1:9" x14ac:dyDescent="0.2">
      <c r="A88" t="s">
        <v>162</v>
      </c>
      <c r="B88" t="s">
        <v>159</v>
      </c>
      <c r="C88" t="s">
        <v>20</v>
      </c>
      <c r="D88" t="s">
        <v>21</v>
      </c>
      <c r="E88">
        <v>26767.42</v>
      </c>
      <c r="F88">
        <v>2409.0700000000002</v>
      </c>
      <c r="G88">
        <v>2409.0700000000002</v>
      </c>
      <c r="H88">
        <v>31585.56</v>
      </c>
      <c r="I88" t="s">
        <v>13</v>
      </c>
    </row>
    <row r="89" spans="1:9" x14ac:dyDescent="0.2">
      <c r="A89" t="s">
        <v>163</v>
      </c>
      <c r="B89" t="s">
        <v>157</v>
      </c>
      <c r="C89" t="s">
        <v>24</v>
      </c>
      <c r="D89" t="s">
        <v>25</v>
      </c>
      <c r="E89">
        <v>20569.27</v>
      </c>
      <c r="F89">
        <v>1851.23</v>
      </c>
      <c r="G89">
        <v>1851.23</v>
      </c>
      <c r="H89">
        <v>24271.73</v>
      </c>
      <c r="I89" t="s">
        <v>13</v>
      </c>
    </row>
    <row r="90" spans="1:9" x14ac:dyDescent="0.2">
      <c r="A90" t="s">
        <v>164</v>
      </c>
      <c r="B90" t="s">
        <v>165</v>
      </c>
      <c r="C90" t="s">
        <v>16</v>
      </c>
      <c r="D90" t="s">
        <v>17</v>
      </c>
      <c r="E90">
        <v>30282.04</v>
      </c>
      <c r="F90">
        <v>2725.38</v>
      </c>
      <c r="G90">
        <v>2725.38</v>
      </c>
      <c r="H90">
        <v>35732.800000000003</v>
      </c>
      <c r="I90" t="s">
        <v>13</v>
      </c>
    </row>
    <row r="91" spans="1:9" x14ac:dyDescent="0.2">
      <c r="A91" t="s">
        <v>166</v>
      </c>
      <c r="B91" t="s">
        <v>146</v>
      </c>
      <c r="C91" t="s">
        <v>11</v>
      </c>
      <c r="D91" t="s">
        <v>12</v>
      </c>
      <c r="E91">
        <v>44678.11</v>
      </c>
      <c r="F91">
        <v>4021.03</v>
      </c>
      <c r="G91">
        <v>4021.03</v>
      </c>
      <c r="H91">
        <v>52720.17</v>
      </c>
      <c r="I91" t="s">
        <v>13</v>
      </c>
    </row>
    <row r="92" spans="1:9" x14ac:dyDescent="0.2">
      <c r="A92" t="s">
        <v>167</v>
      </c>
      <c r="B92" t="s">
        <v>168</v>
      </c>
      <c r="C92" t="s">
        <v>32</v>
      </c>
      <c r="D92" t="s">
        <v>33</v>
      </c>
      <c r="E92">
        <v>13168.6</v>
      </c>
      <c r="F92">
        <v>1185.17</v>
      </c>
      <c r="G92">
        <v>1185.17</v>
      </c>
      <c r="H92">
        <v>15538.94</v>
      </c>
      <c r="I92" t="s">
        <v>13</v>
      </c>
    </row>
    <row r="93" spans="1:9" x14ac:dyDescent="0.2">
      <c r="A93" t="s">
        <v>169</v>
      </c>
      <c r="B93" t="s">
        <v>170</v>
      </c>
      <c r="C93" t="s">
        <v>32</v>
      </c>
      <c r="D93" t="s">
        <v>33</v>
      </c>
      <c r="E93">
        <v>28782.54</v>
      </c>
      <c r="F93">
        <v>2590.4299999999998</v>
      </c>
      <c r="G93">
        <v>2590.4299999999998</v>
      </c>
      <c r="H93">
        <v>33963.4</v>
      </c>
      <c r="I93" t="s">
        <v>13</v>
      </c>
    </row>
    <row r="94" spans="1:9" x14ac:dyDescent="0.2">
      <c r="A94" t="s">
        <v>171</v>
      </c>
      <c r="B94" t="s">
        <v>172</v>
      </c>
      <c r="C94" t="s">
        <v>24</v>
      </c>
      <c r="D94" t="s">
        <v>25</v>
      </c>
      <c r="E94">
        <v>30722.12</v>
      </c>
      <c r="F94">
        <v>2764.99</v>
      </c>
      <c r="G94">
        <v>2764.99</v>
      </c>
      <c r="H94">
        <v>36252.1</v>
      </c>
      <c r="I94" t="s">
        <v>13</v>
      </c>
    </row>
    <row r="95" spans="1:9" x14ac:dyDescent="0.2">
      <c r="A95" t="s">
        <v>173</v>
      </c>
      <c r="B95" t="s">
        <v>174</v>
      </c>
      <c r="C95" t="s">
        <v>32</v>
      </c>
      <c r="D95" t="s">
        <v>33</v>
      </c>
      <c r="E95">
        <v>21429.09</v>
      </c>
      <c r="F95">
        <v>1928.62</v>
      </c>
      <c r="G95">
        <v>1928.62</v>
      </c>
      <c r="H95">
        <v>25286.33</v>
      </c>
      <c r="I95" t="s">
        <v>13</v>
      </c>
    </row>
    <row r="96" spans="1:9" x14ac:dyDescent="0.2">
      <c r="A96" t="s">
        <v>175</v>
      </c>
      <c r="B96" t="s">
        <v>176</v>
      </c>
      <c r="C96" t="s">
        <v>20</v>
      </c>
      <c r="D96" t="s">
        <v>21</v>
      </c>
      <c r="E96">
        <v>47423.23</v>
      </c>
      <c r="F96">
        <v>4268.09</v>
      </c>
      <c r="G96">
        <v>4268.09</v>
      </c>
      <c r="H96">
        <v>55959.41</v>
      </c>
      <c r="I96" t="s">
        <v>13</v>
      </c>
    </row>
    <row r="97" spans="1:9" x14ac:dyDescent="0.2">
      <c r="A97" t="s">
        <v>177</v>
      </c>
      <c r="B97" t="s">
        <v>83</v>
      </c>
      <c r="C97" t="s">
        <v>32</v>
      </c>
      <c r="D97" t="s">
        <v>33</v>
      </c>
      <c r="E97">
        <v>7177.44</v>
      </c>
      <c r="F97">
        <v>645.97</v>
      </c>
      <c r="G97">
        <v>645.97</v>
      </c>
      <c r="H97">
        <v>8469.3799999999992</v>
      </c>
      <c r="I97" t="s">
        <v>13</v>
      </c>
    </row>
    <row r="98" spans="1:9" x14ac:dyDescent="0.2">
      <c r="A98" t="s">
        <v>178</v>
      </c>
      <c r="B98" t="s">
        <v>114</v>
      </c>
      <c r="C98" t="s">
        <v>16</v>
      </c>
      <c r="D98" t="s">
        <v>17</v>
      </c>
      <c r="E98">
        <v>13381.51</v>
      </c>
      <c r="F98">
        <v>1204.3399999999999</v>
      </c>
      <c r="G98">
        <v>1204.3399999999999</v>
      </c>
      <c r="H98">
        <v>15790.19</v>
      </c>
      <c r="I98" t="s">
        <v>13</v>
      </c>
    </row>
    <row r="99" spans="1:9" x14ac:dyDescent="0.2">
      <c r="A99" t="s">
        <v>179</v>
      </c>
      <c r="B99" t="s">
        <v>124</v>
      </c>
      <c r="C99" t="s">
        <v>11</v>
      </c>
      <c r="D99" t="s">
        <v>12</v>
      </c>
      <c r="E99">
        <v>4577.5</v>
      </c>
      <c r="F99">
        <v>411.97</v>
      </c>
      <c r="G99">
        <v>411.97</v>
      </c>
      <c r="H99">
        <v>5401.44</v>
      </c>
      <c r="I99" t="s">
        <v>13</v>
      </c>
    </row>
    <row r="100" spans="1:9" x14ac:dyDescent="0.2">
      <c r="A100" t="s">
        <v>180</v>
      </c>
      <c r="B100" t="s">
        <v>75</v>
      </c>
      <c r="C100" t="s">
        <v>11</v>
      </c>
      <c r="D100" t="s">
        <v>12</v>
      </c>
      <c r="E100">
        <v>9316.02</v>
      </c>
      <c r="F100">
        <v>838.44</v>
      </c>
      <c r="G100">
        <v>838.44</v>
      </c>
      <c r="H100">
        <v>10992.9</v>
      </c>
      <c r="I100" t="s">
        <v>13</v>
      </c>
    </row>
    <row r="101" spans="1:9" x14ac:dyDescent="0.2">
      <c r="A101" t="s">
        <v>181</v>
      </c>
      <c r="B101" t="s">
        <v>146</v>
      </c>
      <c r="C101" t="s">
        <v>32</v>
      </c>
      <c r="D101" t="s">
        <v>33</v>
      </c>
      <c r="E101">
        <v>34772.1</v>
      </c>
      <c r="F101">
        <v>3129.49</v>
      </c>
      <c r="G101">
        <v>3129.49</v>
      </c>
      <c r="H101">
        <v>41031.08</v>
      </c>
      <c r="I101" t="s">
        <v>13</v>
      </c>
    </row>
    <row r="102" spans="1:9" x14ac:dyDescent="0.2">
      <c r="A102" t="s">
        <v>182</v>
      </c>
      <c r="B102" t="s">
        <v>107</v>
      </c>
      <c r="C102" t="s">
        <v>20</v>
      </c>
      <c r="D102" t="s">
        <v>21</v>
      </c>
      <c r="E102">
        <v>48040.3</v>
      </c>
      <c r="F102">
        <v>4323.63</v>
      </c>
      <c r="G102">
        <v>4323.63</v>
      </c>
      <c r="H102">
        <v>56687.56</v>
      </c>
      <c r="I102" t="s">
        <v>13</v>
      </c>
    </row>
    <row r="103" spans="1:9" x14ac:dyDescent="0.2">
      <c r="A103" t="s">
        <v>183</v>
      </c>
      <c r="B103" t="s">
        <v>121</v>
      </c>
      <c r="C103" t="s">
        <v>32</v>
      </c>
      <c r="D103" t="s">
        <v>33</v>
      </c>
      <c r="E103">
        <v>17782.43</v>
      </c>
      <c r="F103">
        <v>1600.42</v>
      </c>
      <c r="G103">
        <v>1600.42</v>
      </c>
      <c r="H103">
        <v>20983.27</v>
      </c>
      <c r="I103" t="s">
        <v>13</v>
      </c>
    </row>
    <row r="104" spans="1:9" x14ac:dyDescent="0.2">
      <c r="A104" t="s">
        <v>184</v>
      </c>
      <c r="B104" t="s">
        <v>185</v>
      </c>
      <c r="C104" t="s">
        <v>16</v>
      </c>
      <c r="D104" t="s">
        <v>17</v>
      </c>
      <c r="E104">
        <v>16896.13</v>
      </c>
      <c r="F104">
        <v>1520.65</v>
      </c>
      <c r="G104">
        <v>1520.65</v>
      </c>
      <c r="H104">
        <v>19937.43</v>
      </c>
      <c r="I104" t="s">
        <v>13</v>
      </c>
    </row>
    <row r="105" spans="1:9" x14ac:dyDescent="0.2">
      <c r="A105" t="s">
        <v>186</v>
      </c>
      <c r="B105" t="s">
        <v>87</v>
      </c>
      <c r="C105" t="s">
        <v>11</v>
      </c>
      <c r="D105" t="s">
        <v>12</v>
      </c>
      <c r="E105">
        <v>47058.239999999998</v>
      </c>
      <c r="F105">
        <v>4235.24</v>
      </c>
      <c r="G105">
        <v>4235.24</v>
      </c>
      <c r="H105">
        <v>55528.72</v>
      </c>
      <c r="I105" t="s">
        <v>13</v>
      </c>
    </row>
    <row r="106" spans="1:9" x14ac:dyDescent="0.2">
      <c r="A106" t="s">
        <v>187</v>
      </c>
      <c r="B106" t="s">
        <v>188</v>
      </c>
      <c r="C106" t="s">
        <v>11</v>
      </c>
      <c r="D106" t="s">
        <v>12</v>
      </c>
      <c r="E106">
        <v>3049.25</v>
      </c>
      <c r="F106">
        <v>274.43</v>
      </c>
      <c r="G106">
        <v>274.43</v>
      </c>
      <c r="H106">
        <v>3598.11</v>
      </c>
      <c r="I106" t="s">
        <v>13</v>
      </c>
    </row>
    <row r="107" spans="1:9" x14ac:dyDescent="0.2">
      <c r="A107" t="s">
        <v>189</v>
      </c>
      <c r="B107" t="s">
        <v>105</v>
      </c>
      <c r="C107" t="s">
        <v>20</v>
      </c>
      <c r="D107" t="s">
        <v>21</v>
      </c>
      <c r="E107">
        <v>24144.29</v>
      </c>
      <c r="F107">
        <v>2172.9899999999998</v>
      </c>
      <c r="G107">
        <v>2172.9899999999998</v>
      </c>
      <c r="H107">
        <v>28490.27</v>
      </c>
      <c r="I107" t="s">
        <v>13</v>
      </c>
    </row>
    <row r="108" spans="1:9" x14ac:dyDescent="0.2">
      <c r="A108" t="s">
        <v>190</v>
      </c>
      <c r="B108" t="s">
        <v>116</v>
      </c>
      <c r="C108" t="s">
        <v>16</v>
      </c>
      <c r="D108" t="s">
        <v>17</v>
      </c>
      <c r="E108">
        <v>49107.12</v>
      </c>
      <c r="F108">
        <v>4419.6400000000003</v>
      </c>
      <c r="G108">
        <v>4419.6400000000003</v>
      </c>
      <c r="H108">
        <v>57946.400000000001</v>
      </c>
      <c r="I108" t="s">
        <v>13</v>
      </c>
    </row>
    <row r="109" spans="1:9" x14ac:dyDescent="0.2">
      <c r="A109" t="s">
        <v>191</v>
      </c>
      <c r="B109" t="s">
        <v>192</v>
      </c>
      <c r="C109" t="s">
        <v>16</v>
      </c>
      <c r="D109" t="s">
        <v>17</v>
      </c>
      <c r="E109">
        <v>13242.61</v>
      </c>
      <c r="F109">
        <v>1191.83</v>
      </c>
      <c r="G109">
        <v>1191.83</v>
      </c>
      <c r="H109">
        <v>15626.27</v>
      </c>
      <c r="I109" t="s">
        <v>13</v>
      </c>
    </row>
    <row r="110" spans="1:9" x14ac:dyDescent="0.2">
      <c r="A110" t="s">
        <v>193</v>
      </c>
      <c r="B110" t="s">
        <v>112</v>
      </c>
      <c r="C110" t="s">
        <v>16</v>
      </c>
      <c r="D110" t="s">
        <v>17</v>
      </c>
      <c r="E110">
        <v>45305.05</v>
      </c>
      <c r="F110">
        <v>4077.45</v>
      </c>
      <c r="G110">
        <v>4077.45</v>
      </c>
      <c r="H110">
        <v>53459.95</v>
      </c>
      <c r="I110" t="s">
        <v>13</v>
      </c>
    </row>
    <row r="111" spans="1:9" x14ac:dyDescent="0.2">
      <c r="A111" t="s">
        <v>194</v>
      </c>
      <c r="B111" t="s">
        <v>195</v>
      </c>
      <c r="C111" t="s">
        <v>24</v>
      </c>
      <c r="D111" t="s">
        <v>25</v>
      </c>
      <c r="E111">
        <v>14180.68</v>
      </c>
      <c r="F111">
        <v>1276.26</v>
      </c>
      <c r="G111">
        <v>1276.26</v>
      </c>
      <c r="H111">
        <v>16733.2</v>
      </c>
      <c r="I111" t="s">
        <v>13</v>
      </c>
    </row>
    <row r="112" spans="1:9" x14ac:dyDescent="0.2">
      <c r="A112" t="s">
        <v>196</v>
      </c>
      <c r="B112" t="s">
        <v>168</v>
      </c>
      <c r="C112" t="s">
        <v>24</v>
      </c>
      <c r="D112" t="s">
        <v>25</v>
      </c>
      <c r="E112">
        <v>17817.560000000001</v>
      </c>
      <c r="F112">
        <v>1603.58</v>
      </c>
      <c r="G112">
        <v>1603.58</v>
      </c>
      <c r="H112">
        <v>21024.720000000001</v>
      </c>
      <c r="I112" t="s">
        <v>13</v>
      </c>
    </row>
    <row r="113" spans="1:9" x14ac:dyDescent="0.2">
      <c r="A113" t="s">
        <v>197</v>
      </c>
      <c r="B113" t="s">
        <v>87</v>
      </c>
      <c r="C113" t="s">
        <v>32</v>
      </c>
      <c r="D113" t="s">
        <v>33</v>
      </c>
      <c r="E113">
        <v>8614.41</v>
      </c>
      <c r="F113">
        <v>775.3</v>
      </c>
      <c r="G113">
        <v>775.3</v>
      </c>
      <c r="H113">
        <v>10165.01</v>
      </c>
      <c r="I113" t="s">
        <v>13</v>
      </c>
    </row>
    <row r="114" spans="1:9" x14ac:dyDescent="0.2">
      <c r="A114" t="s">
        <v>198</v>
      </c>
      <c r="B114" t="s">
        <v>121</v>
      </c>
      <c r="C114" t="s">
        <v>24</v>
      </c>
      <c r="D114" t="s">
        <v>25</v>
      </c>
      <c r="E114">
        <v>4767.2700000000004</v>
      </c>
      <c r="F114">
        <v>429.05</v>
      </c>
      <c r="G114">
        <v>429.05</v>
      </c>
      <c r="H114">
        <v>5625.37</v>
      </c>
      <c r="I114" t="s">
        <v>13</v>
      </c>
    </row>
    <row r="115" spans="1:9" x14ac:dyDescent="0.2">
      <c r="A115" t="s">
        <v>199</v>
      </c>
      <c r="B115" t="s">
        <v>97</v>
      </c>
      <c r="C115" t="s">
        <v>32</v>
      </c>
      <c r="D115" t="s">
        <v>33</v>
      </c>
      <c r="E115">
        <v>12689.1</v>
      </c>
      <c r="F115">
        <v>1142.02</v>
      </c>
      <c r="G115">
        <v>1142.02</v>
      </c>
      <c r="H115">
        <v>14973.14</v>
      </c>
      <c r="I115" t="s">
        <v>13</v>
      </c>
    </row>
    <row r="116" spans="1:9" x14ac:dyDescent="0.2">
      <c r="A116" t="s">
        <v>200</v>
      </c>
      <c r="B116" t="s">
        <v>201</v>
      </c>
      <c r="C116" t="s">
        <v>11</v>
      </c>
      <c r="D116" t="s">
        <v>12</v>
      </c>
      <c r="E116">
        <v>5592.5</v>
      </c>
      <c r="F116">
        <v>503.32</v>
      </c>
      <c r="G116">
        <v>503.32</v>
      </c>
      <c r="H116">
        <v>6599.14</v>
      </c>
      <c r="I116" t="s">
        <v>13</v>
      </c>
    </row>
    <row r="117" spans="1:9" x14ac:dyDescent="0.2">
      <c r="A117" t="s">
        <v>202</v>
      </c>
      <c r="B117" t="s">
        <v>107</v>
      </c>
      <c r="C117" t="s">
        <v>32</v>
      </c>
      <c r="D117" t="s">
        <v>33</v>
      </c>
      <c r="E117">
        <v>30673.94</v>
      </c>
      <c r="F117">
        <v>2760.65</v>
      </c>
      <c r="G117">
        <v>2760.65</v>
      </c>
      <c r="H117">
        <v>36195.24</v>
      </c>
      <c r="I117" t="s">
        <v>13</v>
      </c>
    </row>
    <row r="118" spans="1:9" x14ac:dyDescent="0.2">
      <c r="A118" t="s">
        <v>203</v>
      </c>
      <c r="B118" t="s">
        <v>159</v>
      </c>
      <c r="C118" t="s">
        <v>16</v>
      </c>
      <c r="D118" t="s">
        <v>17</v>
      </c>
      <c r="E118">
        <v>38301.43</v>
      </c>
      <c r="F118">
        <v>3447.13</v>
      </c>
      <c r="G118">
        <v>3447.13</v>
      </c>
      <c r="H118">
        <v>45195.69</v>
      </c>
      <c r="I118" t="s">
        <v>13</v>
      </c>
    </row>
    <row r="119" spans="1:9" x14ac:dyDescent="0.2">
      <c r="A119" t="s">
        <v>204</v>
      </c>
      <c r="B119" t="s">
        <v>205</v>
      </c>
      <c r="C119" t="s">
        <v>16</v>
      </c>
      <c r="D119" t="s">
        <v>17</v>
      </c>
      <c r="E119">
        <v>34201.910000000003</v>
      </c>
      <c r="F119">
        <v>3078.17</v>
      </c>
      <c r="G119">
        <v>3078.17</v>
      </c>
      <c r="H119">
        <v>40358.25</v>
      </c>
      <c r="I119" t="s">
        <v>13</v>
      </c>
    </row>
    <row r="120" spans="1:9" x14ac:dyDescent="0.2">
      <c r="A120" t="s">
        <v>206</v>
      </c>
      <c r="B120" t="s">
        <v>165</v>
      </c>
      <c r="C120" t="s">
        <v>32</v>
      </c>
      <c r="D120" t="s">
        <v>33</v>
      </c>
      <c r="E120">
        <v>10214.33</v>
      </c>
      <c r="F120">
        <v>919.29</v>
      </c>
      <c r="G120">
        <v>919.29</v>
      </c>
      <c r="H120">
        <v>12052.91</v>
      </c>
      <c r="I120" t="s">
        <v>13</v>
      </c>
    </row>
    <row r="121" spans="1:9" x14ac:dyDescent="0.2">
      <c r="A121" t="s">
        <v>207</v>
      </c>
      <c r="B121" t="s">
        <v>36</v>
      </c>
      <c r="C121" t="s">
        <v>16</v>
      </c>
      <c r="D121" t="s">
        <v>17</v>
      </c>
      <c r="E121">
        <v>10961.64</v>
      </c>
      <c r="F121">
        <v>986.55</v>
      </c>
      <c r="G121">
        <v>986.55</v>
      </c>
      <c r="H121">
        <v>12934.74</v>
      </c>
      <c r="I121" t="s">
        <v>13</v>
      </c>
    </row>
    <row r="122" spans="1:9" x14ac:dyDescent="0.2">
      <c r="A122" t="s">
        <v>208</v>
      </c>
      <c r="B122" t="s">
        <v>87</v>
      </c>
      <c r="C122" t="s">
        <v>11</v>
      </c>
      <c r="D122" t="s">
        <v>12</v>
      </c>
      <c r="E122">
        <v>19990.240000000002</v>
      </c>
      <c r="F122">
        <v>1799.12</v>
      </c>
      <c r="G122">
        <v>1799.12</v>
      </c>
      <c r="H122">
        <v>23588.48</v>
      </c>
      <c r="I122" t="s">
        <v>13</v>
      </c>
    </row>
    <row r="123" spans="1:9" x14ac:dyDescent="0.2">
      <c r="A123" t="s">
        <v>209</v>
      </c>
      <c r="B123" t="s">
        <v>56</v>
      </c>
      <c r="C123" t="s">
        <v>16</v>
      </c>
      <c r="D123" t="s">
        <v>17</v>
      </c>
      <c r="E123">
        <v>5922.37</v>
      </c>
      <c r="F123">
        <v>533.01</v>
      </c>
      <c r="G123">
        <v>533.01</v>
      </c>
      <c r="H123">
        <v>6988.39</v>
      </c>
      <c r="I123" t="s">
        <v>13</v>
      </c>
    </row>
    <row r="124" spans="1:9" x14ac:dyDescent="0.2">
      <c r="A124" t="s">
        <v>210</v>
      </c>
      <c r="B124" t="s">
        <v>87</v>
      </c>
      <c r="C124" t="s">
        <v>11</v>
      </c>
      <c r="D124" t="s">
        <v>12</v>
      </c>
      <c r="E124">
        <v>41982.48</v>
      </c>
      <c r="F124">
        <v>3778.42</v>
      </c>
      <c r="G124">
        <v>3778.42</v>
      </c>
      <c r="H124">
        <v>49539.32</v>
      </c>
      <c r="I124" t="s">
        <v>13</v>
      </c>
    </row>
    <row r="125" spans="1:9" x14ac:dyDescent="0.2">
      <c r="A125" t="s">
        <v>211</v>
      </c>
      <c r="B125" t="s">
        <v>212</v>
      </c>
      <c r="C125" t="s">
        <v>11</v>
      </c>
      <c r="D125" t="s">
        <v>12</v>
      </c>
      <c r="E125">
        <v>38965.550000000003</v>
      </c>
      <c r="F125">
        <v>3506.9</v>
      </c>
      <c r="G125">
        <v>3506.9</v>
      </c>
      <c r="H125">
        <v>45979.35</v>
      </c>
      <c r="I125" t="s">
        <v>13</v>
      </c>
    </row>
    <row r="126" spans="1:9" x14ac:dyDescent="0.2">
      <c r="A126" t="s">
        <v>213</v>
      </c>
      <c r="B126" t="s">
        <v>130</v>
      </c>
      <c r="C126" t="s">
        <v>20</v>
      </c>
      <c r="D126" t="s">
        <v>21</v>
      </c>
      <c r="E126">
        <v>20530.77</v>
      </c>
      <c r="F126">
        <v>1847.77</v>
      </c>
      <c r="G126">
        <v>1847.77</v>
      </c>
      <c r="H126">
        <v>24226.31</v>
      </c>
      <c r="I126" t="s">
        <v>13</v>
      </c>
    </row>
    <row r="127" spans="1:9" x14ac:dyDescent="0.2">
      <c r="A127" t="s">
        <v>214</v>
      </c>
      <c r="B127" t="s">
        <v>215</v>
      </c>
      <c r="C127" t="s">
        <v>16</v>
      </c>
      <c r="D127" t="s">
        <v>17</v>
      </c>
      <c r="E127">
        <v>38008.300000000003</v>
      </c>
      <c r="F127">
        <v>3420.75</v>
      </c>
      <c r="G127">
        <v>3420.75</v>
      </c>
      <c r="H127">
        <v>44849.8</v>
      </c>
      <c r="I127" t="s">
        <v>13</v>
      </c>
    </row>
    <row r="128" spans="1:9" x14ac:dyDescent="0.2">
      <c r="A128" t="s">
        <v>216</v>
      </c>
      <c r="B128" t="s">
        <v>83</v>
      </c>
      <c r="C128" t="s">
        <v>11</v>
      </c>
      <c r="D128" t="s">
        <v>12</v>
      </c>
      <c r="E128">
        <v>31223.21</v>
      </c>
      <c r="F128">
        <v>2810.09</v>
      </c>
      <c r="G128">
        <v>2810.09</v>
      </c>
      <c r="H128">
        <v>36843.39</v>
      </c>
      <c r="I128" t="s">
        <v>13</v>
      </c>
    </row>
    <row r="129" spans="1:9" x14ac:dyDescent="0.2">
      <c r="A129" t="s">
        <v>217</v>
      </c>
      <c r="B129" t="s">
        <v>87</v>
      </c>
      <c r="C129" t="s">
        <v>32</v>
      </c>
      <c r="D129" t="s">
        <v>33</v>
      </c>
      <c r="E129">
        <v>2341.7399999999998</v>
      </c>
      <c r="F129">
        <v>210.76</v>
      </c>
      <c r="G129">
        <v>210.76</v>
      </c>
      <c r="H129">
        <v>2763.26</v>
      </c>
      <c r="I129" t="s">
        <v>13</v>
      </c>
    </row>
    <row r="130" spans="1:9" x14ac:dyDescent="0.2">
      <c r="A130" t="s">
        <v>218</v>
      </c>
      <c r="B130" t="s">
        <v>93</v>
      </c>
      <c r="C130" t="s">
        <v>11</v>
      </c>
      <c r="D130" t="s">
        <v>12</v>
      </c>
      <c r="E130">
        <v>8176.91</v>
      </c>
      <c r="F130">
        <v>735.92</v>
      </c>
      <c r="G130">
        <v>735.92</v>
      </c>
      <c r="H130">
        <v>9648.75</v>
      </c>
      <c r="I130" t="s">
        <v>13</v>
      </c>
    </row>
    <row r="131" spans="1:9" x14ac:dyDescent="0.2">
      <c r="A131" t="s">
        <v>219</v>
      </c>
      <c r="B131" t="s">
        <v>152</v>
      </c>
      <c r="C131" t="s">
        <v>24</v>
      </c>
      <c r="D131" t="s">
        <v>25</v>
      </c>
      <c r="E131">
        <v>27506.42</v>
      </c>
      <c r="F131">
        <v>2475.58</v>
      </c>
      <c r="G131">
        <v>2475.58</v>
      </c>
      <c r="H131">
        <v>32457.58</v>
      </c>
      <c r="I131" t="s">
        <v>13</v>
      </c>
    </row>
    <row r="132" spans="1:9" x14ac:dyDescent="0.2">
      <c r="A132" t="s">
        <v>220</v>
      </c>
      <c r="B132" t="s">
        <v>42</v>
      </c>
      <c r="C132" t="s">
        <v>20</v>
      </c>
      <c r="D132" t="s">
        <v>21</v>
      </c>
      <c r="E132">
        <v>27514.05</v>
      </c>
      <c r="F132">
        <v>2476.2600000000002</v>
      </c>
      <c r="G132">
        <v>2476.2600000000002</v>
      </c>
      <c r="H132">
        <v>32466.57</v>
      </c>
      <c r="I132" t="s">
        <v>13</v>
      </c>
    </row>
    <row r="133" spans="1:9" x14ac:dyDescent="0.2">
      <c r="A133" t="s">
        <v>221</v>
      </c>
      <c r="B133" t="s">
        <v>73</v>
      </c>
      <c r="C133" t="s">
        <v>20</v>
      </c>
      <c r="D133" t="s">
        <v>21</v>
      </c>
      <c r="E133">
        <v>49176.07</v>
      </c>
      <c r="F133">
        <v>4425.8500000000004</v>
      </c>
      <c r="G133">
        <v>4425.8500000000004</v>
      </c>
      <c r="H133">
        <v>58027.77</v>
      </c>
      <c r="I133" t="s">
        <v>13</v>
      </c>
    </row>
    <row r="134" spans="1:9" x14ac:dyDescent="0.2">
      <c r="A134" t="s">
        <v>222</v>
      </c>
      <c r="B134" t="s">
        <v>19</v>
      </c>
      <c r="C134" t="s">
        <v>11</v>
      </c>
      <c r="D134" t="s">
        <v>12</v>
      </c>
      <c r="E134">
        <v>44464.6</v>
      </c>
      <c r="F134">
        <v>4001.81</v>
      </c>
      <c r="G134">
        <v>4001.81</v>
      </c>
      <c r="H134">
        <v>52468.22</v>
      </c>
      <c r="I134" t="s">
        <v>13</v>
      </c>
    </row>
    <row r="135" spans="1:9" x14ac:dyDescent="0.2">
      <c r="A135" t="s">
        <v>223</v>
      </c>
      <c r="B135" t="s">
        <v>63</v>
      </c>
      <c r="C135" t="s">
        <v>24</v>
      </c>
      <c r="D135" t="s">
        <v>25</v>
      </c>
      <c r="E135">
        <v>47113.82</v>
      </c>
      <c r="F135">
        <v>4240.24</v>
      </c>
      <c r="G135">
        <v>4240.24</v>
      </c>
      <c r="H135">
        <v>55594.3</v>
      </c>
      <c r="I135" t="s">
        <v>13</v>
      </c>
    </row>
    <row r="136" spans="1:9" x14ac:dyDescent="0.2">
      <c r="A136" t="s">
        <v>224</v>
      </c>
      <c r="B136" t="s">
        <v>195</v>
      </c>
      <c r="C136" t="s">
        <v>16</v>
      </c>
      <c r="D136" t="s">
        <v>17</v>
      </c>
      <c r="E136">
        <v>47712.6</v>
      </c>
      <c r="F136">
        <v>4294.13</v>
      </c>
      <c r="G136">
        <v>4294.13</v>
      </c>
      <c r="H136">
        <v>56300.86</v>
      </c>
      <c r="I136" t="s">
        <v>13</v>
      </c>
    </row>
    <row r="137" spans="1:9" x14ac:dyDescent="0.2">
      <c r="A137" t="s">
        <v>225</v>
      </c>
      <c r="B137" t="s">
        <v>75</v>
      </c>
      <c r="C137" t="s">
        <v>24</v>
      </c>
      <c r="D137" t="s">
        <v>25</v>
      </c>
      <c r="E137">
        <v>22775.75</v>
      </c>
      <c r="F137">
        <v>2049.8200000000002</v>
      </c>
      <c r="G137">
        <v>2049.8200000000002</v>
      </c>
      <c r="H137">
        <v>26875.39</v>
      </c>
      <c r="I137" t="s">
        <v>13</v>
      </c>
    </row>
    <row r="138" spans="1:9" x14ac:dyDescent="0.2">
      <c r="A138" t="s">
        <v>226</v>
      </c>
      <c r="B138" t="s">
        <v>205</v>
      </c>
      <c r="C138" t="s">
        <v>20</v>
      </c>
      <c r="D138" t="s">
        <v>21</v>
      </c>
      <c r="E138">
        <v>35684.67</v>
      </c>
      <c r="F138">
        <v>3211.62</v>
      </c>
      <c r="G138">
        <v>3211.62</v>
      </c>
      <c r="H138">
        <v>42107.91</v>
      </c>
      <c r="I138" t="s">
        <v>13</v>
      </c>
    </row>
    <row r="139" spans="1:9" x14ac:dyDescent="0.2">
      <c r="A139" t="s">
        <v>227</v>
      </c>
      <c r="B139" t="s">
        <v>146</v>
      </c>
      <c r="C139" t="s">
        <v>16</v>
      </c>
      <c r="D139" t="s">
        <v>17</v>
      </c>
      <c r="E139">
        <v>30143.56</v>
      </c>
      <c r="F139">
        <v>2712.92</v>
      </c>
      <c r="G139">
        <v>2712.92</v>
      </c>
      <c r="H139">
        <v>35569.4</v>
      </c>
      <c r="I139" t="s">
        <v>13</v>
      </c>
    </row>
    <row r="140" spans="1:9" x14ac:dyDescent="0.2">
      <c r="A140" t="s">
        <v>228</v>
      </c>
      <c r="B140" t="s">
        <v>56</v>
      </c>
      <c r="C140" t="s">
        <v>16</v>
      </c>
      <c r="D140" t="s">
        <v>17</v>
      </c>
      <c r="E140">
        <v>4818.29</v>
      </c>
      <c r="F140">
        <v>433.65</v>
      </c>
      <c r="G140">
        <v>433.65</v>
      </c>
      <c r="H140">
        <v>5685.59</v>
      </c>
      <c r="I140" t="s">
        <v>13</v>
      </c>
    </row>
    <row r="141" spans="1:9" x14ac:dyDescent="0.2">
      <c r="A141" t="s">
        <v>229</v>
      </c>
      <c r="B141" t="s">
        <v>176</v>
      </c>
      <c r="C141" t="s">
        <v>20</v>
      </c>
      <c r="D141" t="s">
        <v>21</v>
      </c>
      <c r="E141">
        <v>7467.08</v>
      </c>
      <c r="F141">
        <v>672.04</v>
      </c>
      <c r="G141">
        <v>672.04</v>
      </c>
      <c r="H141">
        <v>8811.16</v>
      </c>
      <c r="I141" t="s">
        <v>13</v>
      </c>
    </row>
    <row r="142" spans="1:9" x14ac:dyDescent="0.2">
      <c r="A142" t="s">
        <v>230</v>
      </c>
      <c r="B142" t="s">
        <v>165</v>
      </c>
      <c r="C142" t="s">
        <v>11</v>
      </c>
      <c r="D142" t="s">
        <v>12</v>
      </c>
      <c r="E142">
        <v>28382.5</v>
      </c>
      <c r="F142">
        <v>2554.42</v>
      </c>
      <c r="G142">
        <v>2554.42</v>
      </c>
      <c r="H142">
        <v>33491.339999999997</v>
      </c>
      <c r="I142" t="s">
        <v>13</v>
      </c>
    </row>
    <row r="143" spans="1:9" x14ac:dyDescent="0.2">
      <c r="A143" t="s">
        <v>231</v>
      </c>
      <c r="B143" t="s">
        <v>31</v>
      </c>
      <c r="C143" t="s">
        <v>32</v>
      </c>
      <c r="D143" t="s">
        <v>33</v>
      </c>
      <c r="E143">
        <v>22118</v>
      </c>
      <c r="F143">
        <v>1990.62</v>
      </c>
      <c r="G143">
        <v>1990.62</v>
      </c>
      <c r="H143">
        <v>26099.24</v>
      </c>
      <c r="I143" t="s">
        <v>13</v>
      </c>
    </row>
    <row r="144" spans="1:9" x14ac:dyDescent="0.2">
      <c r="A144" t="s">
        <v>232</v>
      </c>
      <c r="B144" t="s">
        <v>134</v>
      </c>
      <c r="C144" t="s">
        <v>32</v>
      </c>
      <c r="D144" t="s">
        <v>33</v>
      </c>
      <c r="E144">
        <v>20304.560000000001</v>
      </c>
      <c r="F144">
        <v>1827.41</v>
      </c>
      <c r="G144">
        <v>1827.41</v>
      </c>
      <c r="H144">
        <v>23959.38</v>
      </c>
      <c r="I144" t="s">
        <v>13</v>
      </c>
    </row>
    <row r="145" spans="1:9" x14ac:dyDescent="0.2">
      <c r="A145" t="s">
        <v>233</v>
      </c>
      <c r="B145" t="s">
        <v>234</v>
      </c>
      <c r="C145" t="s">
        <v>16</v>
      </c>
      <c r="D145" t="s">
        <v>17</v>
      </c>
      <c r="E145">
        <v>13147.54</v>
      </c>
      <c r="F145">
        <v>1183.28</v>
      </c>
      <c r="G145">
        <v>1183.28</v>
      </c>
      <c r="H145">
        <v>15514.1</v>
      </c>
      <c r="I145" t="s">
        <v>13</v>
      </c>
    </row>
    <row r="146" spans="1:9" x14ac:dyDescent="0.2">
      <c r="A146" t="s">
        <v>235</v>
      </c>
      <c r="B146" t="s">
        <v>146</v>
      </c>
      <c r="C146" t="s">
        <v>16</v>
      </c>
      <c r="D146" t="s">
        <v>17</v>
      </c>
      <c r="E146">
        <v>13876.49</v>
      </c>
      <c r="F146">
        <v>1248.8800000000001</v>
      </c>
      <c r="G146">
        <v>1248.8800000000001</v>
      </c>
      <c r="H146">
        <v>16374.25</v>
      </c>
      <c r="I146" t="s">
        <v>13</v>
      </c>
    </row>
    <row r="147" spans="1:9" x14ac:dyDescent="0.2">
      <c r="A147" t="s">
        <v>236</v>
      </c>
      <c r="B147" t="s">
        <v>36</v>
      </c>
      <c r="C147" t="s">
        <v>16</v>
      </c>
      <c r="D147" t="s">
        <v>17</v>
      </c>
      <c r="E147">
        <v>49589.47</v>
      </c>
      <c r="F147">
        <v>4463.05</v>
      </c>
      <c r="G147">
        <v>4463.05</v>
      </c>
      <c r="H147">
        <v>58515.57</v>
      </c>
      <c r="I147" t="s">
        <v>13</v>
      </c>
    </row>
    <row r="148" spans="1:9" x14ac:dyDescent="0.2">
      <c r="A148" t="s">
        <v>237</v>
      </c>
      <c r="B148" t="s">
        <v>238</v>
      </c>
      <c r="C148" t="s">
        <v>20</v>
      </c>
      <c r="D148" t="s">
        <v>21</v>
      </c>
      <c r="E148">
        <v>33740.379999999997</v>
      </c>
      <c r="F148">
        <v>3036.63</v>
      </c>
      <c r="G148">
        <v>3036.63</v>
      </c>
      <c r="H148">
        <v>39813.64</v>
      </c>
      <c r="I148" t="s">
        <v>13</v>
      </c>
    </row>
    <row r="149" spans="1:9" x14ac:dyDescent="0.2">
      <c r="A149" t="s">
        <v>239</v>
      </c>
      <c r="B149" t="s">
        <v>128</v>
      </c>
      <c r="C149" t="s">
        <v>20</v>
      </c>
      <c r="D149" t="s">
        <v>21</v>
      </c>
      <c r="E149">
        <v>23799.17</v>
      </c>
      <c r="F149">
        <v>2141.9299999999998</v>
      </c>
      <c r="G149">
        <v>2141.9299999999998</v>
      </c>
      <c r="H149">
        <v>28083.03</v>
      </c>
      <c r="I149" t="s">
        <v>13</v>
      </c>
    </row>
    <row r="150" spans="1:9" x14ac:dyDescent="0.2">
      <c r="A150" t="s">
        <v>240</v>
      </c>
      <c r="B150" t="s">
        <v>168</v>
      </c>
      <c r="C150" t="s">
        <v>16</v>
      </c>
      <c r="D150" t="s">
        <v>17</v>
      </c>
      <c r="E150">
        <v>8211.99</v>
      </c>
      <c r="F150">
        <v>739.08</v>
      </c>
      <c r="G150">
        <v>739.08</v>
      </c>
      <c r="H150">
        <v>9690.15</v>
      </c>
      <c r="I150" t="s">
        <v>13</v>
      </c>
    </row>
    <row r="151" spans="1:9" x14ac:dyDescent="0.2">
      <c r="A151" t="s">
        <v>241</v>
      </c>
      <c r="B151" t="s">
        <v>130</v>
      </c>
      <c r="C151" t="s">
        <v>24</v>
      </c>
      <c r="D151" t="s">
        <v>25</v>
      </c>
      <c r="E151">
        <v>35420.04</v>
      </c>
      <c r="F151">
        <v>3187.8</v>
      </c>
      <c r="G151">
        <v>3187.8</v>
      </c>
      <c r="H151">
        <v>41795.64</v>
      </c>
      <c r="I151" t="s">
        <v>13</v>
      </c>
    </row>
    <row r="152" spans="1:9" x14ac:dyDescent="0.2">
      <c r="A152" t="s">
        <v>242</v>
      </c>
      <c r="B152" t="s">
        <v>60</v>
      </c>
      <c r="C152" t="s">
        <v>16</v>
      </c>
      <c r="D152" t="s">
        <v>17</v>
      </c>
      <c r="E152">
        <v>45742.6</v>
      </c>
      <c r="F152">
        <v>4116.83</v>
      </c>
      <c r="G152">
        <v>4116.83</v>
      </c>
      <c r="H152">
        <v>53976.26</v>
      </c>
      <c r="I152" t="s">
        <v>13</v>
      </c>
    </row>
    <row r="153" spans="1:9" x14ac:dyDescent="0.2">
      <c r="A153" t="s">
        <v>243</v>
      </c>
      <c r="B153" t="s">
        <v>185</v>
      </c>
      <c r="C153" t="s">
        <v>16</v>
      </c>
      <c r="D153" t="s">
        <v>17</v>
      </c>
      <c r="E153">
        <v>46069.67</v>
      </c>
      <c r="F153">
        <v>4146.2700000000004</v>
      </c>
      <c r="G153">
        <v>4146.2700000000004</v>
      </c>
      <c r="H153">
        <v>54362.21</v>
      </c>
      <c r="I153" t="s">
        <v>13</v>
      </c>
    </row>
    <row r="154" spans="1:9" x14ac:dyDescent="0.2">
      <c r="A154" t="s">
        <v>244</v>
      </c>
      <c r="B154" t="s">
        <v>195</v>
      </c>
      <c r="C154" t="s">
        <v>24</v>
      </c>
      <c r="D154" t="s">
        <v>25</v>
      </c>
      <c r="E154">
        <v>3139.98</v>
      </c>
      <c r="F154">
        <v>282.60000000000002</v>
      </c>
      <c r="G154">
        <v>282.60000000000002</v>
      </c>
      <c r="H154">
        <v>3705.18</v>
      </c>
      <c r="I154" t="s">
        <v>13</v>
      </c>
    </row>
    <row r="155" spans="1:9" x14ac:dyDescent="0.2">
      <c r="A155" t="s">
        <v>245</v>
      </c>
      <c r="B155" t="s">
        <v>68</v>
      </c>
      <c r="C155" t="s">
        <v>24</v>
      </c>
      <c r="D155" t="s">
        <v>25</v>
      </c>
      <c r="E155">
        <v>47608.46</v>
      </c>
      <c r="F155">
        <v>4284.76</v>
      </c>
      <c r="G155">
        <v>4284.76</v>
      </c>
      <c r="H155">
        <v>56177.98</v>
      </c>
      <c r="I155" t="s">
        <v>13</v>
      </c>
    </row>
    <row r="156" spans="1:9" x14ac:dyDescent="0.2">
      <c r="A156" t="s">
        <v>246</v>
      </c>
      <c r="B156" t="s">
        <v>118</v>
      </c>
      <c r="C156" t="s">
        <v>24</v>
      </c>
      <c r="D156" t="s">
        <v>25</v>
      </c>
      <c r="E156">
        <v>38310.33</v>
      </c>
      <c r="F156">
        <v>3447.93</v>
      </c>
      <c r="G156">
        <v>3447.93</v>
      </c>
      <c r="H156">
        <v>45206.19</v>
      </c>
      <c r="I156" t="s">
        <v>13</v>
      </c>
    </row>
    <row r="157" spans="1:9" x14ac:dyDescent="0.2">
      <c r="A157" t="s">
        <v>247</v>
      </c>
      <c r="B157" t="s">
        <v>38</v>
      </c>
      <c r="C157" t="s">
        <v>20</v>
      </c>
      <c r="D157" t="s">
        <v>21</v>
      </c>
      <c r="E157">
        <v>32570.53</v>
      </c>
      <c r="F157">
        <v>2931.35</v>
      </c>
      <c r="G157">
        <v>2931.35</v>
      </c>
      <c r="H157">
        <v>38433.230000000003</v>
      </c>
      <c r="I157" t="s">
        <v>13</v>
      </c>
    </row>
    <row r="158" spans="1:9" x14ac:dyDescent="0.2">
      <c r="A158" t="s">
        <v>248</v>
      </c>
      <c r="B158" t="s">
        <v>105</v>
      </c>
      <c r="C158" t="s">
        <v>16</v>
      </c>
      <c r="D158" t="s">
        <v>17</v>
      </c>
      <c r="E158">
        <v>5997.26</v>
      </c>
      <c r="F158">
        <v>539.75</v>
      </c>
      <c r="G158">
        <v>539.75</v>
      </c>
      <c r="H158">
        <v>7076.76</v>
      </c>
      <c r="I158" t="s">
        <v>13</v>
      </c>
    </row>
    <row r="159" spans="1:9" x14ac:dyDescent="0.2">
      <c r="A159" t="s">
        <v>249</v>
      </c>
      <c r="B159" t="s">
        <v>87</v>
      </c>
      <c r="C159" t="s">
        <v>16</v>
      </c>
      <c r="D159" t="s">
        <v>17</v>
      </c>
      <c r="E159">
        <v>30012.38</v>
      </c>
      <c r="F159">
        <v>2701.11</v>
      </c>
      <c r="G159">
        <v>2701.11</v>
      </c>
      <c r="H159">
        <v>35414.6</v>
      </c>
      <c r="I159" t="s">
        <v>13</v>
      </c>
    </row>
    <row r="160" spans="1:9" x14ac:dyDescent="0.2">
      <c r="A160" t="s">
        <v>250</v>
      </c>
      <c r="B160" t="s">
        <v>121</v>
      </c>
      <c r="C160" t="s">
        <v>16</v>
      </c>
      <c r="D160" t="s">
        <v>17</v>
      </c>
      <c r="E160">
        <v>16235.75</v>
      </c>
      <c r="F160">
        <v>1461.22</v>
      </c>
      <c r="G160">
        <v>1461.22</v>
      </c>
      <c r="H160">
        <v>19158.189999999999</v>
      </c>
      <c r="I160" t="s">
        <v>13</v>
      </c>
    </row>
    <row r="161" spans="1:9" x14ac:dyDescent="0.2">
      <c r="A161" t="s">
        <v>251</v>
      </c>
      <c r="B161" t="s">
        <v>252</v>
      </c>
      <c r="C161" t="s">
        <v>11</v>
      </c>
      <c r="D161" t="s">
        <v>12</v>
      </c>
      <c r="E161">
        <v>22001.57</v>
      </c>
      <c r="F161">
        <v>1980.14</v>
      </c>
      <c r="G161">
        <v>1980.14</v>
      </c>
      <c r="H161">
        <v>25961.85</v>
      </c>
      <c r="I161" t="s">
        <v>13</v>
      </c>
    </row>
    <row r="162" spans="1:9" x14ac:dyDescent="0.2">
      <c r="A162" t="s">
        <v>253</v>
      </c>
      <c r="B162" t="s">
        <v>97</v>
      </c>
      <c r="C162" t="s">
        <v>16</v>
      </c>
      <c r="D162" t="s">
        <v>17</v>
      </c>
      <c r="E162">
        <v>6011.29</v>
      </c>
      <c r="F162">
        <v>541.02</v>
      </c>
      <c r="G162">
        <v>541.02</v>
      </c>
      <c r="H162">
        <v>7093.33</v>
      </c>
      <c r="I162" t="s">
        <v>13</v>
      </c>
    </row>
    <row r="163" spans="1:9" x14ac:dyDescent="0.2">
      <c r="A163" t="s">
        <v>254</v>
      </c>
      <c r="B163" t="s">
        <v>152</v>
      </c>
      <c r="C163" t="s">
        <v>20</v>
      </c>
      <c r="D163" t="s">
        <v>21</v>
      </c>
      <c r="E163">
        <v>38781.81</v>
      </c>
      <c r="F163">
        <v>3490.36</v>
      </c>
      <c r="G163">
        <v>3490.36</v>
      </c>
      <c r="H163">
        <v>45762.53</v>
      </c>
      <c r="I163" t="s">
        <v>13</v>
      </c>
    </row>
    <row r="164" spans="1:9" x14ac:dyDescent="0.2">
      <c r="A164" t="s">
        <v>255</v>
      </c>
      <c r="B164" t="s">
        <v>100</v>
      </c>
      <c r="C164" t="s">
        <v>16</v>
      </c>
      <c r="D164" t="s">
        <v>17</v>
      </c>
      <c r="E164">
        <v>9561.7099999999991</v>
      </c>
      <c r="F164">
        <v>860.55</v>
      </c>
      <c r="G164">
        <v>860.55</v>
      </c>
      <c r="H164">
        <v>11282.81</v>
      </c>
      <c r="I164" t="s">
        <v>13</v>
      </c>
    </row>
    <row r="165" spans="1:9" x14ac:dyDescent="0.2">
      <c r="A165" t="s">
        <v>256</v>
      </c>
      <c r="B165" t="s">
        <v>116</v>
      </c>
      <c r="C165" t="s">
        <v>24</v>
      </c>
      <c r="D165" t="s">
        <v>25</v>
      </c>
      <c r="E165">
        <v>9671.06</v>
      </c>
      <c r="F165">
        <v>870.4</v>
      </c>
      <c r="G165">
        <v>870.4</v>
      </c>
      <c r="H165">
        <v>11411.86</v>
      </c>
      <c r="I165" t="s">
        <v>13</v>
      </c>
    </row>
    <row r="166" spans="1:9" x14ac:dyDescent="0.2">
      <c r="A166" t="s">
        <v>257</v>
      </c>
      <c r="B166" t="s">
        <v>258</v>
      </c>
      <c r="C166" t="s">
        <v>20</v>
      </c>
      <c r="D166" t="s">
        <v>21</v>
      </c>
      <c r="E166">
        <v>45948.44</v>
      </c>
      <c r="F166">
        <v>4135.3599999999997</v>
      </c>
      <c r="G166">
        <v>4135.3599999999997</v>
      </c>
      <c r="H166">
        <v>54219.16</v>
      </c>
      <c r="I166" t="s">
        <v>13</v>
      </c>
    </row>
    <row r="167" spans="1:9" x14ac:dyDescent="0.2">
      <c r="A167" t="s">
        <v>259</v>
      </c>
      <c r="B167" t="s">
        <v>260</v>
      </c>
      <c r="C167" t="s">
        <v>24</v>
      </c>
      <c r="D167" t="s">
        <v>25</v>
      </c>
      <c r="E167">
        <v>30492.83</v>
      </c>
      <c r="F167">
        <v>2744.35</v>
      </c>
      <c r="G167">
        <v>2744.35</v>
      </c>
      <c r="H167">
        <v>35981.53</v>
      </c>
      <c r="I167" t="s">
        <v>13</v>
      </c>
    </row>
    <row r="168" spans="1:9" x14ac:dyDescent="0.2">
      <c r="A168" t="s">
        <v>261</v>
      </c>
      <c r="B168" t="s">
        <v>45</v>
      </c>
      <c r="C168" t="s">
        <v>24</v>
      </c>
      <c r="D168" t="s">
        <v>25</v>
      </c>
      <c r="E168">
        <v>43930.58</v>
      </c>
      <c r="F168">
        <v>3953.75</v>
      </c>
      <c r="G168">
        <v>3953.75</v>
      </c>
      <c r="H168">
        <v>51838.080000000002</v>
      </c>
      <c r="I168" t="s">
        <v>13</v>
      </c>
    </row>
    <row r="169" spans="1:9" x14ac:dyDescent="0.2">
      <c r="A169" t="s">
        <v>262</v>
      </c>
      <c r="B169" t="s">
        <v>132</v>
      </c>
      <c r="C169" t="s">
        <v>32</v>
      </c>
      <c r="D169" t="s">
        <v>33</v>
      </c>
      <c r="E169">
        <v>11173.41</v>
      </c>
      <c r="F169">
        <v>1005.61</v>
      </c>
      <c r="G169">
        <v>1005.61</v>
      </c>
      <c r="H169">
        <v>13184.63</v>
      </c>
      <c r="I169" t="s">
        <v>13</v>
      </c>
    </row>
    <row r="170" spans="1:9" x14ac:dyDescent="0.2">
      <c r="A170" t="s">
        <v>263</v>
      </c>
      <c r="B170" t="s">
        <v>185</v>
      </c>
      <c r="C170" t="s">
        <v>16</v>
      </c>
      <c r="D170" t="s">
        <v>17</v>
      </c>
      <c r="E170">
        <v>22548.93</v>
      </c>
      <c r="F170">
        <v>2029.4</v>
      </c>
      <c r="G170">
        <v>2029.4</v>
      </c>
      <c r="H170">
        <v>26607.73</v>
      </c>
      <c r="I170" t="s">
        <v>13</v>
      </c>
    </row>
    <row r="171" spans="1:9" x14ac:dyDescent="0.2">
      <c r="A171" t="s">
        <v>264</v>
      </c>
      <c r="B171" t="s">
        <v>27</v>
      </c>
      <c r="C171" t="s">
        <v>20</v>
      </c>
      <c r="D171" t="s">
        <v>21</v>
      </c>
      <c r="E171">
        <v>5678.86</v>
      </c>
      <c r="F171">
        <v>511.1</v>
      </c>
      <c r="G171">
        <v>511.1</v>
      </c>
      <c r="H171">
        <v>6701.06</v>
      </c>
      <c r="I171" t="s">
        <v>13</v>
      </c>
    </row>
    <row r="172" spans="1:9" x14ac:dyDescent="0.2">
      <c r="A172" t="s">
        <v>265</v>
      </c>
      <c r="B172" t="s">
        <v>95</v>
      </c>
      <c r="C172" t="s">
        <v>32</v>
      </c>
      <c r="D172" t="s">
        <v>33</v>
      </c>
      <c r="E172">
        <v>33198.550000000003</v>
      </c>
      <c r="F172">
        <v>2987.87</v>
      </c>
      <c r="G172">
        <v>2987.87</v>
      </c>
      <c r="H172">
        <v>39174.29</v>
      </c>
      <c r="I172" t="s">
        <v>13</v>
      </c>
    </row>
    <row r="173" spans="1:9" x14ac:dyDescent="0.2">
      <c r="A173" t="s">
        <v>266</v>
      </c>
      <c r="B173" t="s">
        <v>174</v>
      </c>
      <c r="C173" t="s">
        <v>11</v>
      </c>
      <c r="D173" t="s">
        <v>12</v>
      </c>
      <c r="E173">
        <v>5448.09</v>
      </c>
      <c r="F173">
        <v>490.33</v>
      </c>
      <c r="G173">
        <v>490.33</v>
      </c>
      <c r="H173">
        <v>6428.75</v>
      </c>
      <c r="I173" t="s">
        <v>13</v>
      </c>
    </row>
    <row r="174" spans="1:9" x14ac:dyDescent="0.2">
      <c r="A174" t="s">
        <v>267</v>
      </c>
      <c r="B174" t="s">
        <v>268</v>
      </c>
      <c r="C174" t="s">
        <v>32</v>
      </c>
      <c r="D174" t="s">
        <v>33</v>
      </c>
      <c r="E174">
        <v>29514.97</v>
      </c>
      <c r="F174">
        <v>2656.35</v>
      </c>
      <c r="G174">
        <v>2656.35</v>
      </c>
      <c r="H174">
        <v>34827.67</v>
      </c>
      <c r="I174" t="s">
        <v>13</v>
      </c>
    </row>
    <row r="175" spans="1:9" x14ac:dyDescent="0.2">
      <c r="A175" t="s">
        <v>269</v>
      </c>
      <c r="B175" t="s">
        <v>155</v>
      </c>
      <c r="C175" t="s">
        <v>11</v>
      </c>
      <c r="D175" t="s">
        <v>12</v>
      </c>
      <c r="E175">
        <v>20803.75</v>
      </c>
      <c r="F175">
        <v>1872.34</v>
      </c>
      <c r="G175">
        <v>1872.34</v>
      </c>
      <c r="H175">
        <v>24548.43</v>
      </c>
      <c r="I175" t="s">
        <v>13</v>
      </c>
    </row>
    <row r="176" spans="1:9" x14ac:dyDescent="0.2">
      <c r="A176" t="s">
        <v>270</v>
      </c>
      <c r="B176" t="s">
        <v>58</v>
      </c>
      <c r="C176" t="s">
        <v>16</v>
      </c>
      <c r="D176" t="s">
        <v>17</v>
      </c>
      <c r="E176">
        <v>30367.1</v>
      </c>
      <c r="F176">
        <v>2733.04</v>
      </c>
      <c r="G176">
        <v>2733.04</v>
      </c>
      <c r="H176">
        <v>35833.18</v>
      </c>
      <c r="I176" t="s">
        <v>13</v>
      </c>
    </row>
    <row r="177" spans="1:9" x14ac:dyDescent="0.2">
      <c r="A177" t="s">
        <v>271</v>
      </c>
      <c r="B177" t="s">
        <v>134</v>
      </c>
      <c r="C177" t="s">
        <v>32</v>
      </c>
      <c r="D177" t="s">
        <v>33</v>
      </c>
      <c r="E177">
        <v>48340.11</v>
      </c>
      <c r="F177">
        <v>4350.6099999999997</v>
      </c>
      <c r="G177">
        <v>4350.6099999999997</v>
      </c>
      <c r="H177">
        <v>57041.33</v>
      </c>
      <c r="I177" t="s">
        <v>13</v>
      </c>
    </row>
    <row r="178" spans="1:9" x14ac:dyDescent="0.2">
      <c r="A178" t="s">
        <v>272</v>
      </c>
      <c r="B178" t="s">
        <v>273</v>
      </c>
      <c r="C178" t="s">
        <v>24</v>
      </c>
      <c r="D178" t="s">
        <v>25</v>
      </c>
      <c r="E178">
        <v>18802.759999999998</v>
      </c>
      <c r="F178">
        <v>1692.25</v>
      </c>
      <c r="G178">
        <v>1692.25</v>
      </c>
      <c r="H178">
        <v>22187.26</v>
      </c>
      <c r="I178" t="s">
        <v>13</v>
      </c>
    </row>
    <row r="179" spans="1:9" x14ac:dyDescent="0.2">
      <c r="A179" t="s">
        <v>274</v>
      </c>
      <c r="B179" t="s">
        <v>275</v>
      </c>
      <c r="C179" t="s">
        <v>11</v>
      </c>
      <c r="D179" t="s">
        <v>12</v>
      </c>
      <c r="E179">
        <v>30917.27</v>
      </c>
      <c r="F179">
        <v>2782.55</v>
      </c>
      <c r="G179">
        <v>2782.55</v>
      </c>
      <c r="H179">
        <v>36482.370000000003</v>
      </c>
      <c r="I179" t="s">
        <v>13</v>
      </c>
    </row>
    <row r="180" spans="1:9" x14ac:dyDescent="0.2">
      <c r="A180" t="s">
        <v>276</v>
      </c>
      <c r="B180" t="s">
        <v>205</v>
      </c>
      <c r="C180" t="s">
        <v>16</v>
      </c>
      <c r="D180" t="s">
        <v>17</v>
      </c>
      <c r="E180">
        <v>34759.61</v>
      </c>
      <c r="F180">
        <v>3128.36</v>
      </c>
      <c r="G180">
        <v>3128.36</v>
      </c>
      <c r="H180">
        <v>41016.33</v>
      </c>
      <c r="I180" t="s">
        <v>13</v>
      </c>
    </row>
    <row r="181" spans="1:9" x14ac:dyDescent="0.2">
      <c r="A181" t="s">
        <v>277</v>
      </c>
      <c r="B181" t="s">
        <v>278</v>
      </c>
      <c r="C181" t="s">
        <v>24</v>
      </c>
      <c r="D181" t="s">
        <v>25</v>
      </c>
      <c r="E181">
        <v>16405.45</v>
      </c>
      <c r="F181">
        <v>1476.49</v>
      </c>
      <c r="G181">
        <v>1476.49</v>
      </c>
      <c r="H181">
        <v>19358.43</v>
      </c>
      <c r="I181" t="s">
        <v>13</v>
      </c>
    </row>
    <row r="182" spans="1:9" x14ac:dyDescent="0.2">
      <c r="A182" t="s">
        <v>279</v>
      </c>
      <c r="B182" t="s">
        <v>107</v>
      </c>
      <c r="C182" t="s">
        <v>24</v>
      </c>
      <c r="D182" t="s">
        <v>25</v>
      </c>
      <c r="E182">
        <v>19299.490000000002</v>
      </c>
      <c r="F182">
        <v>1736.95</v>
      </c>
      <c r="G182">
        <v>1736.95</v>
      </c>
      <c r="H182">
        <v>22773.39</v>
      </c>
      <c r="I182" t="s">
        <v>13</v>
      </c>
    </row>
    <row r="183" spans="1:9" x14ac:dyDescent="0.2">
      <c r="A183" t="s">
        <v>280</v>
      </c>
      <c r="B183" t="s">
        <v>81</v>
      </c>
      <c r="C183" t="s">
        <v>20</v>
      </c>
      <c r="D183" t="s">
        <v>21</v>
      </c>
      <c r="E183">
        <v>27351.45</v>
      </c>
      <c r="F183">
        <v>2461.63</v>
      </c>
      <c r="G183">
        <v>2461.63</v>
      </c>
      <c r="H183">
        <v>32274.71</v>
      </c>
      <c r="I183" t="s">
        <v>13</v>
      </c>
    </row>
    <row r="184" spans="1:9" x14ac:dyDescent="0.2">
      <c r="A184" t="s">
        <v>281</v>
      </c>
      <c r="B184" t="s">
        <v>81</v>
      </c>
      <c r="C184" t="s">
        <v>16</v>
      </c>
      <c r="D184" t="s">
        <v>17</v>
      </c>
      <c r="E184">
        <v>23346.58</v>
      </c>
      <c r="F184">
        <v>2101.19</v>
      </c>
      <c r="G184">
        <v>2101.19</v>
      </c>
      <c r="H184">
        <v>27548.959999999999</v>
      </c>
      <c r="I184" t="s">
        <v>13</v>
      </c>
    </row>
    <row r="185" spans="1:9" x14ac:dyDescent="0.2">
      <c r="A185" t="s">
        <v>282</v>
      </c>
      <c r="B185" t="s">
        <v>107</v>
      </c>
      <c r="C185" t="s">
        <v>16</v>
      </c>
      <c r="D185" t="s">
        <v>17</v>
      </c>
      <c r="E185">
        <v>38999.15</v>
      </c>
      <c r="F185">
        <v>3509.92</v>
      </c>
      <c r="G185">
        <v>3509.92</v>
      </c>
      <c r="H185">
        <v>46018.99</v>
      </c>
      <c r="I185" t="s">
        <v>13</v>
      </c>
    </row>
    <row r="186" spans="1:9" x14ac:dyDescent="0.2">
      <c r="A186" t="s">
        <v>283</v>
      </c>
      <c r="B186" t="s">
        <v>150</v>
      </c>
      <c r="C186" t="s">
        <v>11</v>
      </c>
      <c r="D186" t="s">
        <v>12</v>
      </c>
      <c r="E186">
        <v>32711.71</v>
      </c>
      <c r="F186">
        <v>2944.05</v>
      </c>
      <c r="G186">
        <v>2944.05</v>
      </c>
      <c r="H186">
        <v>38599.81</v>
      </c>
      <c r="I186" t="s">
        <v>13</v>
      </c>
    </row>
    <row r="187" spans="1:9" x14ac:dyDescent="0.2">
      <c r="A187" t="s">
        <v>284</v>
      </c>
      <c r="B187" t="s">
        <v>285</v>
      </c>
      <c r="C187" t="s">
        <v>20</v>
      </c>
      <c r="D187" t="s">
        <v>21</v>
      </c>
      <c r="E187">
        <v>41013.74</v>
      </c>
      <c r="F187">
        <v>3691.24</v>
      </c>
      <c r="G187">
        <v>3691.24</v>
      </c>
      <c r="H187">
        <v>48396.22</v>
      </c>
      <c r="I187" t="s">
        <v>13</v>
      </c>
    </row>
    <row r="188" spans="1:9" x14ac:dyDescent="0.2">
      <c r="A188" t="s">
        <v>286</v>
      </c>
      <c r="B188" t="s">
        <v>287</v>
      </c>
      <c r="C188" t="s">
        <v>32</v>
      </c>
      <c r="D188" t="s">
        <v>33</v>
      </c>
      <c r="E188">
        <v>35378.230000000003</v>
      </c>
      <c r="F188">
        <v>3184.04</v>
      </c>
      <c r="G188">
        <v>3184.04</v>
      </c>
      <c r="H188">
        <v>41746.31</v>
      </c>
      <c r="I188" t="s">
        <v>13</v>
      </c>
    </row>
    <row r="189" spans="1:9" x14ac:dyDescent="0.2">
      <c r="A189" t="s">
        <v>288</v>
      </c>
      <c r="B189" t="s">
        <v>45</v>
      </c>
      <c r="C189" t="s">
        <v>20</v>
      </c>
      <c r="D189" t="s">
        <v>21</v>
      </c>
      <c r="E189">
        <v>37053.94</v>
      </c>
      <c r="F189">
        <v>3334.85</v>
      </c>
      <c r="G189">
        <v>3334.85</v>
      </c>
      <c r="H189">
        <v>43723.64</v>
      </c>
      <c r="I189" t="s">
        <v>13</v>
      </c>
    </row>
    <row r="190" spans="1:9" x14ac:dyDescent="0.2">
      <c r="A190" t="s">
        <v>289</v>
      </c>
      <c r="B190" t="s">
        <v>273</v>
      </c>
      <c r="C190" t="s">
        <v>32</v>
      </c>
      <c r="D190" t="s">
        <v>33</v>
      </c>
      <c r="E190">
        <v>47134.9</v>
      </c>
      <c r="F190">
        <v>4242.1400000000003</v>
      </c>
      <c r="G190">
        <v>4242.1400000000003</v>
      </c>
      <c r="H190">
        <v>55619.18</v>
      </c>
      <c r="I190" t="s">
        <v>13</v>
      </c>
    </row>
    <row r="191" spans="1:9" x14ac:dyDescent="0.2">
      <c r="A191" t="s">
        <v>290</v>
      </c>
      <c r="B191" t="s">
        <v>29</v>
      </c>
      <c r="C191" t="s">
        <v>20</v>
      </c>
      <c r="D191" t="s">
        <v>21</v>
      </c>
      <c r="E191">
        <v>9660.06</v>
      </c>
      <c r="F191">
        <v>869.41</v>
      </c>
      <c r="G191">
        <v>869.41</v>
      </c>
      <c r="H191">
        <v>11398.88</v>
      </c>
      <c r="I191" t="s">
        <v>13</v>
      </c>
    </row>
    <row r="192" spans="1:9" x14ac:dyDescent="0.2">
      <c r="A192" t="s">
        <v>291</v>
      </c>
      <c r="B192" t="s">
        <v>292</v>
      </c>
      <c r="C192" t="s">
        <v>32</v>
      </c>
      <c r="D192" t="s">
        <v>33</v>
      </c>
      <c r="E192">
        <v>20527.2</v>
      </c>
      <c r="F192">
        <v>1847.45</v>
      </c>
      <c r="G192">
        <v>1847.45</v>
      </c>
      <c r="H192">
        <v>24222.1</v>
      </c>
      <c r="I192" t="s">
        <v>13</v>
      </c>
    </row>
    <row r="193" spans="1:9" x14ac:dyDescent="0.2">
      <c r="A193" t="s">
        <v>293</v>
      </c>
      <c r="B193" t="s">
        <v>91</v>
      </c>
      <c r="C193" t="s">
        <v>24</v>
      </c>
      <c r="D193" t="s">
        <v>25</v>
      </c>
      <c r="E193">
        <v>6738.15</v>
      </c>
      <c r="F193">
        <v>606.42999999999995</v>
      </c>
      <c r="G193">
        <v>606.42999999999995</v>
      </c>
      <c r="H193">
        <v>7951.01</v>
      </c>
      <c r="I193" t="s">
        <v>13</v>
      </c>
    </row>
    <row r="194" spans="1:9" x14ac:dyDescent="0.2">
      <c r="A194" t="s">
        <v>294</v>
      </c>
      <c r="B194" t="s">
        <v>36</v>
      </c>
      <c r="C194" t="s">
        <v>32</v>
      </c>
      <c r="D194" t="s">
        <v>33</v>
      </c>
      <c r="E194">
        <v>45453.72</v>
      </c>
      <c r="F194">
        <v>4090.83</v>
      </c>
      <c r="G194">
        <v>4090.83</v>
      </c>
      <c r="H194">
        <v>53635.38</v>
      </c>
      <c r="I194" t="s">
        <v>13</v>
      </c>
    </row>
    <row r="195" spans="1:9" x14ac:dyDescent="0.2">
      <c r="A195" t="s">
        <v>295</v>
      </c>
      <c r="B195" t="s">
        <v>215</v>
      </c>
      <c r="C195" t="s">
        <v>32</v>
      </c>
      <c r="D195" t="s">
        <v>33</v>
      </c>
      <c r="E195">
        <v>18922.849999999999</v>
      </c>
      <c r="F195">
        <v>1703.06</v>
      </c>
      <c r="G195">
        <v>1703.06</v>
      </c>
      <c r="H195">
        <v>22328.97</v>
      </c>
      <c r="I195" t="s">
        <v>13</v>
      </c>
    </row>
    <row r="196" spans="1:9" x14ac:dyDescent="0.2">
      <c r="A196" t="s">
        <v>296</v>
      </c>
      <c r="B196" t="s">
        <v>285</v>
      </c>
      <c r="C196" t="s">
        <v>20</v>
      </c>
      <c r="D196" t="s">
        <v>21</v>
      </c>
      <c r="E196">
        <v>13533.61</v>
      </c>
      <c r="F196">
        <v>1218.02</v>
      </c>
      <c r="G196">
        <v>1218.02</v>
      </c>
      <c r="H196">
        <v>15969.65</v>
      </c>
      <c r="I196" t="s">
        <v>13</v>
      </c>
    </row>
    <row r="197" spans="1:9" x14ac:dyDescent="0.2">
      <c r="A197" t="s">
        <v>297</v>
      </c>
      <c r="B197" t="s">
        <v>174</v>
      </c>
      <c r="C197" t="s">
        <v>20</v>
      </c>
      <c r="D197" t="s">
        <v>21</v>
      </c>
      <c r="E197">
        <v>2226.9899999999998</v>
      </c>
      <c r="F197">
        <v>200.43</v>
      </c>
      <c r="G197">
        <v>200.43</v>
      </c>
      <c r="H197">
        <v>2627.85</v>
      </c>
      <c r="I197" t="s">
        <v>13</v>
      </c>
    </row>
    <row r="198" spans="1:9" x14ac:dyDescent="0.2">
      <c r="A198" t="s">
        <v>298</v>
      </c>
      <c r="B198" t="s">
        <v>192</v>
      </c>
      <c r="C198" t="s">
        <v>16</v>
      </c>
      <c r="D198" t="s">
        <v>17</v>
      </c>
      <c r="E198">
        <v>1417.82</v>
      </c>
      <c r="F198">
        <v>127.6</v>
      </c>
      <c r="G198">
        <v>127.6</v>
      </c>
      <c r="H198">
        <v>1673.02</v>
      </c>
      <c r="I198" t="s">
        <v>13</v>
      </c>
    </row>
    <row r="199" spans="1:9" x14ac:dyDescent="0.2">
      <c r="A199" t="s">
        <v>299</v>
      </c>
      <c r="B199" t="s">
        <v>36</v>
      </c>
      <c r="C199" t="s">
        <v>16</v>
      </c>
      <c r="D199" t="s">
        <v>17</v>
      </c>
      <c r="E199">
        <v>45323.6</v>
      </c>
      <c r="F199">
        <v>4079.12</v>
      </c>
      <c r="G199">
        <v>4079.12</v>
      </c>
      <c r="H199">
        <v>53481.84</v>
      </c>
      <c r="I199" t="s">
        <v>13</v>
      </c>
    </row>
    <row r="200" spans="1:9" x14ac:dyDescent="0.2">
      <c r="A200" t="s">
        <v>300</v>
      </c>
      <c r="B200" t="s">
        <v>31</v>
      </c>
      <c r="C200" t="s">
        <v>20</v>
      </c>
      <c r="D200" t="s">
        <v>21</v>
      </c>
      <c r="E200">
        <v>20341.29</v>
      </c>
      <c r="F200">
        <v>1830.72</v>
      </c>
      <c r="G200">
        <v>1830.72</v>
      </c>
      <c r="H200">
        <v>24002.73</v>
      </c>
      <c r="I200" t="s">
        <v>13</v>
      </c>
    </row>
    <row r="201" spans="1:9" x14ac:dyDescent="0.2">
      <c r="A201" t="s">
        <v>301</v>
      </c>
      <c r="B201" t="s">
        <v>172</v>
      </c>
      <c r="C201" t="s">
        <v>32</v>
      </c>
      <c r="D201" t="s">
        <v>33</v>
      </c>
      <c r="E201">
        <v>17723.39</v>
      </c>
      <c r="F201">
        <v>1595.11</v>
      </c>
      <c r="G201">
        <v>1595.11</v>
      </c>
      <c r="H201">
        <v>20913.61</v>
      </c>
      <c r="I201" t="s">
        <v>13</v>
      </c>
    </row>
    <row r="202" spans="1:9" x14ac:dyDescent="0.2">
      <c r="A202" t="s">
        <v>302</v>
      </c>
      <c r="B202" t="s">
        <v>58</v>
      </c>
      <c r="C202" t="s">
        <v>24</v>
      </c>
      <c r="D202" t="s">
        <v>25</v>
      </c>
      <c r="E202">
        <v>9459.85</v>
      </c>
      <c r="F202">
        <v>851.39</v>
      </c>
      <c r="G202">
        <v>851.39</v>
      </c>
      <c r="H202">
        <v>11162.63</v>
      </c>
      <c r="I202" t="s">
        <v>13</v>
      </c>
    </row>
    <row r="203" spans="1:9" x14ac:dyDescent="0.2">
      <c r="A203" t="s">
        <v>303</v>
      </c>
      <c r="B203" t="s">
        <v>103</v>
      </c>
      <c r="C203" t="s">
        <v>20</v>
      </c>
      <c r="D203" t="s">
        <v>21</v>
      </c>
      <c r="E203">
        <v>2957.26</v>
      </c>
      <c r="F203">
        <v>266.14999999999998</v>
      </c>
      <c r="G203">
        <v>266.14999999999998</v>
      </c>
      <c r="H203">
        <v>3489.56</v>
      </c>
      <c r="I203" t="s">
        <v>13</v>
      </c>
    </row>
    <row r="204" spans="1:9" x14ac:dyDescent="0.2">
      <c r="A204" t="s">
        <v>304</v>
      </c>
      <c r="B204" t="s">
        <v>170</v>
      </c>
      <c r="C204" t="s">
        <v>20</v>
      </c>
      <c r="D204" t="s">
        <v>21</v>
      </c>
      <c r="E204">
        <v>3982.01</v>
      </c>
      <c r="F204">
        <v>358.38</v>
      </c>
      <c r="G204">
        <v>358.38</v>
      </c>
      <c r="H204">
        <v>4698.7700000000004</v>
      </c>
      <c r="I204" t="s">
        <v>13</v>
      </c>
    </row>
    <row r="205" spans="1:9" x14ac:dyDescent="0.2">
      <c r="A205" t="s">
        <v>305</v>
      </c>
      <c r="B205" t="s">
        <v>87</v>
      </c>
      <c r="C205" t="s">
        <v>32</v>
      </c>
      <c r="D205" t="s">
        <v>33</v>
      </c>
      <c r="E205">
        <v>26341.67</v>
      </c>
      <c r="F205">
        <v>2370.75</v>
      </c>
      <c r="G205">
        <v>2370.75</v>
      </c>
      <c r="H205">
        <v>31083.17</v>
      </c>
      <c r="I205" t="s">
        <v>13</v>
      </c>
    </row>
    <row r="206" spans="1:9" x14ac:dyDescent="0.2">
      <c r="A206" t="s">
        <v>306</v>
      </c>
      <c r="B206" t="s">
        <v>95</v>
      </c>
      <c r="C206" t="s">
        <v>32</v>
      </c>
      <c r="D206" t="s">
        <v>33</v>
      </c>
      <c r="E206">
        <v>23644.28</v>
      </c>
      <c r="F206">
        <v>2127.9899999999998</v>
      </c>
      <c r="G206">
        <v>2127.9899999999998</v>
      </c>
      <c r="H206">
        <v>27900.26</v>
      </c>
      <c r="I206" t="s">
        <v>13</v>
      </c>
    </row>
    <row r="207" spans="1:9" x14ac:dyDescent="0.2">
      <c r="A207" t="s">
        <v>307</v>
      </c>
      <c r="B207" t="s">
        <v>273</v>
      </c>
      <c r="C207" t="s">
        <v>16</v>
      </c>
      <c r="D207" t="s">
        <v>17</v>
      </c>
      <c r="E207">
        <v>31275.58</v>
      </c>
      <c r="F207">
        <v>2814.8</v>
      </c>
      <c r="G207">
        <v>2814.8</v>
      </c>
      <c r="H207">
        <v>36905.18</v>
      </c>
      <c r="I207" t="s">
        <v>13</v>
      </c>
    </row>
    <row r="208" spans="1:9" x14ac:dyDescent="0.2">
      <c r="A208" t="s">
        <v>308</v>
      </c>
      <c r="B208" t="s">
        <v>27</v>
      </c>
      <c r="C208" t="s">
        <v>16</v>
      </c>
      <c r="D208" t="s">
        <v>17</v>
      </c>
      <c r="E208">
        <v>21938.69</v>
      </c>
      <c r="F208">
        <v>1974.48</v>
      </c>
      <c r="G208">
        <v>1974.48</v>
      </c>
      <c r="H208">
        <v>25887.65</v>
      </c>
      <c r="I208" t="s">
        <v>13</v>
      </c>
    </row>
    <row r="209" spans="1:9" x14ac:dyDescent="0.2">
      <c r="A209" t="s">
        <v>309</v>
      </c>
      <c r="B209" t="s">
        <v>100</v>
      </c>
      <c r="C209" t="s">
        <v>32</v>
      </c>
      <c r="D209" t="s">
        <v>33</v>
      </c>
      <c r="E209">
        <v>24208.84</v>
      </c>
      <c r="F209">
        <v>2178.8000000000002</v>
      </c>
      <c r="G209">
        <v>2178.8000000000002</v>
      </c>
      <c r="H209">
        <v>28566.44</v>
      </c>
      <c r="I209" t="s">
        <v>13</v>
      </c>
    </row>
    <row r="210" spans="1:9" x14ac:dyDescent="0.2">
      <c r="A210" t="s">
        <v>310</v>
      </c>
      <c r="B210" t="s">
        <v>311</v>
      </c>
      <c r="C210" t="s">
        <v>20</v>
      </c>
      <c r="D210" t="s">
        <v>21</v>
      </c>
      <c r="E210">
        <v>36328.53</v>
      </c>
      <c r="F210">
        <v>3269.57</v>
      </c>
      <c r="G210">
        <v>3269.57</v>
      </c>
      <c r="H210">
        <v>42867.67</v>
      </c>
      <c r="I210" t="s">
        <v>13</v>
      </c>
    </row>
    <row r="211" spans="1:9" x14ac:dyDescent="0.2">
      <c r="A211" t="s">
        <v>312</v>
      </c>
      <c r="B211" t="s">
        <v>313</v>
      </c>
      <c r="C211" t="s">
        <v>32</v>
      </c>
      <c r="D211" t="s">
        <v>33</v>
      </c>
      <c r="E211">
        <v>12343.86</v>
      </c>
      <c r="F211">
        <v>1110.95</v>
      </c>
      <c r="G211">
        <v>1110.95</v>
      </c>
      <c r="H211">
        <v>14565.76</v>
      </c>
      <c r="I211" t="s">
        <v>13</v>
      </c>
    </row>
    <row r="212" spans="1:9" x14ac:dyDescent="0.2">
      <c r="A212" t="s">
        <v>314</v>
      </c>
      <c r="B212" t="s">
        <v>212</v>
      </c>
      <c r="C212" t="s">
        <v>16</v>
      </c>
      <c r="D212" t="s">
        <v>17</v>
      </c>
      <c r="E212">
        <v>18019.599999999999</v>
      </c>
      <c r="F212">
        <v>1621.76</v>
      </c>
      <c r="G212">
        <v>1621.76</v>
      </c>
      <c r="H212">
        <v>21263.119999999999</v>
      </c>
      <c r="I212" t="s">
        <v>13</v>
      </c>
    </row>
    <row r="213" spans="1:9" x14ac:dyDescent="0.2">
      <c r="A213" t="s">
        <v>315</v>
      </c>
      <c r="B213" t="s">
        <v>38</v>
      </c>
      <c r="C213" t="s">
        <v>32</v>
      </c>
      <c r="D213" t="s">
        <v>33</v>
      </c>
      <c r="E213">
        <v>15944.27</v>
      </c>
      <c r="F213">
        <v>1434.98</v>
      </c>
      <c r="G213">
        <v>1434.98</v>
      </c>
      <c r="H213">
        <v>18814.23</v>
      </c>
      <c r="I213" t="s">
        <v>13</v>
      </c>
    </row>
    <row r="214" spans="1:9" x14ac:dyDescent="0.2">
      <c r="A214" t="s">
        <v>316</v>
      </c>
      <c r="B214" t="s">
        <v>87</v>
      </c>
      <c r="C214" t="s">
        <v>32</v>
      </c>
      <c r="D214" t="s">
        <v>33</v>
      </c>
      <c r="E214">
        <v>32366.32</v>
      </c>
      <c r="F214">
        <v>2912.97</v>
      </c>
      <c r="G214">
        <v>2912.97</v>
      </c>
      <c r="H214">
        <v>38192.26</v>
      </c>
      <c r="I214" t="s">
        <v>13</v>
      </c>
    </row>
    <row r="215" spans="1:9" x14ac:dyDescent="0.2">
      <c r="A215" t="s">
        <v>317</v>
      </c>
      <c r="B215" t="s">
        <v>31</v>
      </c>
      <c r="C215" t="s">
        <v>32</v>
      </c>
      <c r="D215" t="s">
        <v>33</v>
      </c>
      <c r="E215">
        <v>38720.49</v>
      </c>
      <c r="F215">
        <v>3484.84</v>
      </c>
      <c r="G215">
        <v>3484.84</v>
      </c>
      <c r="H215">
        <v>45690.17</v>
      </c>
      <c r="I215" t="s">
        <v>13</v>
      </c>
    </row>
    <row r="216" spans="1:9" x14ac:dyDescent="0.2">
      <c r="A216" t="s">
        <v>318</v>
      </c>
      <c r="B216" t="s">
        <v>159</v>
      </c>
      <c r="C216" t="s">
        <v>11</v>
      </c>
      <c r="D216" t="s">
        <v>12</v>
      </c>
      <c r="E216">
        <v>21682.68</v>
      </c>
      <c r="F216">
        <v>1951.44</v>
      </c>
      <c r="G216">
        <v>1951.44</v>
      </c>
      <c r="H216">
        <v>25585.56</v>
      </c>
      <c r="I216" t="s">
        <v>13</v>
      </c>
    </row>
    <row r="217" spans="1:9" x14ac:dyDescent="0.2">
      <c r="A217" t="s">
        <v>319</v>
      </c>
      <c r="B217" t="s">
        <v>77</v>
      </c>
      <c r="C217" t="s">
        <v>16</v>
      </c>
      <c r="D217" t="s">
        <v>17</v>
      </c>
      <c r="E217">
        <v>8344.31</v>
      </c>
      <c r="F217">
        <v>750.99</v>
      </c>
      <c r="G217">
        <v>750.99</v>
      </c>
      <c r="H217">
        <v>9846.2900000000009</v>
      </c>
      <c r="I217" t="s">
        <v>13</v>
      </c>
    </row>
    <row r="218" spans="1:9" x14ac:dyDescent="0.2">
      <c r="A218" t="s">
        <v>320</v>
      </c>
      <c r="B218" t="s">
        <v>116</v>
      </c>
      <c r="C218" t="s">
        <v>16</v>
      </c>
      <c r="D218" t="s">
        <v>17</v>
      </c>
      <c r="E218">
        <v>17857.29</v>
      </c>
      <c r="F218">
        <v>1607.16</v>
      </c>
      <c r="G218">
        <v>1607.16</v>
      </c>
      <c r="H218">
        <v>21071.61</v>
      </c>
      <c r="I218" t="s">
        <v>13</v>
      </c>
    </row>
    <row r="219" spans="1:9" x14ac:dyDescent="0.2">
      <c r="A219" t="s">
        <v>321</v>
      </c>
      <c r="B219" t="s">
        <v>54</v>
      </c>
      <c r="C219" t="s">
        <v>16</v>
      </c>
      <c r="D219" t="s">
        <v>17</v>
      </c>
      <c r="E219">
        <v>3538.62</v>
      </c>
      <c r="F219">
        <v>318.48</v>
      </c>
      <c r="G219">
        <v>318.48</v>
      </c>
      <c r="H219">
        <v>4175.58</v>
      </c>
      <c r="I219" t="s">
        <v>13</v>
      </c>
    </row>
    <row r="220" spans="1:9" x14ac:dyDescent="0.2">
      <c r="A220" t="s">
        <v>322</v>
      </c>
      <c r="B220" t="s">
        <v>40</v>
      </c>
      <c r="C220" t="s">
        <v>32</v>
      </c>
      <c r="D220" t="s">
        <v>33</v>
      </c>
      <c r="E220">
        <v>20141.11</v>
      </c>
      <c r="F220">
        <v>1812.7</v>
      </c>
      <c r="G220">
        <v>1812.7</v>
      </c>
      <c r="H220">
        <v>23766.51</v>
      </c>
      <c r="I220" t="s">
        <v>13</v>
      </c>
    </row>
    <row r="221" spans="1:9" x14ac:dyDescent="0.2">
      <c r="A221" t="s">
        <v>323</v>
      </c>
      <c r="B221" t="s">
        <v>83</v>
      </c>
      <c r="C221" t="s">
        <v>16</v>
      </c>
      <c r="D221" t="s">
        <v>17</v>
      </c>
      <c r="E221">
        <v>7351.22</v>
      </c>
      <c r="F221">
        <v>661.61</v>
      </c>
      <c r="G221">
        <v>661.61</v>
      </c>
      <c r="H221">
        <v>8674.44</v>
      </c>
      <c r="I221" t="s">
        <v>13</v>
      </c>
    </row>
    <row r="222" spans="1:9" x14ac:dyDescent="0.2">
      <c r="A222" t="s">
        <v>324</v>
      </c>
      <c r="B222" t="s">
        <v>287</v>
      </c>
      <c r="C222" t="s">
        <v>32</v>
      </c>
      <c r="D222" t="s">
        <v>33</v>
      </c>
      <c r="E222">
        <v>36446.15</v>
      </c>
      <c r="F222">
        <v>3280.15</v>
      </c>
      <c r="G222">
        <v>3280.15</v>
      </c>
      <c r="H222">
        <v>43006.45</v>
      </c>
      <c r="I222" t="s">
        <v>13</v>
      </c>
    </row>
    <row r="223" spans="1:9" x14ac:dyDescent="0.2">
      <c r="A223" t="s">
        <v>325</v>
      </c>
      <c r="B223" t="s">
        <v>161</v>
      </c>
      <c r="C223" t="s">
        <v>20</v>
      </c>
      <c r="D223" t="s">
        <v>21</v>
      </c>
      <c r="E223">
        <v>9342.43</v>
      </c>
      <c r="F223">
        <v>840.82</v>
      </c>
      <c r="G223">
        <v>840.82</v>
      </c>
      <c r="H223">
        <v>11024.07</v>
      </c>
      <c r="I223" t="s">
        <v>13</v>
      </c>
    </row>
    <row r="224" spans="1:9" x14ac:dyDescent="0.2">
      <c r="A224" t="s">
        <v>326</v>
      </c>
      <c r="B224" t="s">
        <v>161</v>
      </c>
      <c r="C224" t="s">
        <v>24</v>
      </c>
      <c r="D224" t="s">
        <v>25</v>
      </c>
      <c r="E224">
        <v>34797.71</v>
      </c>
      <c r="F224">
        <v>3131.79</v>
      </c>
      <c r="G224">
        <v>3131.79</v>
      </c>
      <c r="H224">
        <v>41061.29</v>
      </c>
      <c r="I224" t="s">
        <v>13</v>
      </c>
    </row>
    <row r="225" spans="1:9" x14ac:dyDescent="0.2">
      <c r="A225" t="s">
        <v>327</v>
      </c>
      <c r="B225" t="s">
        <v>81</v>
      </c>
      <c r="C225" t="s">
        <v>24</v>
      </c>
      <c r="D225" t="s">
        <v>25</v>
      </c>
      <c r="E225">
        <v>46403.1</v>
      </c>
      <c r="F225">
        <v>4176.28</v>
      </c>
      <c r="G225">
        <v>4176.28</v>
      </c>
      <c r="H225">
        <v>54755.66</v>
      </c>
      <c r="I225" t="s">
        <v>13</v>
      </c>
    </row>
    <row r="226" spans="1:9" x14ac:dyDescent="0.2">
      <c r="A226" t="s">
        <v>328</v>
      </c>
      <c r="B226" t="s">
        <v>75</v>
      </c>
      <c r="C226" t="s">
        <v>24</v>
      </c>
      <c r="D226" t="s">
        <v>25</v>
      </c>
      <c r="E226">
        <v>21444.38</v>
      </c>
      <c r="F226">
        <v>1929.99</v>
      </c>
      <c r="G226">
        <v>1929.99</v>
      </c>
      <c r="H226">
        <v>25304.36</v>
      </c>
      <c r="I226" t="s">
        <v>13</v>
      </c>
    </row>
    <row r="227" spans="1:9" x14ac:dyDescent="0.2">
      <c r="A227" t="s">
        <v>329</v>
      </c>
      <c r="B227" t="s">
        <v>260</v>
      </c>
      <c r="C227" t="s">
        <v>20</v>
      </c>
      <c r="D227" t="s">
        <v>21</v>
      </c>
      <c r="E227">
        <v>8108.53</v>
      </c>
      <c r="F227">
        <v>729.77</v>
      </c>
      <c r="G227">
        <v>729.77</v>
      </c>
      <c r="H227">
        <v>9568.07</v>
      </c>
      <c r="I227" t="s">
        <v>13</v>
      </c>
    </row>
    <row r="228" spans="1:9" x14ac:dyDescent="0.2">
      <c r="A228" t="s">
        <v>330</v>
      </c>
      <c r="B228" t="s">
        <v>15</v>
      </c>
      <c r="C228" t="s">
        <v>32</v>
      </c>
      <c r="D228" t="s">
        <v>33</v>
      </c>
      <c r="E228">
        <v>14845.35</v>
      </c>
      <c r="F228">
        <v>1336.08</v>
      </c>
      <c r="G228">
        <v>1336.08</v>
      </c>
      <c r="H228">
        <v>17517.509999999998</v>
      </c>
      <c r="I228" t="s">
        <v>13</v>
      </c>
    </row>
    <row r="229" spans="1:9" x14ac:dyDescent="0.2">
      <c r="A229" t="s">
        <v>331</v>
      </c>
      <c r="B229" t="s">
        <v>118</v>
      </c>
      <c r="C229" t="s">
        <v>16</v>
      </c>
      <c r="D229" t="s">
        <v>17</v>
      </c>
      <c r="E229">
        <v>26430.48</v>
      </c>
      <c r="F229">
        <v>2378.7399999999998</v>
      </c>
      <c r="G229">
        <v>2378.7399999999998</v>
      </c>
      <c r="H229">
        <v>31187.96</v>
      </c>
      <c r="I229" t="s">
        <v>13</v>
      </c>
    </row>
    <row r="230" spans="1:9" x14ac:dyDescent="0.2">
      <c r="A230" t="s">
        <v>332</v>
      </c>
      <c r="B230" t="s">
        <v>77</v>
      </c>
      <c r="C230" t="s">
        <v>16</v>
      </c>
      <c r="D230" t="s">
        <v>17</v>
      </c>
      <c r="E230">
        <v>37054.17</v>
      </c>
      <c r="F230">
        <v>3334.88</v>
      </c>
      <c r="G230">
        <v>3334.88</v>
      </c>
      <c r="H230">
        <v>43723.93</v>
      </c>
      <c r="I230" t="s">
        <v>13</v>
      </c>
    </row>
    <row r="231" spans="1:9" x14ac:dyDescent="0.2">
      <c r="A231" t="s">
        <v>333</v>
      </c>
      <c r="B231" t="s">
        <v>118</v>
      </c>
      <c r="C231" t="s">
        <v>32</v>
      </c>
      <c r="D231" t="s">
        <v>33</v>
      </c>
      <c r="E231">
        <v>34464.76</v>
      </c>
      <c r="F231">
        <v>3101.83</v>
      </c>
      <c r="G231">
        <v>3101.83</v>
      </c>
      <c r="H231">
        <v>40668.42</v>
      </c>
      <c r="I231" t="s">
        <v>13</v>
      </c>
    </row>
    <row r="232" spans="1:9" x14ac:dyDescent="0.2">
      <c r="A232" t="s">
        <v>334</v>
      </c>
      <c r="B232" t="s">
        <v>201</v>
      </c>
      <c r="C232" t="s">
        <v>11</v>
      </c>
      <c r="D232" t="s">
        <v>12</v>
      </c>
      <c r="E232">
        <v>31758.31</v>
      </c>
      <c r="F232">
        <v>2858.25</v>
      </c>
      <c r="G232">
        <v>2858.25</v>
      </c>
      <c r="H232">
        <v>37474.81</v>
      </c>
      <c r="I232" t="s">
        <v>13</v>
      </c>
    </row>
    <row r="233" spans="1:9" x14ac:dyDescent="0.2">
      <c r="A233" t="s">
        <v>335</v>
      </c>
      <c r="B233" t="s">
        <v>112</v>
      </c>
      <c r="C233" t="s">
        <v>20</v>
      </c>
      <c r="D233" t="s">
        <v>21</v>
      </c>
      <c r="E233">
        <v>40189.93</v>
      </c>
      <c r="F233">
        <v>3617.09</v>
      </c>
      <c r="G233">
        <v>3617.09</v>
      </c>
      <c r="H233">
        <v>47424.11</v>
      </c>
      <c r="I233" t="s">
        <v>13</v>
      </c>
    </row>
    <row r="234" spans="1:9" x14ac:dyDescent="0.2">
      <c r="A234" t="s">
        <v>336</v>
      </c>
      <c r="B234" t="s">
        <v>109</v>
      </c>
      <c r="C234" t="s">
        <v>32</v>
      </c>
      <c r="D234" t="s">
        <v>33</v>
      </c>
      <c r="E234">
        <v>47240.25</v>
      </c>
      <c r="F234">
        <v>4251.62</v>
      </c>
      <c r="G234">
        <v>4251.62</v>
      </c>
      <c r="H234">
        <v>55743.49</v>
      </c>
      <c r="I234" t="s">
        <v>13</v>
      </c>
    </row>
    <row r="235" spans="1:9" x14ac:dyDescent="0.2">
      <c r="A235" t="s">
        <v>337</v>
      </c>
      <c r="B235" t="s">
        <v>338</v>
      </c>
      <c r="C235" t="s">
        <v>32</v>
      </c>
      <c r="D235" t="s">
        <v>33</v>
      </c>
      <c r="E235">
        <v>36242.53</v>
      </c>
      <c r="F235">
        <v>3261.83</v>
      </c>
      <c r="G235">
        <v>3261.83</v>
      </c>
      <c r="H235">
        <v>42766.19</v>
      </c>
      <c r="I235" t="s">
        <v>13</v>
      </c>
    </row>
    <row r="236" spans="1:9" x14ac:dyDescent="0.2">
      <c r="A236" t="s">
        <v>339</v>
      </c>
      <c r="B236" t="s">
        <v>170</v>
      </c>
      <c r="C236" t="s">
        <v>11</v>
      </c>
      <c r="D236" t="s">
        <v>12</v>
      </c>
      <c r="E236">
        <v>40357.14</v>
      </c>
      <c r="F236">
        <v>3632.14</v>
      </c>
      <c r="G236">
        <v>3632.14</v>
      </c>
      <c r="H236">
        <v>47621.42</v>
      </c>
      <c r="I236" t="s">
        <v>13</v>
      </c>
    </row>
    <row r="237" spans="1:9" x14ac:dyDescent="0.2">
      <c r="A237" t="s">
        <v>340</v>
      </c>
      <c r="B237" t="s">
        <v>188</v>
      </c>
      <c r="C237" t="s">
        <v>24</v>
      </c>
      <c r="D237" t="s">
        <v>25</v>
      </c>
      <c r="E237">
        <v>47641.82</v>
      </c>
      <c r="F237">
        <v>4287.76</v>
      </c>
      <c r="G237">
        <v>4287.76</v>
      </c>
      <c r="H237">
        <v>56217.34</v>
      </c>
      <c r="I237" t="s">
        <v>13</v>
      </c>
    </row>
    <row r="238" spans="1:9" x14ac:dyDescent="0.2">
      <c r="A238" t="s">
        <v>341</v>
      </c>
      <c r="B238" t="s">
        <v>118</v>
      </c>
      <c r="C238" t="s">
        <v>16</v>
      </c>
      <c r="D238" t="s">
        <v>17</v>
      </c>
      <c r="E238">
        <v>45506.27</v>
      </c>
      <c r="F238">
        <v>4095.56</v>
      </c>
      <c r="G238">
        <v>4095.56</v>
      </c>
      <c r="H238">
        <v>53697.39</v>
      </c>
      <c r="I238" t="s">
        <v>13</v>
      </c>
    </row>
    <row r="239" spans="1:9" x14ac:dyDescent="0.2">
      <c r="A239" t="s">
        <v>342</v>
      </c>
      <c r="B239" t="s">
        <v>47</v>
      </c>
      <c r="C239" t="s">
        <v>20</v>
      </c>
      <c r="D239" t="s">
        <v>21</v>
      </c>
      <c r="E239">
        <v>16307.26</v>
      </c>
      <c r="F239">
        <v>1467.65</v>
      </c>
      <c r="G239">
        <v>1467.65</v>
      </c>
      <c r="H239">
        <v>19242.560000000001</v>
      </c>
      <c r="I239" t="s">
        <v>13</v>
      </c>
    </row>
    <row r="240" spans="1:9" x14ac:dyDescent="0.2">
      <c r="A240" t="s">
        <v>343</v>
      </c>
      <c r="B240" t="s">
        <v>23</v>
      </c>
      <c r="C240" t="s">
        <v>20</v>
      </c>
      <c r="D240" t="s">
        <v>21</v>
      </c>
      <c r="E240">
        <v>6342.33</v>
      </c>
      <c r="F240">
        <v>570.80999999999995</v>
      </c>
      <c r="G240">
        <v>570.80999999999995</v>
      </c>
      <c r="H240">
        <v>7483.95</v>
      </c>
      <c r="I240" t="s">
        <v>13</v>
      </c>
    </row>
    <row r="241" spans="1:9" x14ac:dyDescent="0.2">
      <c r="A241" t="s">
        <v>344</v>
      </c>
      <c r="B241" t="s">
        <v>36</v>
      </c>
      <c r="C241" t="s">
        <v>24</v>
      </c>
      <c r="D241" t="s">
        <v>25</v>
      </c>
      <c r="E241">
        <v>25187.01</v>
      </c>
      <c r="F241">
        <v>2266.83</v>
      </c>
      <c r="G241">
        <v>2266.83</v>
      </c>
      <c r="H241">
        <v>29720.67</v>
      </c>
      <c r="I241" t="s">
        <v>13</v>
      </c>
    </row>
    <row r="242" spans="1:9" x14ac:dyDescent="0.2">
      <c r="A242" t="s">
        <v>345</v>
      </c>
      <c r="B242" t="s">
        <v>168</v>
      </c>
      <c r="C242" t="s">
        <v>20</v>
      </c>
      <c r="D242" t="s">
        <v>21</v>
      </c>
      <c r="E242">
        <v>34108.69</v>
      </c>
      <c r="F242">
        <v>3069.78</v>
      </c>
      <c r="G242">
        <v>3069.78</v>
      </c>
      <c r="H242">
        <v>40248.25</v>
      </c>
      <c r="I242" t="s">
        <v>13</v>
      </c>
    </row>
    <row r="243" spans="1:9" x14ac:dyDescent="0.2">
      <c r="A243" t="s">
        <v>346</v>
      </c>
      <c r="B243" t="s">
        <v>205</v>
      </c>
      <c r="C243" t="s">
        <v>16</v>
      </c>
      <c r="D243" t="s">
        <v>17</v>
      </c>
      <c r="E243">
        <v>3350.28</v>
      </c>
      <c r="F243">
        <v>301.52999999999997</v>
      </c>
      <c r="G243">
        <v>301.52999999999997</v>
      </c>
      <c r="H243">
        <v>3953.34</v>
      </c>
      <c r="I243" t="s">
        <v>13</v>
      </c>
    </row>
    <row r="244" spans="1:9" x14ac:dyDescent="0.2">
      <c r="A244" t="s">
        <v>347</v>
      </c>
      <c r="B244" t="s">
        <v>40</v>
      </c>
      <c r="C244" t="s">
        <v>32</v>
      </c>
      <c r="D244" t="s">
        <v>33</v>
      </c>
      <c r="E244">
        <v>49970.97</v>
      </c>
      <c r="F244">
        <v>4497.3900000000003</v>
      </c>
      <c r="G244">
        <v>4497.3900000000003</v>
      </c>
      <c r="H244">
        <v>58965.75</v>
      </c>
      <c r="I244" t="s">
        <v>13</v>
      </c>
    </row>
    <row r="245" spans="1:9" x14ac:dyDescent="0.2">
      <c r="A245" t="s">
        <v>348</v>
      </c>
      <c r="B245" t="s">
        <v>83</v>
      </c>
      <c r="C245" t="s">
        <v>16</v>
      </c>
      <c r="D245" t="s">
        <v>17</v>
      </c>
      <c r="E245">
        <v>8951.81</v>
      </c>
      <c r="F245">
        <v>805.66</v>
      </c>
      <c r="G245">
        <v>805.66</v>
      </c>
      <c r="H245">
        <v>10563.13</v>
      </c>
      <c r="I245" t="s">
        <v>13</v>
      </c>
    </row>
    <row r="246" spans="1:9" x14ac:dyDescent="0.2">
      <c r="A246" t="s">
        <v>349</v>
      </c>
      <c r="B246" t="s">
        <v>124</v>
      </c>
      <c r="C246" t="s">
        <v>20</v>
      </c>
      <c r="D246" t="s">
        <v>21</v>
      </c>
      <c r="E246">
        <v>28602.66</v>
      </c>
      <c r="F246">
        <v>2574.2399999999998</v>
      </c>
      <c r="G246">
        <v>2574.2399999999998</v>
      </c>
      <c r="H246">
        <v>33751.14</v>
      </c>
      <c r="I246" t="s">
        <v>13</v>
      </c>
    </row>
    <row r="247" spans="1:9" x14ac:dyDescent="0.2">
      <c r="A247" t="s">
        <v>350</v>
      </c>
      <c r="B247" t="s">
        <v>49</v>
      </c>
      <c r="C247" t="s">
        <v>16</v>
      </c>
      <c r="D247" t="s">
        <v>17</v>
      </c>
      <c r="E247">
        <v>9898.69</v>
      </c>
      <c r="F247">
        <v>890.88</v>
      </c>
      <c r="G247">
        <v>890.88</v>
      </c>
      <c r="H247">
        <v>11680.45</v>
      </c>
      <c r="I247" t="s">
        <v>13</v>
      </c>
    </row>
    <row r="248" spans="1:9" x14ac:dyDescent="0.2">
      <c r="A248" t="s">
        <v>351</v>
      </c>
      <c r="B248" t="s">
        <v>152</v>
      </c>
      <c r="C248" t="s">
        <v>11</v>
      </c>
      <c r="D248" t="s">
        <v>12</v>
      </c>
      <c r="E248">
        <v>48810.26</v>
      </c>
      <c r="F248">
        <v>4392.92</v>
      </c>
      <c r="G248">
        <v>4392.92</v>
      </c>
      <c r="H248">
        <v>57596.1</v>
      </c>
      <c r="I248" t="s">
        <v>13</v>
      </c>
    </row>
    <row r="249" spans="1:9" x14ac:dyDescent="0.2">
      <c r="A249" t="s">
        <v>352</v>
      </c>
      <c r="B249" t="s">
        <v>285</v>
      </c>
      <c r="C249" t="s">
        <v>32</v>
      </c>
      <c r="D249" t="s">
        <v>33</v>
      </c>
      <c r="E249">
        <v>48488.39</v>
      </c>
      <c r="F249">
        <v>4363.96</v>
      </c>
      <c r="G249">
        <v>4363.96</v>
      </c>
      <c r="H249">
        <v>57216.31</v>
      </c>
      <c r="I249" t="s">
        <v>13</v>
      </c>
    </row>
    <row r="250" spans="1:9" x14ac:dyDescent="0.2">
      <c r="A250" t="s">
        <v>353</v>
      </c>
      <c r="B250" t="s">
        <v>140</v>
      </c>
      <c r="C250" t="s">
        <v>16</v>
      </c>
      <c r="D250" t="s">
        <v>17</v>
      </c>
      <c r="E250">
        <v>4027.77</v>
      </c>
      <c r="F250">
        <v>362.5</v>
      </c>
      <c r="G250">
        <v>362.5</v>
      </c>
      <c r="H250">
        <v>4752.7700000000004</v>
      </c>
      <c r="I250" t="s">
        <v>13</v>
      </c>
    </row>
    <row r="251" spans="1:9" x14ac:dyDescent="0.2">
      <c r="A251" t="s">
        <v>354</v>
      </c>
      <c r="B251" t="s">
        <v>285</v>
      </c>
      <c r="C251" t="s">
        <v>32</v>
      </c>
      <c r="D251" t="s">
        <v>33</v>
      </c>
      <c r="E251">
        <v>46436.73</v>
      </c>
      <c r="F251">
        <v>4179.3100000000004</v>
      </c>
      <c r="G251">
        <v>4179.3100000000004</v>
      </c>
      <c r="H251">
        <v>54795.35</v>
      </c>
      <c r="I251" t="s">
        <v>13</v>
      </c>
    </row>
    <row r="252" spans="1:9" x14ac:dyDescent="0.2">
      <c r="A252" t="s">
        <v>355</v>
      </c>
      <c r="B252" t="s">
        <v>112</v>
      </c>
      <c r="C252" t="s">
        <v>16</v>
      </c>
      <c r="D252" t="s">
        <v>17</v>
      </c>
      <c r="E252">
        <v>30346.03</v>
      </c>
      <c r="F252">
        <v>2731.14</v>
      </c>
      <c r="G252">
        <v>2731.14</v>
      </c>
      <c r="H252">
        <v>35808.31</v>
      </c>
      <c r="I252" t="s">
        <v>13</v>
      </c>
    </row>
    <row r="253" spans="1:9" x14ac:dyDescent="0.2">
      <c r="A253" t="s">
        <v>356</v>
      </c>
      <c r="B253" t="s">
        <v>103</v>
      </c>
      <c r="C253" t="s">
        <v>32</v>
      </c>
      <c r="D253" t="s">
        <v>33</v>
      </c>
      <c r="E253">
        <v>49998.559999999998</v>
      </c>
      <c r="F253">
        <v>4499.87</v>
      </c>
      <c r="G253">
        <v>4499.87</v>
      </c>
      <c r="H253">
        <v>58998.3</v>
      </c>
      <c r="I253" t="s">
        <v>13</v>
      </c>
    </row>
    <row r="254" spans="1:9" x14ac:dyDescent="0.2">
      <c r="A254" t="s">
        <v>357</v>
      </c>
      <c r="B254" t="s">
        <v>114</v>
      </c>
      <c r="C254" t="s">
        <v>11</v>
      </c>
      <c r="D254" t="s">
        <v>12</v>
      </c>
      <c r="E254">
        <v>11885.83</v>
      </c>
      <c r="F254">
        <v>1069.72</v>
      </c>
      <c r="G254">
        <v>1069.72</v>
      </c>
      <c r="H254">
        <v>14025.27</v>
      </c>
      <c r="I254" t="s">
        <v>13</v>
      </c>
    </row>
    <row r="255" spans="1:9" x14ac:dyDescent="0.2">
      <c r="A255" t="s">
        <v>358</v>
      </c>
      <c r="B255" t="s">
        <v>212</v>
      </c>
      <c r="C255" t="s">
        <v>20</v>
      </c>
      <c r="D255" t="s">
        <v>21</v>
      </c>
      <c r="E255">
        <v>11530.39</v>
      </c>
      <c r="F255">
        <v>1037.74</v>
      </c>
      <c r="G255">
        <v>1037.74</v>
      </c>
      <c r="H255">
        <v>13605.87</v>
      </c>
      <c r="I255" t="s">
        <v>13</v>
      </c>
    </row>
    <row r="256" spans="1:9" x14ac:dyDescent="0.2">
      <c r="A256" t="s">
        <v>359</v>
      </c>
      <c r="B256" t="s">
        <v>285</v>
      </c>
      <c r="C256" t="s">
        <v>11</v>
      </c>
      <c r="D256" t="s">
        <v>12</v>
      </c>
      <c r="E256">
        <v>20530.34</v>
      </c>
      <c r="F256">
        <v>1847.73</v>
      </c>
      <c r="G256">
        <v>1847.73</v>
      </c>
      <c r="H256">
        <v>24225.8</v>
      </c>
      <c r="I256" t="s">
        <v>13</v>
      </c>
    </row>
    <row r="257" spans="1:9" x14ac:dyDescent="0.2">
      <c r="A257" t="s">
        <v>360</v>
      </c>
      <c r="B257" t="s">
        <v>38</v>
      </c>
      <c r="C257" t="s">
        <v>20</v>
      </c>
      <c r="D257" t="s">
        <v>21</v>
      </c>
      <c r="E257">
        <v>2230.87</v>
      </c>
      <c r="F257">
        <v>200.78</v>
      </c>
      <c r="G257">
        <v>200.78</v>
      </c>
      <c r="H257">
        <v>2632.43</v>
      </c>
      <c r="I257" t="s">
        <v>13</v>
      </c>
    </row>
    <row r="258" spans="1:9" x14ac:dyDescent="0.2">
      <c r="A258" t="s">
        <v>361</v>
      </c>
      <c r="B258" t="s">
        <v>31</v>
      </c>
      <c r="C258" t="s">
        <v>20</v>
      </c>
      <c r="D258" t="s">
        <v>21</v>
      </c>
      <c r="E258">
        <v>44677.31</v>
      </c>
      <c r="F258">
        <v>4020.96</v>
      </c>
      <c r="G258">
        <v>4020.96</v>
      </c>
      <c r="H258">
        <v>52719.23</v>
      </c>
      <c r="I258" t="s">
        <v>13</v>
      </c>
    </row>
    <row r="259" spans="1:9" x14ac:dyDescent="0.2">
      <c r="A259" t="s">
        <v>362</v>
      </c>
      <c r="B259" t="s">
        <v>97</v>
      </c>
      <c r="C259" t="s">
        <v>32</v>
      </c>
      <c r="D259" t="s">
        <v>33</v>
      </c>
      <c r="E259">
        <v>14573</v>
      </c>
      <c r="F259">
        <v>1311.57</v>
      </c>
      <c r="G259">
        <v>1311.57</v>
      </c>
      <c r="H259">
        <v>17196.14</v>
      </c>
      <c r="I259" t="s">
        <v>13</v>
      </c>
    </row>
    <row r="260" spans="1:9" x14ac:dyDescent="0.2">
      <c r="A260" t="s">
        <v>363</v>
      </c>
      <c r="B260" t="s">
        <v>292</v>
      </c>
      <c r="C260" t="s">
        <v>11</v>
      </c>
      <c r="D260" t="s">
        <v>12</v>
      </c>
      <c r="E260">
        <v>15459.13</v>
      </c>
      <c r="F260">
        <v>1391.32</v>
      </c>
      <c r="G260">
        <v>1391.32</v>
      </c>
      <c r="H260">
        <v>18241.77</v>
      </c>
      <c r="I260" t="s">
        <v>13</v>
      </c>
    </row>
    <row r="261" spans="1:9" x14ac:dyDescent="0.2">
      <c r="A261" t="s">
        <v>364</v>
      </c>
      <c r="B261" t="s">
        <v>215</v>
      </c>
      <c r="C261" t="s">
        <v>20</v>
      </c>
      <c r="D261" t="s">
        <v>21</v>
      </c>
      <c r="E261">
        <v>25393.26</v>
      </c>
      <c r="F261">
        <v>2285.39</v>
      </c>
      <c r="G261">
        <v>2285.39</v>
      </c>
      <c r="H261">
        <v>29964.04</v>
      </c>
      <c r="I261" t="s">
        <v>13</v>
      </c>
    </row>
    <row r="262" spans="1:9" x14ac:dyDescent="0.2">
      <c r="A262" t="s">
        <v>365</v>
      </c>
      <c r="B262" t="s">
        <v>161</v>
      </c>
      <c r="C262" t="s">
        <v>16</v>
      </c>
      <c r="D262" t="s">
        <v>17</v>
      </c>
      <c r="E262">
        <v>38773.83</v>
      </c>
      <c r="F262">
        <v>3489.64</v>
      </c>
      <c r="G262">
        <v>3489.64</v>
      </c>
      <c r="H262">
        <v>45753.11</v>
      </c>
      <c r="I262" t="s">
        <v>13</v>
      </c>
    </row>
    <row r="263" spans="1:9" x14ac:dyDescent="0.2">
      <c r="A263" t="s">
        <v>366</v>
      </c>
      <c r="B263" t="s">
        <v>73</v>
      </c>
      <c r="C263" t="s">
        <v>24</v>
      </c>
      <c r="D263" t="s">
        <v>25</v>
      </c>
      <c r="E263">
        <v>27999.51</v>
      </c>
      <c r="F263">
        <v>2519.96</v>
      </c>
      <c r="G263">
        <v>2519.96</v>
      </c>
      <c r="H263">
        <v>33039.43</v>
      </c>
      <c r="I263" t="s">
        <v>13</v>
      </c>
    </row>
    <row r="264" spans="1:9" x14ac:dyDescent="0.2">
      <c r="A264" t="s">
        <v>367</v>
      </c>
      <c r="B264" t="s">
        <v>311</v>
      </c>
      <c r="C264" t="s">
        <v>16</v>
      </c>
      <c r="D264" t="s">
        <v>17</v>
      </c>
      <c r="E264">
        <v>4311.07</v>
      </c>
      <c r="F264">
        <v>388</v>
      </c>
      <c r="G264">
        <v>388</v>
      </c>
      <c r="H264">
        <v>5087.07</v>
      </c>
      <c r="I264" t="s">
        <v>13</v>
      </c>
    </row>
    <row r="265" spans="1:9" x14ac:dyDescent="0.2">
      <c r="A265" t="s">
        <v>368</v>
      </c>
      <c r="B265" t="s">
        <v>192</v>
      </c>
      <c r="C265" t="s">
        <v>20</v>
      </c>
      <c r="D265" t="s">
        <v>21</v>
      </c>
      <c r="E265">
        <v>46607.95</v>
      </c>
      <c r="F265">
        <v>4194.72</v>
      </c>
      <c r="G265">
        <v>4194.72</v>
      </c>
      <c r="H265">
        <v>54997.39</v>
      </c>
      <c r="I265" t="s">
        <v>13</v>
      </c>
    </row>
    <row r="266" spans="1:9" x14ac:dyDescent="0.2">
      <c r="A266" t="s">
        <v>369</v>
      </c>
      <c r="B266" t="s">
        <v>105</v>
      </c>
      <c r="C266" t="s">
        <v>20</v>
      </c>
      <c r="D266" t="s">
        <v>21</v>
      </c>
      <c r="E266">
        <v>17445.150000000001</v>
      </c>
      <c r="F266">
        <v>1570.06</v>
      </c>
      <c r="G266">
        <v>1570.06</v>
      </c>
      <c r="H266">
        <v>20585.27</v>
      </c>
      <c r="I266" t="s">
        <v>13</v>
      </c>
    </row>
    <row r="267" spans="1:9" x14ac:dyDescent="0.2">
      <c r="A267" t="s">
        <v>370</v>
      </c>
      <c r="B267" t="s">
        <v>31</v>
      </c>
      <c r="C267" t="s">
        <v>11</v>
      </c>
      <c r="D267" t="s">
        <v>12</v>
      </c>
      <c r="E267">
        <v>43124.01</v>
      </c>
      <c r="F267">
        <v>3881.16</v>
      </c>
      <c r="G267">
        <v>3881.16</v>
      </c>
      <c r="H267">
        <v>50886.33</v>
      </c>
      <c r="I267" t="s">
        <v>13</v>
      </c>
    </row>
    <row r="268" spans="1:9" x14ac:dyDescent="0.2">
      <c r="A268" t="s">
        <v>371</v>
      </c>
      <c r="B268" t="s">
        <v>29</v>
      </c>
      <c r="C268" t="s">
        <v>24</v>
      </c>
      <c r="D268" t="s">
        <v>25</v>
      </c>
      <c r="E268">
        <v>26496.01</v>
      </c>
      <c r="F268">
        <v>2384.64</v>
      </c>
      <c r="G268">
        <v>2384.64</v>
      </c>
      <c r="H268">
        <v>31265.29</v>
      </c>
      <c r="I268" t="s">
        <v>13</v>
      </c>
    </row>
    <row r="269" spans="1:9" x14ac:dyDescent="0.2">
      <c r="A269" t="s">
        <v>372</v>
      </c>
      <c r="B269" t="s">
        <v>192</v>
      </c>
      <c r="C269" t="s">
        <v>32</v>
      </c>
      <c r="D269" t="s">
        <v>33</v>
      </c>
      <c r="E269">
        <v>30064.14</v>
      </c>
      <c r="F269">
        <v>2705.77</v>
      </c>
      <c r="G269">
        <v>2705.77</v>
      </c>
      <c r="H269">
        <v>35475.68</v>
      </c>
      <c r="I269" t="s">
        <v>13</v>
      </c>
    </row>
    <row r="270" spans="1:9" x14ac:dyDescent="0.2">
      <c r="A270" t="s">
        <v>373</v>
      </c>
      <c r="B270" t="s">
        <v>238</v>
      </c>
      <c r="C270" t="s">
        <v>20</v>
      </c>
      <c r="D270" t="s">
        <v>21</v>
      </c>
      <c r="E270">
        <v>24792.89</v>
      </c>
      <c r="F270">
        <v>2231.36</v>
      </c>
      <c r="G270">
        <v>2231.36</v>
      </c>
      <c r="H270">
        <v>29255.61</v>
      </c>
      <c r="I270" t="s">
        <v>13</v>
      </c>
    </row>
    <row r="271" spans="1:9" x14ac:dyDescent="0.2">
      <c r="A271" t="s">
        <v>374</v>
      </c>
      <c r="B271" t="s">
        <v>238</v>
      </c>
      <c r="C271" t="s">
        <v>32</v>
      </c>
      <c r="D271" t="s">
        <v>33</v>
      </c>
      <c r="E271">
        <v>12390.76</v>
      </c>
      <c r="F271">
        <v>1115.17</v>
      </c>
      <c r="G271">
        <v>1115.17</v>
      </c>
      <c r="H271">
        <v>14621.1</v>
      </c>
      <c r="I271" t="s">
        <v>13</v>
      </c>
    </row>
    <row r="272" spans="1:9" x14ac:dyDescent="0.2">
      <c r="A272" t="s">
        <v>375</v>
      </c>
      <c r="B272" t="s">
        <v>114</v>
      </c>
      <c r="C272" t="s">
        <v>11</v>
      </c>
      <c r="D272" t="s">
        <v>12</v>
      </c>
      <c r="E272">
        <v>37856.22</v>
      </c>
      <c r="F272">
        <v>3407.06</v>
      </c>
      <c r="G272">
        <v>3407.06</v>
      </c>
      <c r="H272">
        <v>44670.34</v>
      </c>
      <c r="I272" t="s">
        <v>13</v>
      </c>
    </row>
    <row r="273" spans="1:9" x14ac:dyDescent="0.2">
      <c r="A273" t="s">
        <v>376</v>
      </c>
      <c r="B273" t="s">
        <v>185</v>
      </c>
      <c r="C273" t="s">
        <v>24</v>
      </c>
      <c r="D273" t="s">
        <v>25</v>
      </c>
      <c r="E273">
        <v>49292.08</v>
      </c>
      <c r="F273">
        <v>4436.29</v>
      </c>
      <c r="G273">
        <v>4436.29</v>
      </c>
      <c r="H273">
        <v>58164.66</v>
      </c>
      <c r="I273" t="s">
        <v>13</v>
      </c>
    </row>
    <row r="274" spans="1:9" x14ac:dyDescent="0.2">
      <c r="A274" t="s">
        <v>377</v>
      </c>
      <c r="B274" t="s">
        <v>174</v>
      </c>
      <c r="C274" t="s">
        <v>32</v>
      </c>
      <c r="D274" t="s">
        <v>33</v>
      </c>
      <c r="E274">
        <v>39910.29</v>
      </c>
      <c r="F274">
        <v>3591.93</v>
      </c>
      <c r="G274">
        <v>3591.93</v>
      </c>
      <c r="H274">
        <v>47094.15</v>
      </c>
      <c r="I274" t="s">
        <v>13</v>
      </c>
    </row>
    <row r="275" spans="1:9" x14ac:dyDescent="0.2">
      <c r="A275" t="s">
        <v>378</v>
      </c>
      <c r="B275" t="s">
        <v>107</v>
      </c>
      <c r="C275" t="s">
        <v>16</v>
      </c>
      <c r="D275" t="s">
        <v>17</v>
      </c>
      <c r="E275">
        <v>30154.57</v>
      </c>
      <c r="F275">
        <v>2713.91</v>
      </c>
      <c r="G275">
        <v>2713.91</v>
      </c>
      <c r="H275">
        <v>35582.39</v>
      </c>
      <c r="I275" t="s">
        <v>13</v>
      </c>
    </row>
    <row r="276" spans="1:9" x14ac:dyDescent="0.2">
      <c r="A276" t="s">
        <v>379</v>
      </c>
      <c r="B276" t="s">
        <v>31</v>
      </c>
      <c r="C276" t="s">
        <v>32</v>
      </c>
      <c r="D276" t="s">
        <v>33</v>
      </c>
      <c r="E276">
        <v>26331.279999999999</v>
      </c>
      <c r="F276">
        <v>2369.8200000000002</v>
      </c>
      <c r="G276">
        <v>2369.8200000000002</v>
      </c>
      <c r="H276">
        <v>31070.92</v>
      </c>
      <c r="I276" t="s">
        <v>13</v>
      </c>
    </row>
    <row r="277" spans="1:9" x14ac:dyDescent="0.2">
      <c r="A277" t="s">
        <v>380</v>
      </c>
      <c r="B277" t="s">
        <v>252</v>
      </c>
      <c r="C277" t="s">
        <v>11</v>
      </c>
      <c r="D277" t="s">
        <v>12</v>
      </c>
      <c r="E277">
        <v>6152.17</v>
      </c>
      <c r="F277">
        <v>553.70000000000005</v>
      </c>
      <c r="G277">
        <v>553.70000000000005</v>
      </c>
      <c r="H277">
        <v>7259.57</v>
      </c>
      <c r="I277" t="s">
        <v>13</v>
      </c>
    </row>
    <row r="278" spans="1:9" x14ac:dyDescent="0.2">
      <c r="A278" t="s">
        <v>381</v>
      </c>
      <c r="B278" t="s">
        <v>83</v>
      </c>
      <c r="C278" t="s">
        <v>11</v>
      </c>
      <c r="D278" t="s">
        <v>12</v>
      </c>
      <c r="E278">
        <v>4469.43</v>
      </c>
      <c r="F278">
        <v>402.25</v>
      </c>
      <c r="G278">
        <v>402.25</v>
      </c>
      <c r="H278">
        <v>5273.93</v>
      </c>
      <c r="I278" t="s">
        <v>13</v>
      </c>
    </row>
    <row r="279" spans="1:9" x14ac:dyDescent="0.2">
      <c r="A279" t="s">
        <v>382</v>
      </c>
      <c r="B279" t="s">
        <v>114</v>
      </c>
      <c r="C279" t="s">
        <v>16</v>
      </c>
      <c r="D279" t="s">
        <v>17</v>
      </c>
      <c r="E279">
        <v>46718.83</v>
      </c>
      <c r="F279">
        <v>4204.6899999999996</v>
      </c>
      <c r="G279">
        <v>4204.6899999999996</v>
      </c>
      <c r="H279">
        <v>55128.21</v>
      </c>
      <c r="I279" t="s">
        <v>13</v>
      </c>
    </row>
    <row r="280" spans="1:9" x14ac:dyDescent="0.2">
      <c r="A280" t="s">
        <v>383</v>
      </c>
      <c r="B280" t="s">
        <v>170</v>
      </c>
      <c r="C280" t="s">
        <v>24</v>
      </c>
      <c r="D280" t="s">
        <v>25</v>
      </c>
      <c r="E280">
        <v>2934.21</v>
      </c>
      <c r="F280">
        <v>264.08</v>
      </c>
      <c r="G280">
        <v>264.08</v>
      </c>
      <c r="H280">
        <v>3462.37</v>
      </c>
      <c r="I280" t="s">
        <v>13</v>
      </c>
    </row>
    <row r="281" spans="1:9" x14ac:dyDescent="0.2">
      <c r="A281" t="s">
        <v>384</v>
      </c>
      <c r="B281" t="s">
        <v>146</v>
      </c>
      <c r="C281" t="s">
        <v>32</v>
      </c>
      <c r="D281" t="s">
        <v>33</v>
      </c>
      <c r="E281">
        <v>28726.47</v>
      </c>
      <c r="F281">
        <v>2585.38</v>
      </c>
      <c r="G281">
        <v>2585.38</v>
      </c>
      <c r="H281">
        <v>33897.230000000003</v>
      </c>
      <c r="I281" t="s">
        <v>13</v>
      </c>
    </row>
    <row r="282" spans="1:9" x14ac:dyDescent="0.2">
      <c r="A282" t="s">
        <v>385</v>
      </c>
      <c r="B282" t="s">
        <v>56</v>
      </c>
      <c r="C282" t="s">
        <v>16</v>
      </c>
      <c r="D282" t="s">
        <v>17</v>
      </c>
      <c r="E282">
        <v>14458.79</v>
      </c>
      <c r="F282">
        <v>1301.29</v>
      </c>
      <c r="G282">
        <v>1301.29</v>
      </c>
      <c r="H282">
        <v>17061.37</v>
      </c>
      <c r="I282" t="s">
        <v>13</v>
      </c>
    </row>
    <row r="283" spans="1:9" x14ac:dyDescent="0.2">
      <c r="A283" t="s">
        <v>386</v>
      </c>
      <c r="B283" t="s">
        <v>77</v>
      </c>
      <c r="C283" t="s">
        <v>16</v>
      </c>
      <c r="D283" t="s">
        <v>17</v>
      </c>
      <c r="E283">
        <v>43594.58</v>
      </c>
      <c r="F283">
        <v>3923.51</v>
      </c>
      <c r="G283">
        <v>3923.51</v>
      </c>
      <c r="H283">
        <v>51441.599999999999</v>
      </c>
      <c r="I283" t="s">
        <v>13</v>
      </c>
    </row>
    <row r="284" spans="1:9" x14ac:dyDescent="0.2">
      <c r="A284" t="s">
        <v>387</v>
      </c>
      <c r="B284" t="s">
        <v>268</v>
      </c>
      <c r="C284" t="s">
        <v>32</v>
      </c>
      <c r="D284" t="s">
        <v>33</v>
      </c>
      <c r="E284">
        <v>20529.39</v>
      </c>
      <c r="F284">
        <v>1847.65</v>
      </c>
      <c r="G284">
        <v>1847.65</v>
      </c>
      <c r="H284">
        <v>24224.69</v>
      </c>
      <c r="I284" t="s">
        <v>13</v>
      </c>
    </row>
    <row r="285" spans="1:9" x14ac:dyDescent="0.2">
      <c r="A285" t="s">
        <v>388</v>
      </c>
      <c r="B285" t="s">
        <v>140</v>
      </c>
      <c r="C285" t="s">
        <v>16</v>
      </c>
      <c r="D285" t="s">
        <v>17</v>
      </c>
      <c r="E285">
        <v>45085.57</v>
      </c>
      <c r="F285">
        <v>4057.7</v>
      </c>
      <c r="G285">
        <v>4057.7</v>
      </c>
      <c r="H285">
        <v>53200.97</v>
      </c>
      <c r="I285" t="s">
        <v>13</v>
      </c>
    </row>
    <row r="286" spans="1:9" x14ac:dyDescent="0.2">
      <c r="A286" t="s">
        <v>389</v>
      </c>
      <c r="B286" t="s">
        <v>390</v>
      </c>
      <c r="C286" t="s">
        <v>24</v>
      </c>
      <c r="D286" t="s">
        <v>25</v>
      </c>
      <c r="E286">
        <v>47618.400000000001</v>
      </c>
      <c r="F286">
        <v>4285.66</v>
      </c>
      <c r="G286">
        <v>4285.66</v>
      </c>
      <c r="H286">
        <v>56189.72</v>
      </c>
      <c r="I286" t="s">
        <v>13</v>
      </c>
    </row>
    <row r="287" spans="1:9" x14ac:dyDescent="0.2">
      <c r="A287" t="s">
        <v>391</v>
      </c>
      <c r="B287" t="s">
        <v>87</v>
      </c>
      <c r="C287" t="s">
        <v>20</v>
      </c>
      <c r="D287" t="s">
        <v>21</v>
      </c>
      <c r="E287">
        <v>24879.360000000001</v>
      </c>
      <c r="F287">
        <v>2239.14</v>
      </c>
      <c r="G287">
        <v>2239.14</v>
      </c>
      <c r="H287">
        <v>29357.64</v>
      </c>
      <c r="I287" t="s">
        <v>13</v>
      </c>
    </row>
    <row r="288" spans="1:9" x14ac:dyDescent="0.2">
      <c r="A288" t="s">
        <v>392</v>
      </c>
      <c r="B288" t="s">
        <v>195</v>
      </c>
      <c r="C288" t="s">
        <v>20</v>
      </c>
      <c r="D288" t="s">
        <v>21</v>
      </c>
      <c r="E288">
        <v>11914.88</v>
      </c>
      <c r="F288">
        <v>1072.3399999999999</v>
      </c>
      <c r="G288">
        <v>1072.3399999999999</v>
      </c>
      <c r="H288">
        <v>14059.56</v>
      </c>
      <c r="I288" t="s">
        <v>13</v>
      </c>
    </row>
    <row r="289" spans="1:9" x14ac:dyDescent="0.2">
      <c r="A289" t="s">
        <v>393</v>
      </c>
      <c r="B289" t="s">
        <v>155</v>
      </c>
      <c r="C289" t="s">
        <v>16</v>
      </c>
      <c r="D289" t="s">
        <v>17</v>
      </c>
      <c r="E289">
        <v>3392.96</v>
      </c>
      <c r="F289">
        <v>305.37</v>
      </c>
      <c r="G289">
        <v>305.37</v>
      </c>
      <c r="H289">
        <v>4003.7</v>
      </c>
      <c r="I289" t="s">
        <v>13</v>
      </c>
    </row>
    <row r="290" spans="1:9" x14ac:dyDescent="0.2">
      <c r="A290" t="s">
        <v>394</v>
      </c>
      <c r="B290" t="s">
        <v>205</v>
      </c>
      <c r="C290" t="s">
        <v>32</v>
      </c>
      <c r="D290" t="s">
        <v>33</v>
      </c>
      <c r="E290">
        <v>47050.92</v>
      </c>
      <c r="F290">
        <v>4234.58</v>
      </c>
      <c r="G290">
        <v>4234.58</v>
      </c>
      <c r="H290">
        <v>55520.08</v>
      </c>
      <c r="I290" t="s">
        <v>13</v>
      </c>
    </row>
    <row r="291" spans="1:9" x14ac:dyDescent="0.2">
      <c r="A291" t="s">
        <v>395</v>
      </c>
      <c r="B291" t="s">
        <v>107</v>
      </c>
      <c r="C291" t="s">
        <v>20</v>
      </c>
      <c r="D291" t="s">
        <v>21</v>
      </c>
      <c r="E291">
        <v>18240.490000000002</v>
      </c>
      <c r="F291">
        <v>1641.64</v>
      </c>
      <c r="G291">
        <v>1641.64</v>
      </c>
      <c r="H291">
        <v>21523.77</v>
      </c>
      <c r="I291" t="s">
        <v>13</v>
      </c>
    </row>
    <row r="292" spans="1:9" x14ac:dyDescent="0.2">
      <c r="A292" t="s">
        <v>396</v>
      </c>
      <c r="B292" t="s">
        <v>157</v>
      </c>
      <c r="C292" t="s">
        <v>32</v>
      </c>
      <c r="D292" t="s">
        <v>33</v>
      </c>
      <c r="E292">
        <v>28097.18</v>
      </c>
      <c r="F292">
        <v>2528.75</v>
      </c>
      <c r="G292">
        <v>2528.75</v>
      </c>
      <c r="H292">
        <v>33154.68</v>
      </c>
      <c r="I292" t="s">
        <v>13</v>
      </c>
    </row>
    <row r="293" spans="1:9" x14ac:dyDescent="0.2">
      <c r="A293" t="s">
        <v>397</v>
      </c>
      <c r="B293" t="s">
        <v>109</v>
      </c>
      <c r="C293" t="s">
        <v>32</v>
      </c>
      <c r="D293" t="s">
        <v>33</v>
      </c>
      <c r="E293">
        <v>38571.760000000002</v>
      </c>
      <c r="F293">
        <v>3471.46</v>
      </c>
      <c r="G293">
        <v>3471.46</v>
      </c>
      <c r="H293">
        <v>45514.68</v>
      </c>
      <c r="I293" t="s">
        <v>13</v>
      </c>
    </row>
    <row r="294" spans="1:9" x14ac:dyDescent="0.2">
      <c r="A294" t="s">
        <v>398</v>
      </c>
      <c r="B294" t="s">
        <v>19</v>
      </c>
      <c r="C294" t="s">
        <v>32</v>
      </c>
      <c r="D294" t="s">
        <v>33</v>
      </c>
      <c r="E294">
        <v>11288.73</v>
      </c>
      <c r="F294">
        <v>1015.99</v>
      </c>
      <c r="G294">
        <v>1015.99</v>
      </c>
      <c r="H294">
        <v>13320.71</v>
      </c>
      <c r="I294" t="s">
        <v>13</v>
      </c>
    </row>
    <row r="295" spans="1:9" x14ac:dyDescent="0.2">
      <c r="A295" t="s">
        <v>399</v>
      </c>
      <c r="B295" t="s">
        <v>100</v>
      </c>
      <c r="C295" t="s">
        <v>16</v>
      </c>
      <c r="D295" t="s">
        <v>17</v>
      </c>
      <c r="E295">
        <v>26961.97</v>
      </c>
      <c r="F295">
        <v>2426.58</v>
      </c>
      <c r="G295">
        <v>2426.58</v>
      </c>
      <c r="H295">
        <v>31815.13</v>
      </c>
      <c r="I295" t="s">
        <v>13</v>
      </c>
    </row>
    <row r="296" spans="1:9" x14ac:dyDescent="0.2">
      <c r="A296" t="s">
        <v>400</v>
      </c>
      <c r="B296" t="s">
        <v>165</v>
      </c>
      <c r="C296" t="s">
        <v>11</v>
      </c>
      <c r="D296" t="s">
        <v>12</v>
      </c>
      <c r="E296">
        <v>5023.0200000000004</v>
      </c>
      <c r="F296">
        <v>452.07</v>
      </c>
      <c r="G296">
        <v>452.07</v>
      </c>
      <c r="H296">
        <v>5927.16</v>
      </c>
      <c r="I296" t="s">
        <v>13</v>
      </c>
    </row>
    <row r="297" spans="1:9" x14ac:dyDescent="0.2">
      <c r="A297" t="s">
        <v>401</v>
      </c>
      <c r="B297" t="s">
        <v>195</v>
      </c>
      <c r="C297" t="s">
        <v>16</v>
      </c>
      <c r="D297" t="s">
        <v>17</v>
      </c>
      <c r="E297">
        <v>23059.78</v>
      </c>
      <c r="F297">
        <v>2075.38</v>
      </c>
      <c r="G297">
        <v>2075.38</v>
      </c>
      <c r="H297">
        <v>27210.54</v>
      </c>
      <c r="I297" t="s">
        <v>13</v>
      </c>
    </row>
    <row r="298" spans="1:9" x14ac:dyDescent="0.2">
      <c r="A298" t="s">
        <v>402</v>
      </c>
      <c r="B298" t="s">
        <v>212</v>
      </c>
      <c r="C298" t="s">
        <v>24</v>
      </c>
      <c r="D298" t="s">
        <v>25</v>
      </c>
      <c r="E298">
        <v>6903.32</v>
      </c>
      <c r="F298">
        <v>621.29999999999995</v>
      </c>
      <c r="G298">
        <v>621.29999999999995</v>
      </c>
      <c r="H298">
        <v>8145.92</v>
      </c>
      <c r="I298" t="s">
        <v>13</v>
      </c>
    </row>
    <row r="299" spans="1:9" x14ac:dyDescent="0.2">
      <c r="A299" t="s">
        <v>403</v>
      </c>
      <c r="B299" t="s">
        <v>45</v>
      </c>
      <c r="C299" t="s">
        <v>11</v>
      </c>
      <c r="D299" t="s">
        <v>12</v>
      </c>
      <c r="E299">
        <v>39814.01</v>
      </c>
      <c r="F299">
        <v>3583.26</v>
      </c>
      <c r="G299">
        <v>3583.26</v>
      </c>
      <c r="H299">
        <v>46980.53</v>
      </c>
      <c r="I299" t="s">
        <v>13</v>
      </c>
    </row>
    <row r="300" spans="1:9" x14ac:dyDescent="0.2">
      <c r="A300" t="s">
        <v>404</v>
      </c>
      <c r="B300" t="s">
        <v>146</v>
      </c>
      <c r="C300" t="s">
        <v>32</v>
      </c>
      <c r="D300" t="s">
        <v>33</v>
      </c>
      <c r="E300">
        <v>49522.17</v>
      </c>
      <c r="F300">
        <v>4457</v>
      </c>
      <c r="G300">
        <v>4457</v>
      </c>
      <c r="H300">
        <v>58436.17</v>
      </c>
      <c r="I300" t="s">
        <v>13</v>
      </c>
    </row>
    <row r="301" spans="1:9" x14ac:dyDescent="0.2">
      <c r="A301" t="s">
        <v>405</v>
      </c>
      <c r="B301" t="s">
        <v>73</v>
      </c>
      <c r="C301" t="s">
        <v>24</v>
      </c>
      <c r="D301" t="s">
        <v>25</v>
      </c>
      <c r="E301">
        <v>6464.08</v>
      </c>
      <c r="F301">
        <v>581.77</v>
      </c>
      <c r="G301">
        <v>581.77</v>
      </c>
      <c r="H301">
        <v>7627.62</v>
      </c>
      <c r="I301" t="s">
        <v>13</v>
      </c>
    </row>
    <row r="302" spans="1:9" x14ac:dyDescent="0.2">
      <c r="A302" t="s">
        <v>406</v>
      </c>
      <c r="B302" t="s">
        <v>170</v>
      </c>
      <c r="C302" t="s">
        <v>32</v>
      </c>
      <c r="D302" t="s">
        <v>33</v>
      </c>
      <c r="E302">
        <v>49485.11</v>
      </c>
      <c r="F302">
        <v>4453.66</v>
      </c>
      <c r="G302">
        <v>4453.66</v>
      </c>
      <c r="H302">
        <v>58392.43</v>
      </c>
      <c r="I302" t="s">
        <v>13</v>
      </c>
    </row>
    <row r="303" spans="1:9" x14ac:dyDescent="0.2">
      <c r="A303" t="s">
        <v>407</v>
      </c>
      <c r="B303" t="s">
        <v>54</v>
      </c>
      <c r="C303" t="s">
        <v>11</v>
      </c>
      <c r="D303" t="s">
        <v>12</v>
      </c>
      <c r="E303">
        <v>44534.01</v>
      </c>
      <c r="F303">
        <v>4008.06</v>
      </c>
      <c r="G303">
        <v>4008.06</v>
      </c>
      <c r="H303">
        <v>52550.13</v>
      </c>
      <c r="I303" t="s">
        <v>13</v>
      </c>
    </row>
    <row r="304" spans="1:9" x14ac:dyDescent="0.2">
      <c r="A304" t="s">
        <v>408</v>
      </c>
      <c r="B304" t="s">
        <v>130</v>
      </c>
      <c r="C304" t="s">
        <v>24</v>
      </c>
      <c r="D304" t="s">
        <v>25</v>
      </c>
      <c r="E304">
        <v>11273.12</v>
      </c>
      <c r="F304">
        <v>1014.58</v>
      </c>
      <c r="G304">
        <v>1014.58</v>
      </c>
      <c r="H304">
        <v>13302.28</v>
      </c>
      <c r="I304" t="s">
        <v>13</v>
      </c>
    </row>
    <row r="305" spans="1:9" x14ac:dyDescent="0.2">
      <c r="A305" t="s">
        <v>409</v>
      </c>
      <c r="B305" t="s">
        <v>201</v>
      </c>
      <c r="C305" t="s">
        <v>24</v>
      </c>
      <c r="D305" t="s">
        <v>25</v>
      </c>
      <c r="E305">
        <v>1221.82</v>
      </c>
      <c r="F305">
        <v>109.96</v>
      </c>
      <c r="G305">
        <v>109.96</v>
      </c>
      <c r="H305">
        <v>1441.74</v>
      </c>
      <c r="I305" t="s">
        <v>13</v>
      </c>
    </row>
    <row r="306" spans="1:9" x14ac:dyDescent="0.2">
      <c r="A306" t="s">
        <v>410</v>
      </c>
      <c r="B306" t="s">
        <v>188</v>
      </c>
      <c r="C306" t="s">
        <v>20</v>
      </c>
      <c r="D306" t="s">
        <v>21</v>
      </c>
      <c r="E306">
        <v>4175</v>
      </c>
      <c r="F306">
        <v>375.75</v>
      </c>
      <c r="G306">
        <v>375.75</v>
      </c>
      <c r="H306">
        <v>4926.5</v>
      </c>
      <c r="I306" t="s">
        <v>13</v>
      </c>
    </row>
    <row r="307" spans="1:9" x14ac:dyDescent="0.2">
      <c r="A307" t="s">
        <v>411</v>
      </c>
      <c r="B307" t="s">
        <v>134</v>
      </c>
      <c r="C307" t="s">
        <v>16</v>
      </c>
      <c r="D307" t="s">
        <v>17</v>
      </c>
      <c r="E307">
        <v>14467.9</v>
      </c>
      <c r="F307">
        <v>1302.1099999999999</v>
      </c>
      <c r="G307">
        <v>1302.1099999999999</v>
      </c>
      <c r="H307">
        <v>17072.12</v>
      </c>
      <c r="I307" t="s">
        <v>13</v>
      </c>
    </row>
    <row r="308" spans="1:9" x14ac:dyDescent="0.2">
      <c r="A308" t="s">
        <v>412</v>
      </c>
      <c r="B308" t="s">
        <v>63</v>
      </c>
      <c r="C308" t="s">
        <v>11</v>
      </c>
      <c r="D308" t="s">
        <v>12</v>
      </c>
      <c r="E308">
        <v>43889.1</v>
      </c>
      <c r="F308">
        <v>3950.02</v>
      </c>
      <c r="G308">
        <v>3950.02</v>
      </c>
      <c r="H308">
        <v>51789.14</v>
      </c>
      <c r="I308" t="s">
        <v>13</v>
      </c>
    </row>
    <row r="309" spans="1:9" x14ac:dyDescent="0.2">
      <c r="A309" t="s">
        <v>413</v>
      </c>
      <c r="B309" t="s">
        <v>56</v>
      </c>
      <c r="C309" t="s">
        <v>32</v>
      </c>
      <c r="D309" t="s">
        <v>33</v>
      </c>
      <c r="E309">
        <v>17023.810000000001</v>
      </c>
      <c r="F309">
        <v>1532.14</v>
      </c>
      <c r="G309">
        <v>1532.14</v>
      </c>
      <c r="H309">
        <v>20088.09</v>
      </c>
      <c r="I309" t="s">
        <v>13</v>
      </c>
    </row>
    <row r="310" spans="1:9" x14ac:dyDescent="0.2">
      <c r="A310" t="s">
        <v>414</v>
      </c>
      <c r="B310" t="s">
        <v>215</v>
      </c>
      <c r="C310" t="s">
        <v>24</v>
      </c>
      <c r="D310" t="s">
        <v>25</v>
      </c>
      <c r="E310">
        <v>30813.95</v>
      </c>
      <c r="F310">
        <v>2773.26</v>
      </c>
      <c r="G310">
        <v>2773.26</v>
      </c>
      <c r="H310">
        <v>36360.47</v>
      </c>
      <c r="I310" t="s">
        <v>13</v>
      </c>
    </row>
    <row r="311" spans="1:9" x14ac:dyDescent="0.2">
      <c r="A311" t="s">
        <v>415</v>
      </c>
      <c r="B311" t="s">
        <v>15</v>
      </c>
      <c r="C311" t="s">
        <v>32</v>
      </c>
      <c r="D311" t="s">
        <v>33</v>
      </c>
      <c r="E311">
        <v>14175.08</v>
      </c>
      <c r="F311">
        <v>1275.76</v>
      </c>
      <c r="G311">
        <v>1275.76</v>
      </c>
      <c r="H311">
        <v>16726.599999999999</v>
      </c>
      <c r="I311" t="s">
        <v>13</v>
      </c>
    </row>
    <row r="312" spans="1:9" x14ac:dyDescent="0.2">
      <c r="A312" t="s">
        <v>416</v>
      </c>
      <c r="B312" t="s">
        <v>109</v>
      </c>
      <c r="C312" t="s">
        <v>24</v>
      </c>
      <c r="D312" t="s">
        <v>25</v>
      </c>
      <c r="E312">
        <v>25246.15</v>
      </c>
      <c r="F312">
        <v>2272.15</v>
      </c>
      <c r="G312">
        <v>2272.15</v>
      </c>
      <c r="H312">
        <v>29790.45</v>
      </c>
      <c r="I312" t="s">
        <v>13</v>
      </c>
    </row>
    <row r="313" spans="1:9" x14ac:dyDescent="0.2">
      <c r="A313" t="s">
        <v>417</v>
      </c>
      <c r="B313" t="s">
        <v>15</v>
      </c>
      <c r="C313" t="s">
        <v>11</v>
      </c>
      <c r="D313" t="s">
        <v>12</v>
      </c>
      <c r="E313">
        <v>20980.560000000001</v>
      </c>
      <c r="F313">
        <v>1888.25</v>
      </c>
      <c r="G313">
        <v>1888.25</v>
      </c>
      <c r="H313">
        <v>24757.06</v>
      </c>
      <c r="I313" t="s">
        <v>13</v>
      </c>
    </row>
    <row r="314" spans="1:9" x14ac:dyDescent="0.2">
      <c r="A314" t="s">
        <v>418</v>
      </c>
      <c r="B314" t="s">
        <v>19</v>
      </c>
      <c r="C314" t="s">
        <v>16</v>
      </c>
      <c r="D314" t="s">
        <v>17</v>
      </c>
      <c r="E314">
        <v>12357.58</v>
      </c>
      <c r="F314">
        <v>1112.18</v>
      </c>
      <c r="G314">
        <v>1112.18</v>
      </c>
      <c r="H314">
        <v>14581.94</v>
      </c>
      <c r="I314" t="s">
        <v>13</v>
      </c>
    </row>
    <row r="315" spans="1:9" x14ac:dyDescent="0.2">
      <c r="A315" t="s">
        <v>419</v>
      </c>
      <c r="B315" t="s">
        <v>420</v>
      </c>
      <c r="C315" t="s">
        <v>32</v>
      </c>
      <c r="D315" t="s">
        <v>33</v>
      </c>
      <c r="E315">
        <v>1716.37</v>
      </c>
      <c r="F315">
        <v>154.47</v>
      </c>
      <c r="G315">
        <v>154.47</v>
      </c>
      <c r="H315">
        <v>2025.31</v>
      </c>
      <c r="I315" t="s">
        <v>13</v>
      </c>
    </row>
    <row r="316" spans="1:9" x14ac:dyDescent="0.2">
      <c r="A316" t="s">
        <v>421</v>
      </c>
      <c r="B316" t="s">
        <v>161</v>
      </c>
      <c r="C316" t="s">
        <v>24</v>
      </c>
      <c r="D316" t="s">
        <v>25</v>
      </c>
      <c r="E316">
        <v>11170.75</v>
      </c>
      <c r="F316">
        <v>1005.37</v>
      </c>
      <c r="G316">
        <v>1005.37</v>
      </c>
      <c r="H316">
        <v>13181.49</v>
      </c>
      <c r="I316" t="s">
        <v>13</v>
      </c>
    </row>
    <row r="317" spans="1:9" x14ac:dyDescent="0.2">
      <c r="A317" t="s">
        <v>422</v>
      </c>
      <c r="B317" t="s">
        <v>134</v>
      </c>
      <c r="C317" t="s">
        <v>20</v>
      </c>
      <c r="D317" t="s">
        <v>21</v>
      </c>
      <c r="E317">
        <v>34409.72</v>
      </c>
      <c r="F317">
        <v>3096.87</v>
      </c>
      <c r="G317">
        <v>3096.87</v>
      </c>
      <c r="H317">
        <v>40603.46</v>
      </c>
      <c r="I317" t="s">
        <v>13</v>
      </c>
    </row>
    <row r="318" spans="1:9" x14ac:dyDescent="0.2">
      <c r="A318" t="s">
        <v>423</v>
      </c>
      <c r="B318" t="s">
        <v>71</v>
      </c>
      <c r="C318" t="s">
        <v>32</v>
      </c>
      <c r="D318" t="s">
        <v>33</v>
      </c>
      <c r="E318">
        <v>9814.44</v>
      </c>
      <c r="F318">
        <v>883.3</v>
      </c>
      <c r="G318">
        <v>883.3</v>
      </c>
      <c r="H318">
        <v>11581.04</v>
      </c>
      <c r="I318" t="s">
        <v>13</v>
      </c>
    </row>
    <row r="319" spans="1:9" x14ac:dyDescent="0.2">
      <c r="A319" t="s">
        <v>424</v>
      </c>
      <c r="B319" t="s">
        <v>159</v>
      </c>
      <c r="C319" t="s">
        <v>16</v>
      </c>
      <c r="D319" t="s">
        <v>17</v>
      </c>
      <c r="E319">
        <v>42060.69</v>
      </c>
      <c r="F319">
        <v>3785.46</v>
      </c>
      <c r="G319">
        <v>3785.46</v>
      </c>
      <c r="H319">
        <v>49631.61</v>
      </c>
      <c r="I319" t="s">
        <v>13</v>
      </c>
    </row>
    <row r="320" spans="1:9" x14ac:dyDescent="0.2">
      <c r="A320" t="s">
        <v>425</v>
      </c>
      <c r="B320" t="s">
        <v>338</v>
      </c>
      <c r="C320" t="s">
        <v>20</v>
      </c>
      <c r="D320" t="s">
        <v>21</v>
      </c>
      <c r="E320">
        <v>10067.06</v>
      </c>
      <c r="F320">
        <v>906.04</v>
      </c>
      <c r="G320">
        <v>906.04</v>
      </c>
      <c r="H320">
        <v>11879.14</v>
      </c>
      <c r="I320" t="s">
        <v>13</v>
      </c>
    </row>
    <row r="321" spans="1:9" x14ac:dyDescent="0.2">
      <c r="A321" t="s">
        <v>426</v>
      </c>
      <c r="B321" t="s">
        <v>176</v>
      </c>
      <c r="C321" t="s">
        <v>16</v>
      </c>
      <c r="D321" t="s">
        <v>17</v>
      </c>
      <c r="E321">
        <v>27371.06</v>
      </c>
      <c r="F321">
        <v>2463.4</v>
      </c>
      <c r="G321">
        <v>2463.4</v>
      </c>
      <c r="H321">
        <v>32297.86</v>
      </c>
      <c r="I321" t="s">
        <v>13</v>
      </c>
    </row>
    <row r="322" spans="1:9" x14ac:dyDescent="0.2">
      <c r="A322" t="s">
        <v>427</v>
      </c>
      <c r="B322" t="s">
        <v>83</v>
      </c>
      <c r="C322" t="s">
        <v>20</v>
      </c>
      <c r="D322" t="s">
        <v>21</v>
      </c>
      <c r="E322">
        <v>26802.04</v>
      </c>
      <c r="F322">
        <v>2412.1799999999998</v>
      </c>
      <c r="G322">
        <v>2412.1799999999998</v>
      </c>
      <c r="H322">
        <v>31626.400000000001</v>
      </c>
      <c r="I322" t="s">
        <v>13</v>
      </c>
    </row>
    <row r="323" spans="1:9" x14ac:dyDescent="0.2">
      <c r="A323" t="s">
        <v>428</v>
      </c>
      <c r="B323" t="s">
        <v>429</v>
      </c>
      <c r="C323" t="s">
        <v>24</v>
      </c>
      <c r="D323" t="s">
        <v>25</v>
      </c>
      <c r="E323">
        <v>4950.6400000000003</v>
      </c>
      <c r="F323">
        <v>445.56</v>
      </c>
      <c r="G323">
        <v>445.56</v>
      </c>
      <c r="H323">
        <v>5841.76</v>
      </c>
      <c r="I323" t="s">
        <v>13</v>
      </c>
    </row>
    <row r="324" spans="1:9" x14ac:dyDescent="0.2">
      <c r="A324" t="s">
        <v>430</v>
      </c>
      <c r="B324" t="s">
        <v>420</v>
      </c>
      <c r="C324" t="s">
        <v>20</v>
      </c>
      <c r="D324" t="s">
        <v>21</v>
      </c>
      <c r="E324">
        <v>40650.94</v>
      </c>
      <c r="F324">
        <v>3658.58</v>
      </c>
      <c r="G324">
        <v>3658.58</v>
      </c>
      <c r="H324">
        <v>47968.1</v>
      </c>
      <c r="I324" t="s">
        <v>13</v>
      </c>
    </row>
    <row r="325" spans="1:9" x14ac:dyDescent="0.2">
      <c r="A325" t="s">
        <v>431</v>
      </c>
      <c r="B325" t="s">
        <v>47</v>
      </c>
      <c r="C325" t="s">
        <v>11</v>
      </c>
      <c r="D325" t="s">
        <v>12</v>
      </c>
      <c r="E325">
        <v>11040.39</v>
      </c>
      <c r="F325">
        <v>993.64</v>
      </c>
      <c r="G325">
        <v>993.64</v>
      </c>
      <c r="H325">
        <v>13027.67</v>
      </c>
      <c r="I325" t="s">
        <v>13</v>
      </c>
    </row>
    <row r="326" spans="1:9" x14ac:dyDescent="0.2">
      <c r="A326" t="s">
        <v>432</v>
      </c>
      <c r="B326" t="s">
        <v>109</v>
      </c>
      <c r="C326" t="s">
        <v>32</v>
      </c>
      <c r="D326" t="s">
        <v>33</v>
      </c>
      <c r="E326">
        <v>34862.28</v>
      </c>
      <c r="F326">
        <v>3137.61</v>
      </c>
      <c r="G326">
        <v>3137.61</v>
      </c>
      <c r="H326">
        <v>41137.5</v>
      </c>
      <c r="I326" t="s">
        <v>13</v>
      </c>
    </row>
    <row r="327" spans="1:9" x14ac:dyDescent="0.2">
      <c r="A327" t="s">
        <v>433</v>
      </c>
      <c r="B327" t="s">
        <v>238</v>
      </c>
      <c r="C327" t="s">
        <v>20</v>
      </c>
      <c r="D327" t="s">
        <v>21</v>
      </c>
      <c r="E327">
        <v>41648.46</v>
      </c>
      <c r="F327">
        <v>3748.36</v>
      </c>
      <c r="G327">
        <v>3748.36</v>
      </c>
      <c r="H327">
        <v>49145.18</v>
      </c>
      <c r="I327" t="s">
        <v>13</v>
      </c>
    </row>
    <row r="328" spans="1:9" x14ac:dyDescent="0.2">
      <c r="A328" t="s">
        <v>434</v>
      </c>
      <c r="B328" t="s">
        <v>260</v>
      </c>
      <c r="C328" t="s">
        <v>20</v>
      </c>
      <c r="D328" t="s">
        <v>21</v>
      </c>
      <c r="E328">
        <v>3886</v>
      </c>
      <c r="F328">
        <v>349.74</v>
      </c>
      <c r="G328">
        <v>349.74</v>
      </c>
      <c r="H328">
        <v>4585.4799999999996</v>
      </c>
      <c r="I328" t="s">
        <v>13</v>
      </c>
    </row>
    <row r="329" spans="1:9" x14ac:dyDescent="0.2">
      <c r="A329" t="s">
        <v>435</v>
      </c>
      <c r="B329" t="s">
        <v>40</v>
      </c>
      <c r="C329" t="s">
        <v>24</v>
      </c>
      <c r="D329" t="s">
        <v>25</v>
      </c>
      <c r="E329">
        <v>32188.2</v>
      </c>
      <c r="F329">
        <v>2896.94</v>
      </c>
      <c r="G329">
        <v>2896.94</v>
      </c>
      <c r="H329">
        <v>37982.080000000002</v>
      </c>
      <c r="I329" t="s">
        <v>13</v>
      </c>
    </row>
    <row r="330" spans="1:9" x14ac:dyDescent="0.2">
      <c r="A330" t="s">
        <v>436</v>
      </c>
      <c r="B330" t="s">
        <v>100</v>
      </c>
      <c r="C330" t="s">
        <v>24</v>
      </c>
      <c r="D330" t="s">
        <v>25</v>
      </c>
      <c r="E330">
        <v>3292.74</v>
      </c>
      <c r="F330">
        <v>296.35000000000002</v>
      </c>
      <c r="G330">
        <v>296.35000000000002</v>
      </c>
      <c r="H330">
        <v>3885.44</v>
      </c>
      <c r="I330" t="s">
        <v>13</v>
      </c>
    </row>
    <row r="331" spans="1:9" x14ac:dyDescent="0.2">
      <c r="A331" t="s">
        <v>437</v>
      </c>
      <c r="B331" t="s">
        <v>54</v>
      </c>
      <c r="C331" t="s">
        <v>24</v>
      </c>
      <c r="D331" t="s">
        <v>25</v>
      </c>
      <c r="E331">
        <v>12765.34</v>
      </c>
      <c r="F331">
        <v>1148.8800000000001</v>
      </c>
      <c r="G331">
        <v>1148.8800000000001</v>
      </c>
      <c r="H331">
        <v>15063.1</v>
      </c>
      <c r="I331" t="s">
        <v>13</v>
      </c>
    </row>
    <row r="332" spans="1:9" x14ac:dyDescent="0.2">
      <c r="A332" t="s">
        <v>438</v>
      </c>
      <c r="B332" t="s">
        <v>278</v>
      </c>
      <c r="C332" t="s">
        <v>16</v>
      </c>
      <c r="D332" t="s">
        <v>17</v>
      </c>
      <c r="E332">
        <v>12553.55</v>
      </c>
      <c r="F332">
        <v>1129.82</v>
      </c>
      <c r="G332">
        <v>1129.82</v>
      </c>
      <c r="H332">
        <v>14813.19</v>
      </c>
      <c r="I332" t="s">
        <v>13</v>
      </c>
    </row>
    <row r="333" spans="1:9" x14ac:dyDescent="0.2">
      <c r="A333" t="s">
        <v>439</v>
      </c>
      <c r="B333" t="s">
        <v>429</v>
      </c>
      <c r="C333" t="s">
        <v>32</v>
      </c>
      <c r="D333" t="s">
        <v>33</v>
      </c>
      <c r="E333">
        <v>39249.78</v>
      </c>
      <c r="F333">
        <v>3532.48</v>
      </c>
      <c r="G333">
        <v>3532.48</v>
      </c>
      <c r="H333">
        <v>46314.74</v>
      </c>
      <c r="I333" t="s">
        <v>13</v>
      </c>
    </row>
    <row r="334" spans="1:9" x14ac:dyDescent="0.2">
      <c r="A334" t="s">
        <v>440</v>
      </c>
      <c r="B334" t="s">
        <v>118</v>
      </c>
      <c r="C334" t="s">
        <v>16</v>
      </c>
      <c r="D334" t="s">
        <v>17</v>
      </c>
      <c r="E334">
        <v>42994.44</v>
      </c>
      <c r="F334">
        <v>3869.5</v>
      </c>
      <c r="G334">
        <v>3869.5</v>
      </c>
      <c r="H334">
        <v>50733.440000000002</v>
      </c>
      <c r="I334" t="s">
        <v>13</v>
      </c>
    </row>
    <row r="335" spans="1:9" x14ac:dyDescent="0.2">
      <c r="A335" t="s">
        <v>441</v>
      </c>
      <c r="B335" t="s">
        <v>390</v>
      </c>
      <c r="C335" t="s">
        <v>24</v>
      </c>
      <c r="D335" t="s">
        <v>25</v>
      </c>
      <c r="E335">
        <v>42398.52</v>
      </c>
      <c r="F335">
        <v>3815.87</v>
      </c>
      <c r="G335">
        <v>3815.87</v>
      </c>
      <c r="H335">
        <v>50030.26</v>
      </c>
      <c r="I335" t="s">
        <v>13</v>
      </c>
    </row>
    <row r="336" spans="1:9" x14ac:dyDescent="0.2">
      <c r="A336" t="s">
        <v>442</v>
      </c>
      <c r="B336" t="s">
        <v>81</v>
      </c>
      <c r="C336" t="s">
        <v>32</v>
      </c>
      <c r="D336" t="s">
        <v>33</v>
      </c>
      <c r="E336">
        <v>28482.43</v>
      </c>
      <c r="F336">
        <v>2563.42</v>
      </c>
      <c r="G336">
        <v>2563.42</v>
      </c>
      <c r="H336">
        <v>33609.269999999997</v>
      </c>
      <c r="I336" t="s">
        <v>13</v>
      </c>
    </row>
    <row r="337" spans="1:9" x14ac:dyDescent="0.2">
      <c r="A337" t="s">
        <v>443</v>
      </c>
      <c r="B337" t="s">
        <v>132</v>
      </c>
      <c r="C337" t="s">
        <v>16</v>
      </c>
      <c r="D337" t="s">
        <v>17</v>
      </c>
      <c r="E337">
        <v>32522.69</v>
      </c>
      <c r="F337">
        <v>2927.04</v>
      </c>
      <c r="G337">
        <v>2927.04</v>
      </c>
      <c r="H337">
        <v>38376.769999999997</v>
      </c>
      <c r="I337" t="s">
        <v>13</v>
      </c>
    </row>
    <row r="338" spans="1:9" x14ac:dyDescent="0.2">
      <c r="A338" t="s">
        <v>444</v>
      </c>
      <c r="B338" t="s">
        <v>42</v>
      </c>
      <c r="C338" t="s">
        <v>32</v>
      </c>
      <c r="D338" t="s">
        <v>33</v>
      </c>
      <c r="E338">
        <v>49985.14</v>
      </c>
      <c r="F338">
        <v>4498.66</v>
      </c>
      <c r="G338">
        <v>4498.66</v>
      </c>
      <c r="H338">
        <v>58982.46</v>
      </c>
      <c r="I338" t="s">
        <v>13</v>
      </c>
    </row>
    <row r="339" spans="1:9" x14ac:dyDescent="0.2">
      <c r="A339" t="s">
        <v>445</v>
      </c>
      <c r="B339" t="s">
        <v>313</v>
      </c>
      <c r="C339" t="s">
        <v>16</v>
      </c>
      <c r="D339" t="s">
        <v>17</v>
      </c>
      <c r="E339">
        <v>31884.9</v>
      </c>
      <c r="F339">
        <v>2869.64</v>
      </c>
      <c r="G339">
        <v>2869.64</v>
      </c>
      <c r="H339">
        <v>37624.18</v>
      </c>
      <c r="I339" t="s">
        <v>13</v>
      </c>
    </row>
    <row r="340" spans="1:9" x14ac:dyDescent="0.2">
      <c r="A340" t="s">
        <v>446</v>
      </c>
      <c r="B340" t="s">
        <v>146</v>
      </c>
      <c r="C340" t="s">
        <v>24</v>
      </c>
      <c r="D340" t="s">
        <v>25</v>
      </c>
      <c r="E340">
        <v>18384.53</v>
      </c>
      <c r="F340">
        <v>1654.61</v>
      </c>
      <c r="G340">
        <v>1654.61</v>
      </c>
      <c r="H340">
        <v>21693.75</v>
      </c>
      <c r="I340" t="s">
        <v>13</v>
      </c>
    </row>
    <row r="341" spans="1:9" x14ac:dyDescent="0.2">
      <c r="A341" t="s">
        <v>447</v>
      </c>
      <c r="B341" t="s">
        <v>51</v>
      </c>
      <c r="C341" t="s">
        <v>24</v>
      </c>
      <c r="D341" t="s">
        <v>25</v>
      </c>
      <c r="E341">
        <v>10275.1</v>
      </c>
      <c r="F341">
        <v>924.76</v>
      </c>
      <c r="G341">
        <v>924.76</v>
      </c>
      <c r="H341">
        <v>12124.62</v>
      </c>
      <c r="I341" t="s">
        <v>13</v>
      </c>
    </row>
    <row r="342" spans="1:9" x14ac:dyDescent="0.2">
      <c r="A342" t="s">
        <v>448</v>
      </c>
      <c r="B342" t="s">
        <v>23</v>
      </c>
      <c r="C342" t="s">
        <v>11</v>
      </c>
      <c r="D342" t="s">
        <v>12</v>
      </c>
      <c r="E342">
        <v>37454.339999999997</v>
      </c>
      <c r="F342">
        <v>3370.89</v>
      </c>
      <c r="G342">
        <v>3370.89</v>
      </c>
      <c r="H342">
        <v>44196.12</v>
      </c>
      <c r="I342" t="s">
        <v>13</v>
      </c>
    </row>
    <row r="343" spans="1:9" x14ac:dyDescent="0.2">
      <c r="A343" t="s">
        <v>449</v>
      </c>
      <c r="B343" t="s">
        <v>81</v>
      </c>
      <c r="C343" t="s">
        <v>11</v>
      </c>
      <c r="D343" t="s">
        <v>12</v>
      </c>
      <c r="E343">
        <v>49841.98</v>
      </c>
      <c r="F343">
        <v>4485.78</v>
      </c>
      <c r="G343">
        <v>4485.78</v>
      </c>
      <c r="H343">
        <v>58813.54</v>
      </c>
      <c r="I343" t="s">
        <v>13</v>
      </c>
    </row>
    <row r="344" spans="1:9" x14ac:dyDescent="0.2">
      <c r="A344" t="s">
        <v>450</v>
      </c>
      <c r="B344" t="s">
        <v>313</v>
      </c>
      <c r="C344" t="s">
        <v>24</v>
      </c>
      <c r="D344" t="s">
        <v>25</v>
      </c>
      <c r="E344">
        <v>6462.16</v>
      </c>
      <c r="F344">
        <v>581.59</v>
      </c>
      <c r="G344">
        <v>581.59</v>
      </c>
      <c r="H344">
        <v>7625.34</v>
      </c>
      <c r="I344" t="s">
        <v>13</v>
      </c>
    </row>
    <row r="345" spans="1:9" x14ac:dyDescent="0.2">
      <c r="A345" t="s">
        <v>451</v>
      </c>
      <c r="B345" t="s">
        <v>152</v>
      </c>
      <c r="C345" t="s">
        <v>16</v>
      </c>
      <c r="D345" t="s">
        <v>17</v>
      </c>
      <c r="E345">
        <v>8679.11</v>
      </c>
      <c r="F345">
        <v>781.12</v>
      </c>
      <c r="G345">
        <v>781.12</v>
      </c>
      <c r="H345">
        <v>10241.35</v>
      </c>
      <c r="I345" t="s">
        <v>13</v>
      </c>
    </row>
    <row r="346" spans="1:9" x14ac:dyDescent="0.2">
      <c r="A346" t="s">
        <v>452</v>
      </c>
      <c r="B346" t="s">
        <v>65</v>
      </c>
      <c r="C346" t="s">
        <v>16</v>
      </c>
      <c r="D346" t="s">
        <v>17</v>
      </c>
      <c r="E346">
        <v>49882.400000000001</v>
      </c>
      <c r="F346">
        <v>4489.42</v>
      </c>
      <c r="G346">
        <v>4489.42</v>
      </c>
      <c r="H346">
        <v>58861.24</v>
      </c>
      <c r="I346" t="s">
        <v>13</v>
      </c>
    </row>
    <row r="347" spans="1:9" x14ac:dyDescent="0.2">
      <c r="A347" t="s">
        <v>453</v>
      </c>
      <c r="B347" t="s">
        <v>42</v>
      </c>
      <c r="C347" t="s">
        <v>20</v>
      </c>
      <c r="D347" t="s">
        <v>21</v>
      </c>
      <c r="E347">
        <v>3452.8</v>
      </c>
      <c r="F347">
        <v>310.75</v>
      </c>
      <c r="G347">
        <v>310.75</v>
      </c>
      <c r="H347">
        <v>4074.3</v>
      </c>
      <c r="I347" t="s">
        <v>13</v>
      </c>
    </row>
    <row r="348" spans="1:9" x14ac:dyDescent="0.2">
      <c r="A348" t="s">
        <v>454</v>
      </c>
      <c r="B348" t="s">
        <v>83</v>
      </c>
      <c r="C348" t="s">
        <v>24</v>
      </c>
      <c r="D348" t="s">
        <v>25</v>
      </c>
      <c r="E348">
        <v>44043.45</v>
      </c>
      <c r="F348">
        <v>3963.91</v>
      </c>
      <c r="G348">
        <v>3963.91</v>
      </c>
      <c r="H348">
        <v>51971.27</v>
      </c>
      <c r="I348" t="s">
        <v>13</v>
      </c>
    </row>
    <row r="349" spans="1:9" x14ac:dyDescent="0.2">
      <c r="A349" t="s">
        <v>455</v>
      </c>
      <c r="B349" t="s">
        <v>176</v>
      </c>
      <c r="C349" t="s">
        <v>20</v>
      </c>
      <c r="D349" t="s">
        <v>21</v>
      </c>
      <c r="E349">
        <v>18101.37</v>
      </c>
      <c r="F349">
        <v>1629.12</v>
      </c>
      <c r="G349">
        <v>1629.12</v>
      </c>
      <c r="H349">
        <v>21359.61</v>
      </c>
      <c r="I349" t="s">
        <v>13</v>
      </c>
    </row>
    <row r="350" spans="1:9" x14ac:dyDescent="0.2">
      <c r="A350" t="s">
        <v>456</v>
      </c>
      <c r="B350" t="s">
        <v>15</v>
      </c>
      <c r="C350" t="s">
        <v>20</v>
      </c>
      <c r="D350" t="s">
        <v>21</v>
      </c>
      <c r="E350">
        <v>20986.43</v>
      </c>
      <c r="F350">
        <v>1888.78</v>
      </c>
      <c r="G350">
        <v>1888.78</v>
      </c>
      <c r="H350">
        <v>24763.99</v>
      </c>
      <c r="I350" t="s">
        <v>13</v>
      </c>
    </row>
    <row r="351" spans="1:9" x14ac:dyDescent="0.2">
      <c r="A351" t="s">
        <v>457</v>
      </c>
      <c r="B351" t="s">
        <v>258</v>
      </c>
      <c r="C351" t="s">
        <v>20</v>
      </c>
      <c r="D351" t="s">
        <v>21</v>
      </c>
      <c r="E351">
        <v>29121.74</v>
      </c>
      <c r="F351">
        <v>2620.96</v>
      </c>
      <c r="G351">
        <v>2620.96</v>
      </c>
      <c r="H351">
        <v>34363.660000000003</v>
      </c>
      <c r="I351" t="s">
        <v>13</v>
      </c>
    </row>
    <row r="352" spans="1:9" x14ac:dyDescent="0.2">
      <c r="A352" t="s">
        <v>458</v>
      </c>
      <c r="B352" t="s">
        <v>97</v>
      </c>
      <c r="C352" t="s">
        <v>32</v>
      </c>
      <c r="D352" t="s">
        <v>33</v>
      </c>
      <c r="E352">
        <v>49871.16</v>
      </c>
      <c r="F352">
        <v>4488.3999999999996</v>
      </c>
      <c r="G352">
        <v>4488.3999999999996</v>
      </c>
      <c r="H352">
        <v>58847.96</v>
      </c>
      <c r="I352" t="s">
        <v>13</v>
      </c>
    </row>
    <row r="353" spans="1:9" x14ac:dyDescent="0.2">
      <c r="A353" t="s">
        <v>459</v>
      </c>
      <c r="B353" t="s">
        <v>56</v>
      </c>
      <c r="C353" t="s">
        <v>16</v>
      </c>
      <c r="D353" t="s">
        <v>17</v>
      </c>
      <c r="E353">
        <v>35302.49</v>
      </c>
      <c r="F353">
        <v>3177.22</v>
      </c>
      <c r="G353">
        <v>3177.22</v>
      </c>
      <c r="H353">
        <v>41656.93</v>
      </c>
      <c r="I353" t="s">
        <v>13</v>
      </c>
    </row>
    <row r="354" spans="1:9" x14ac:dyDescent="0.2">
      <c r="A354" t="s">
        <v>460</v>
      </c>
      <c r="B354" t="s">
        <v>31</v>
      </c>
      <c r="C354" t="s">
        <v>32</v>
      </c>
      <c r="D354" t="s">
        <v>33</v>
      </c>
      <c r="E354">
        <v>45813.760000000002</v>
      </c>
      <c r="F354">
        <v>4123.24</v>
      </c>
      <c r="G354">
        <v>4123.24</v>
      </c>
      <c r="H354">
        <v>54060.24</v>
      </c>
      <c r="I354" t="s">
        <v>13</v>
      </c>
    </row>
    <row r="355" spans="1:9" x14ac:dyDescent="0.2">
      <c r="A355" t="s">
        <v>461</v>
      </c>
      <c r="B355" t="s">
        <v>63</v>
      </c>
      <c r="C355" t="s">
        <v>24</v>
      </c>
      <c r="D355" t="s">
        <v>25</v>
      </c>
      <c r="E355">
        <v>24986.35</v>
      </c>
      <c r="F355">
        <v>2248.77</v>
      </c>
      <c r="G355">
        <v>2248.77</v>
      </c>
      <c r="H355">
        <v>29483.89</v>
      </c>
      <c r="I355" t="s">
        <v>13</v>
      </c>
    </row>
    <row r="356" spans="1:9" x14ac:dyDescent="0.2">
      <c r="A356" t="s">
        <v>462</v>
      </c>
      <c r="B356" t="s">
        <v>23</v>
      </c>
      <c r="C356" t="s">
        <v>11</v>
      </c>
      <c r="D356" t="s">
        <v>12</v>
      </c>
      <c r="E356">
        <v>31697.52</v>
      </c>
      <c r="F356">
        <v>2852.78</v>
      </c>
      <c r="G356">
        <v>2852.78</v>
      </c>
      <c r="H356">
        <v>37403.08</v>
      </c>
      <c r="I356" t="s">
        <v>13</v>
      </c>
    </row>
    <row r="357" spans="1:9" x14ac:dyDescent="0.2">
      <c r="A357" t="s">
        <v>463</v>
      </c>
      <c r="B357" t="s">
        <v>212</v>
      </c>
      <c r="C357" t="s">
        <v>20</v>
      </c>
      <c r="D357" t="s">
        <v>21</v>
      </c>
      <c r="E357">
        <v>24502.65</v>
      </c>
      <c r="F357">
        <v>2205.2399999999998</v>
      </c>
      <c r="G357">
        <v>2205.2399999999998</v>
      </c>
      <c r="H357">
        <v>28913.13</v>
      </c>
      <c r="I357" t="s">
        <v>13</v>
      </c>
    </row>
    <row r="358" spans="1:9" x14ac:dyDescent="0.2">
      <c r="A358" t="s">
        <v>464</v>
      </c>
      <c r="B358" t="s">
        <v>97</v>
      </c>
      <c r="C358" t="s">
        <v>11</v>
      </c>
      <c r="D358" t="s">
        <v>12</v>
      </c>
      <c r="E358">
        <v>42837.62</v>
      </c>
      <c r="F358">
        <v>3855.39</v>
      </c>
      <c r="G358">
        <v>3855.39</v>
      </c>
      <c r="H358">
        <v>50548.4</v>
      </c>
      <c r="I358" t="s">
        <v>13</v>
      </c>
    </row>
    <row r="359" spans="1:9" x14ac:dyDescent="0.2">
      <c r="A359" t="s">
        <v>465</v>
      </c>
      <c r="B359" t="s">
        <v>103</v>
      </c>
      <c r="C359" t="s">
        <v>16</v>
      </c>
      <c r="D359" t="s">
        <v>17</v>
      </c>
      <c r="E359">
        <v>44058.31</v>
      </c>
      <c r="F359">
        <v>3965.25</v>
      </c>
      <c r="G359">
        <v>3965.25</v>
      </c>
      <c r="H359">
        <v>51988.81</v>
      </c>
      <c r="I359" t="s">
        <v>13</v>
      </c>
    </row>
    <row r="360" spans="1:9" x14ac:dyDescent="0.2">
      <c r="A360" t="s">
        <v>466</v>
      </c>
      <c r="B360" t="s">
        <v>38</v>
      </c>
      <c r="C360" t="s">
        <v>24</v>
      </c>
      <c r="D360" t="s">
        <v>25</v>
      </c>
      <c r="E360">
        <v>22579.06</v>
      </c>
      <c r="F360">
        <v>2032.12</v>
      </c>
      <c r="G360">
        <v>2032.12</v>
      </c>
      <c r="H360">
        <v>26643.3</v>
      </c>
      <c r="I360" t="s">
        <v>13</v>
      </c>
    </row>
    <row r="361" spans="1:9" x14ac:dyDescent="0.2">
      <c r="A361" t="s">
        <v>467</v>
      </c>
      <c r="B361" t="s">
        <v>107</v>
      </c>
      <c r="C361" t="s">
        <v>32</v>
      </c>
      <c r="D361" t="s">
        <v>33</v>
      </c>
      <c r="E361">
        <v>41573.230000000003</v>
      </c>
      <c r="F361">
        <v>3741.59</v>
      </c>
      <c r="G361">
        <v>3741.59</v>
      </c>
      <c r="H361">
        <v>49056.41</v>
      </c>
      <c r="I361" t="s">
        <v>13</v>
      </c>
    </row>
    <row r="362" spans="1:9" x14ac:dyDescent="0.2">
      <c r="A362" t="s">
        <v>468</v>
      </c>
      <c r="B362" t="s">
        <v>60</v>
      </c>
      <c r="C362" t="s">
        <v>20</v>
      </c>
      <c r="D362" t="s">
        <v>21</v>
      </c>
      <c r="E362">
        <v>43138.32</v>
      </c>
      <c r="F362">
        <v>3882.45</v>
      </c>
      <c r="G362">
        <v>3882.45</v>
      </c>
      <c r="H362">
        <v>50903.22</v>
      </c>
      <c r="I362" t="s">
        <v>13</v>
      </c>
    </row>
    <row r="363" spans="1:9" x14ac:dyDescent="0.2">
      <c r="A363" t="s">
        <v>469</v>
      </c>
      <c r="B363" t="s">
        <v>83</v>
      </c>
      <c r="C363" t="s">
        <v>32</v>
      </c>
      <c r="D363" t="s">
        <v>33</v>
      </c>
      <c r="E363">
        <v>1614.88</v>
      </c>
      <c r="F363">
        <v>145.34</v>
      </c>
      <c r="G363">
        <v>145.34</v>
      </c>
      <c r="H363">
        <v>1905.56</v>
      </c>
      <c r="I363" t="s">
        <v>13</v>
      </c>
    </row>
    <row r="364" spans="1:9" x14ac:dyDescent="0.2">
      <c r="A364" t="s">
        <v>470</v>
      </c>
      <c r="B364" t="s">
        <v>471</v>
      </c>
      <c r="C364" t="s">
        <v>24</v>
      </c>
      <c r="D364" t="s">
        <v>25</v>
      </c>
      <c r="E364">
        <v>43709.3</v>
      </c>
      <c r="F364">
        <v>3933.84</v>
      </c>
      <c r="G364">
        <v>3933.84</v>
      </c>
      <c r="H364">
        <v>51576.98</v>
      </c>
      <c r="I364" t="s">
        <v>13</v>
      </c>
    </row>
    <row r="365" spans="1:9" x14ac:dyDescent="0.2">
      <c r="A365" t="s">
        <v>472</v>
      </c>
      <c r="B365" t="s">
        <v>38</v>
      </c>
      <c r="C365" t="s">
        <v>24</v>
      </c>
      <c r="D365" t="s">
        <v>25</v>
      </c>
      <c r="E365">
        <v>9494.19</v>
      </c>
      <c r="F365">
        <v>854.48</v>
      </c>
      <c r="G365">
        <v>854.48</v>
      </c>
      <c r="H365">
        <v>11203.15</v>
      </c>
      <c r="I365" t="s">
        <v>13</v>
      </c>
    </row>
    <row r="366" spans="1:9" x14ac:dyDescent="0.2">
      <c r="A366" t="s">
        <v>473</v>
      </c>
      <c r="B366" t="s">
        <v>83</v>
      </c>
      <c r="C366" t="s">
        <v>24</v>
      </c>
      <c r="D366" t="s">
        <v>25</v>
      </c>
      <c r="E366">
        <v>35963.81</v>
      </c>
      <c r="F366">
        <v>3236.74</v>
      </c>
      <c r="G366">
        <v>3236.74</v>
      </c>
      <c r="H366">
        <v>42437.29</v>
      </c>
      <c r="I366" t="s">
        <v>13</v>
      </c>
    </row>
    <row r="367" spans="1:9" x14ac:dyDescent="0.2">
      <c r="A367" t="s">
        <v>474</v>
      </c>
      <c r="B367" t="s">
        <v>109</v>
      </c>
      <c r="C367" t="s">
        <v>11</v>
      </c>
      <c r="D367" t="s">
        <v>12</v>
      </c>
      <c r="E367">
        <v>20935.03</v>
      </c>
      <c r="F367">
        <v>1884.15</v>
      </c>
      <c r="G367">
        <v>1884.15</v>
      </c>
      <c r="H367">
        <v>24703.33</v>
      </c>
      <c r="I367" t="s">
        <v>13</v>
      </c>
    </row>
    <row r="368" spans="1:9" x14ac:dyDescent="0.2">
      <c r="A368" t="s">
        <v>475</v>
      </c>
      <c r="B368" t="s">
        <v>45</v>
      </c>
      <c r="C368" t="s">
        <v>20</v>
      </c>
      <c r="D368" t="s">
        <v>21</v>
      </c>
      <c r="E368">
        <v>28366.81</v>
      </c>
      <c r="F368">
        <v>2553.0100000000002</v>
      </c>
      <c r="G368">
        <v>2553.0100000000002</v>
      </c>
      <c r="H368">
        <v>33472.83</v>
      </c>
      <c r="I368" t="s">
        <v>13</v>
      </c>
    </row>
    <row r="369" spans="1:9" x14ac:dyDescent="0.2">
      <c r="A369" t="s">
        <v>476</v>
      </c>
      <c r="B369" t="s">
        <v>201</v>
      </c>
      <c r="C369" t="s">
        <v>11</v>
      </c>
      <c r="D369" t="s">
        <v>12</v>
      </c>
      <c r="E369">
        <v>8785.01</v>
      </c>
      <c r="F369">
        <v>790.65</v>
      </c>
      <c r="G369">
        <v>790.65</v>
      </c>
      <c r="H369">
        <v>10366.31</v>
      </c>
      <c r="I369" t="s">
        <v>13</v>
      </c>
    </row>
    <row r="370" spans="1:9" x14ac:dyDescent="0.2">
      <c r="A370" t="s">
        <v>477</v>
      </c>
      <c r="B370" t="s">
        <v>93</v>
      </c>
      <c r="C370" t="s">
        <v>11</v>
      </c>
      <c r="D370" t="s">
        <v>12</v>
      </c>
      <c r="E370">
        <v>39500.68</v>
      </c>
      <c r="F370">
        <v>3555.06</v>
      </c>
      <c r="G370">
        <v>3555.06</v>
      </c>
      <c r="H370">
        <v>46610.8</v>
      </c>
      <c r="I370" t="s">
        <v>13</v>
      </c>
    </row>
    <row r="371" spans="1:9" x14ac:dyDescent="0.2">
      <c r="A371" t="s">
        <v>478</v>
      </c>
      <c r="B371" t="s">
        <v>38</v>
      </c>
      <c r="C371" t="s">
        <v>20</v>
      </c>
      <c r="D371" t="s">
        <v>21</v>
      </c>
      <c r="E371">
        <v>45847.41</v>
      </c>
      <c r="F371">
        <v>4126.2700000000004</v>
      </c>
      <c r="G371">
        <v>4126.2700000000004</v>
      </c>
      <c r="H371">
        <v>54099.95</v>
      </c>
      <c r="I371" t="s">
        <v>13</v>
      </c>
    </row>
    <row r="372" spans="1:9" x14ac:dyDescent="0.2">
      <c r="A372" t="s">
        <v>479</v>
      </c>
      <c r="B372" t="s">
        <v>23</v>
      </c>
      <c r="C372" t="s">
        <v>16</v>
      </c>
      <c r="D372" t="s">
        <v>17</v>
      </c>
      <c r="E372">
        <v>46457.17</v>
      </c>
      <c r="F372">
        <v>4181.1499999999996</v>
      </c>
      <c r="G372">
        <v>4181.1499999999996</v>
      </c>
      <c r="H372">
        <v>54819.47</v>
      </c>
      <c r="I372" t="s">
        <v>13</v>
      </c>
    </row>
    <row r="373" spans="1:9" x14ac:dyDescent="0.2">
      <c r="A373" t="s">
        <v>480</v>
      </c>
      <c r="B373" t="s">
        <v>81</v>
      </c>
      <c r="C373" t="s">
        <v>20</v>
      </c>
      <c r="D373" t="s">
        <v>21</v>
      </c>
      <c r="E373">
        <v>2565.09</v>
      </c>
      <c r="F373">
        <v>230.86</v>
      </c>
      <c r="G373">
        <v>230.86</v>
      </c>
      <c r="H373">
        <v>3026.81</v>
      </c>
      <c r="I373" t="s">
        <v>13</v>
      </c>
    </row>
    <row r="374" spans="1:9" x14ac:dyDescent="0.2">
      <c r="A374" t="s">
        <v>481</v>
      </c>
      <c r="B374" t="s">
        <v>51</v>
      </c>
      <c r="C374" t="s">
        <v>32</v>
      </c>
      <c r="D374" t="s">
        <v>33</v>
      </c>
      <c r="E374">
        <v>23993.78</v>
      </c>
      <c r="F374">
        <v>2159.44</v>
      </c>
      <c r="G374">
        <v>2159.44</v>
      </c>
      <c r="H374">
        <v>28312.66</v>
      </c>
      <c r="I374" t="s">
        <v>13</v>
      </c>
    </row>
    <row r="375" spans="1:9" x14ac:dyDescent="0.2">
      <c r="A375" t="s">
        <v>482</v>
      </c>
      <c r="B375" t="s">
        <v>36</v>
      </c>
      <c r="C375" t="s">
        <v>20</v>
      </c>
      <c r="D375" t="s">
        <v>21</v>
      </c>
      <c r="E375">
        <v>7123.47</v>
      </c>
      <c r="F375">
        <v>641.11</v>
      </c>
      <c r="G375">
        <v>641.11</v>
      </c>
      <c r="H375">
        <v>8405.69</v>
      </c>
      <c r="I375" t="s">
        <v>13</v>
      </c>
    </row>
    <row r="376" spans="1:9" x14ac:dyDescent="0.2">
      <c r="A376" t="s">
        <v>483</v>
      </c>
      <c r="B376" t="s">
        <v>38</v>
      </c>
      <c r="C376" t="s">
        <v>24</v>
      </c>
      <c r="D376" t="s">
        <v>25</v>
      </c>
      <c r="E376">
        <v>7127.3</v>
      </c>
      <c r="F376">
        <v>641.46</v>
      </c>
      <c r="G376">
        <v>641.46</v>
      </c>
      <c r="H376">
        <v>8410.2199999999993</v>
      </c>
      <c r="I376" t="s">
        <v>13</v>
      </c>
    </row>
    <row r="377" spans="1:9" x14ac:dyDescent="0.2">
      <c r="A377" t="s">
        <v>484</v>
      </c>
      <c r="B377" t="s">
        <v>75</v>
      </c>
      <c r="C377" t="s">
        <v>16</v>
      </c>
      <c r="D377" t="s">
        <v>17</v>
      </c>
      <c r="E377">
        <v>15417.7</v>
      </c>
      <c r="F377">
        <v>1387.59</v>
      </c>
      <c r="G377">
        <v>1387.59</v>
      </c>
      <c r="H377">
        <v>18192.88</v>
      </c>
      <c r="I377" t="s">
        <v>13</v>
      </c>
    </row>
    <row r="378" spans="1:9" x14ac:dyDescent="0.2">
      <c r="A378" t="s">
        <v>485</v>
      </c>
      <c r="B378" t="s">
        <v>73</v>
      </c>
      <c r="C378" t="s">
        <v>11</v>
      </c>
      <c r="D378" t="s">
        <v>12</v>
      </c>
      <c r="E378">
        <v>26374.35</v>
      </c>
      <c r="F378">
        <v>2373.69</v>
      </c>
      <c r="G378">
        <v>2373.69</v>
      </c>
      <c r="H378">
        <v>31121.73</v>
      </c>
      <c r="I378" t="s">
        <v>13</v>
      </c>
    </row>
    <row r="379" spans="1:9" x14ac:dyDescent="0.2">
      <c r="A379" t="s">
        <v>486</v>
      </c>
      <c r="B379" t="s">
        <v>124</v>
      </c>
      <c r="C379" t="s">
        <v>20</v>
      </c>
      <c r="D379" t="s">
        <v>21</v>
      </c>
      <c r="E379">
        <v>16738.5</v>
      </c>
      <c r="F379">
        <v>1506.46</v>
      </c>
      <c r="G379">
        <v>1506.46</v>
      </c>
      <c r="H379">
        <v>19751.419999999998</v>
      </c>
      <c r="I379" t="s">
        <v>13</v>
      </c>
    </row>
    <row r="380" spans="1:9" x14ac:dyDescent="0.2">
      <c r="A380" t="s">
        <v>487</v>
      </c>
      <c r="B380" t="s">
        <v>429</v>
      </c>
      <c r="C380" t="s">
        <v>24</v>
      </c>
      <c r="D380" t="s">
        <v>25</v>
      </c>
      <c r="E380">
        <v>41012.36</v>
      </c>
      <c r="F380">
        <v>3691.11</v>
      </c>
      <c r="G380">
        <v>3691.11</v>
      </c>
      <c r="H380">
        <v>48394.58</v>
      </c>
      <c r="I380" t="s">
        <v>13</v>
      </c>
    </row>
    <row r="381" spans="1:9" x14ac:dyDescent="0.2">
      <c r="A381" t="s">
        <v>488</v>
      </c>
      <c r="B381" t="s">
        <v>105</v>
      </c>
      <c r="C381" t="s">
        <v>11</v>
      </c>
      <c r="D381" t="s">
        <v>12</v>
      </c>
      <c r="E381">
        <v>23723.27</v>
      </c>
      <c r="F381">
        <v>2135.09</v>
      </c>
      <c r="G381">
        <v>2135.09</v>
      </c>
      <c r="H381">
        <v>27993.45</v>
      </c>
      <c r="I381" t="s">
        <v>13</v>
      </c>
    </row>
    <row r="382" spans="1:9" x14ac:dyDescent="0.2">
      <c r="A382" t="s">
        <v>489</v>
      </c>
      <c r="B382" t="s">
        <v>192</v>
      </c>
      <c r="C382" t="s">
        <v>20</v>
      </c>
      <c r="D382" t="s">
        <v>21</v>
      </c>
      <c r="E382">
        <v>19754.28</v>
      </c>
      <c r="F382">
        <v>1777.89</v>
      </c>
      <c r="G382">
        <v>1777.89</v>
      </c>
      <c r="H382">
        <v>23310.06</v>
      </c>
      <c r="I382" t="s">
        <v>13</v>
      </c>
    </row>
    <row r="383" spans="1:9" x14ac:dyDescent="0.2">
      <c r="A383" t="s">
        <v>490</v>
      </c>
      <c r="B383" t="s">
        <v>121</v>
      </c>
      <c r="C383" t="s">
        <v>32</v>
      </c>
      <c r="D383" t="s">
        <v>33</v>
      </c>
      <c r="E383">
        <v>24186.880000000001</v>
      </c>
      <c r="F383">
        <v>2176.8200000000002</v>
      </c>
      <c r="G383">
        <v>2176.8200000000002</v>
      </c>
      <c r="H383">
        <v>28540.52</v>
      </c>
      <c r="I383" t="s">
        <v>13</v>
      </c>
    </row>
    <row r="384" spans="1:9" x14ac:dyDescent="0.2">
      <c r="A384" t="s">
        <v>491</v>
      </c>
      <c r="B384" t="s">
        <v>313</v>
      </c>
      <c r="C384" t="s">
        <v>16</v>
      </c>
      <c r="D384" t="s">
        <v>17</v>
      </c>
      <c r="E384">
        <v>46487.72</v>
      </c>
      <c r="F384">
        <v>4183.8900000000003</v>
      </c>
      <c r="G384">
        <v>4183.8900000000003</v>
      </c>
      <c r="H384">
        <v>54855.5</v>
      </c>
      <c r="I384" t="s">
        <v>13</v>
      </c>
    </row>
    <row r="385" spans="1:9" x14ac:dyDescent="0.2">
      <c r="A385" t="s">
        <v>492</v>
      </c>
      <c r="B385" t="s">
        <v>60</v>
      </c>
      <c r="C385" t="s">
        <v>32</v>
      </c>
      <c r="D385" t="s">
        <v>33</v>
      </c>
      <c r="E385">
        <v>46962.13</v>
      </c>
      <c r="F385">
        <v>4226.59</v>
      </c>
      <c r="G385">
        <v>4226.59</v>
      </c>
      <c r="H385">
        <v>55415.31</v>
      </c>
      <c r="I385" t="s">
        <v>13</v>
      </c>
    </row>
    <row r="386" spans="1:9" x14ac:dyDescent="0.2">
      <c r="A386" t="s">
        <v>493</v>
      </c>
      <c r="B386" t="s">
        <v>234</v>
      </c>
      <c r="C386" t="s">
        <v>20</v>
      </c>
      <c r="D386" t="s">
        <v>21</v>
      </c>
      <c r="E386">
        <v>28626.959999999999</v>
      </c>
      <c r="F386">
        <v>2576.4299999999998</v>
      </c>
      <c r="G386">
        <v>2576.4299999999998</v>
      </c>
      <c r="H386">
        <v>33779.82</v>
      </c>
      <c r="I386" t="s">
        <v>13</v>
      </c>
    </row>
    <row r="387" spans="1:9" x14ac:dyDescent="0.2">
      <c r="A387" t="s">
        <v>494</v>
      </c>
      <c r="B387" t="s">
        <v>23</v>
      </c>
      <c r="C387" t="s">
        <v>20</v>
      </c>
      <c r="D387" t="s">
        <v>21</v>
      </c>
      <c r="E387">
        <v>29711.3</v>
      </c>
      <c r="F387">
        <v>2674.02</v>
      </c>
      <c r="G387">
        <v>2674.02</v>
      </c>
      <c r="H387">
        <v>35059.339999999997</v>
      </c>
      <c r="I387" t="s">
        <v>13</v>
      </c>
    </row>
    <row r="388" spans="1:9" x14ac:dyDescent="0.2">
      <c r="A388" t="s">
        <v>495</v>
      </c>
      <c r="B388" t="s">
        <v>278</v>
      </c>
      <c r="C388" t="s">
        <v>32</v>
      </c>
      <c r="D388" t="s">
        <v>33</v>
      </c>
      <c r="E388">
        <v>23567.74</v>
      </c>
      <c r="F388">
        <v>2121.1</v>
      </c>
      <c r="G388">
        <v>2121.1</v>
      </c>
      <c r="H388">
        <v>27809.94</v>
      </c>
      <c r="I388" t="s">
        <v>13</v>
      </c>
    </row>
    <row r="389" spans="1:9" x14ac:dyDescent="0.2">
      <c r="A389" t="s">
        <v>496</v>
      </c>
      <c r="B389" t="s">
        <v>29</v>
      </c>
      <c r="C389" t="s">
        <v>11</v>
      </c>
      <c r="D389" t="s">
        <v>12</v>
      </c>
      <c r="E389">
        <v>16764.96</v>
      </c>
      <c r="F389">
        <v>1508.85</v>
      </c>
      <c r="G389">
        <v>1508.85</v>
      </c>
      <c r="H389">
        <v>19782.66</v>
      </c>
      <c r="I389" t="s">
        <v>13</v>
      </c>
    </row>
    <row r="390" spans="1:9" x14ac:dyDescent="0.2">
      <c r="A390" t="s">
        <v>497</v>
      </c>
      <c r="B390" t="s">
        <v>47</v>
      </c>
      <c r="C390" t="s">
        <v>24</v>
      </c>
      <c r="D390" t="s">
        <v>25</v>
      </c>
      <c r="E390">
        <v>11256.23</v>
      </c>
      <c r="F390">
        <v>1013.06</v>
      </c>
      <c r="G390">
        <v>1013.06</v>
      </c>
      <c r="H390">
        <v>13282.35</v>
      </c>
      <c r="I390" t="s">
        <v>13</v>
      </c>
    </row>
    <row r="391" spans="1:9" x14ac:dyDescent="0.2">
      <c r="A391" t="s">
        <v>498</v>
      </c>
      <c r="B391" t="s">
        <v>150</v>
      </c>
      <c r="C391" t="s">
        <v>32</v>
      </c>
      <c r="D391" t="s">
        <v>33</v>
      </c>
      <c r="E391">
        <v>20860.59</v>
      </c>
      <c r="F391">
        <v>1877.45</v>
      </c>
      <c r="G391">
        <v>1877.45</v>
      </c>
      <c r="H391">
        <v>24615.49</v>
      </c>
      <c r="I391" t="s">
        <v>13</v>
      </c>
    </row>
    <row r="392" spans="1:9" x14ac:dyDescent="0.2">
      <c r="A392" t="s">
        <v>499</v>
      </c>
      <c r="B392" t="s">
        <v>65</v>
      </c>
      <c r="C392" t="s">
        <v>16</v>
      </c>
      <c r="D392" t="s">
        <v>17</v>
      </c>
      <c r="E392">
        <v>11376.19</v>
      </c>
      <c r="F392">
        <v>1023.86</v>
      </c>
      <c r="G392">
        <v>1023.86</v>
      </c>
      <c r="H392">
        <v>13423.91</v>
      </c>
      <c r="I392" t="s">
        <v>13</v>
      </c>
    </row>
    <row r="393" spans="1:9" x14ac:dyDescent="0.2">
      <c r="A393" t="s">
        <v>500</v>
      </c>
      <c r="B393" t="s">
        <v>65</v>
      </c>
      <c r="C393" t="s">
        <v>11</v>
      </c>
      <c r="D393" t="s">
        <v>12</v>
      </c>
      <c r="E393">
        <v>7519.23</v>
      </c>
      <c r="F393">
        <v>676.73</v>
      </c>
      <c r="G393">
        <v>676.73</v>
      </c>
      <c r="H393">
        <v>8872.69</v>
      </c>
      <c r="I393" t="s">
        <v>13</v>
      </c>
    </row>
    <row r="394" spans="1:9" x14ac:dyDescent="0.2">
      <c r="A394" t="s">
        <v>501</v>
      </c>
      <c r="B394" t="s">
        <v>212</v>
      </c>
      <c r="C394" t="s">
        <v>32</v>
      </c>
      <c r="D394" t="s">
        <v>33</v>
      </c>
      <c r="E394">
        <v>37746.480000000003</v>
      </c>
      <c r="F394">
        <v>3397.18</v>
      </c>
      <c r="G394">
        <v>3397.18</v>
      </c>
      <c r="H394">
        <v>44540.84</v>
      </c>
      <c r="I394" t="s">
        <v>13</v>
      </c>
    </row>
    <row r="395" spans="1:9" x14ac:dyDescent="0.2">
      <c r="A395" t="s">
        <v>502</v>
      </c>
      <c r="B395" t="s">
        <v>60</v>
      </c>
      <c r="C395" t="s">
        <v>11</v>
      </c>
      <c r="D395" t="s">
        <v>12</v>
      </c>
      <c r="E395">
        <v>14483.82</v>
      </c>
      <c r="F395">
        <v>1303.54</v>
      </c>
      <c r="G395">
        <v>1303.54</v>
      </c>
      <c r="H395">
        <v>17090.900000000001</v>
      </c>
      <c r="I395" t="s">
        <v>13</v>
      </c>
    </row>
    <row r="396" spans="1:9" x14ac:dyDescent="0.2">
      <c r="A396" t="s">
        <v>503</v>
      </c>
      <c r="B396" t="s">
        <v>38</v>
      </c>
      <c r="C396" t="s">
        <v>24</v>
      </c>
      <c r="D396" t="s">
        <v>25</v>
      </c>
      <c r="E396">
        <v>14685.89</v>
      </c>
      <c r="F396">
        <v>1321.73</v>
      </c>
      <c r="G396">
        <v>1321.73</v>
      </c>
      <c r="H396">
        <v>17329.349999999999</v>
      </c>
      <c r="I396" t="s">
        <v>13</v>
      </c>
    </row>
    <row r="397" spans="1:9" x14ac:dyDescent="0.2">
      <c r="A397" t="s">
        <v>504</v>
      </c>
      <c r="B397" t="s">
        <v>311</v>
      </c>
      <c r="C397" t="s">
        <v>32</v>
      </c>
      <c r="D397" t="s">
        <v>33</v>
      </c>
      <c r="E397">
        <v>25760.57</v>
      </c>
      <c r="F397">
        <v>2318.4499999999998</v>
      </c>
      <c r="G397">
        <v>2318.4499999999998</v>
      </c>
      <c r="H397">
        <v>30397.47</v>
      </c>
      <c r="I397" t="s">
        <v>13</v>
      </c>
    </row>
    <row r="398" spans="1:9" x14ac:dyDescent="0.2">
      <c r="A398" t="s">
        <v>505</v>
      </c>
      <c r="B398" t="s">
        <v>292</v>
      </c>
      <c r="C398" t="s">
        <v>11</v>
      </c>
      <c r="D398" t="s">
        <v>12</v>
      </c>
      <c r="E398">
        <v>20548.240000000002</v>
      </c>
      <c r="F398">
        <v>1849.34</v>
      </c>
      <c r="G398">
        <v>1849.34</v>
      </c>
      <c r="H398">
        <v>24246.92</v>
      </c>
      <c r="I398" t="s">
        <v>13</v>
      </c>
    </row>
    <row r="399" spans="1:9" x14ac:dyDescent="0.2">
      <c r="A399" t="s">
        <v>506</v>
      </c>
      <c r="B399" t="s">
        <v>121</v>
      </c>
      <c r="C399" t="s">
        <v>24</v>
      </c>
      <c r="D399" t="s">
        <v>25</v>
      </c>
      <c r="E399">
        <v>3505.79</v>
      </c>
      <c r="F399">
        <v>315.52</v>
      </c>
      <c r="G399">
        <v>315.52</v>
      </c>
      <c r="H399">
        <v>4136.83</v>
      </c>
      <c r="I399" t="s">
        <v>13</v>
      </c>
    </row>
    <row r="400" spans="1:9" x14ac:dyDescent="0.2">
      <c r="A400" t="s">
        <v>507</v>
      </c>
      <c r="B400" t="s">
        <v>234</v>
      </c>
      <c r="C400" t="s">
        <v>24</v>
      </c>
      <c r="D400" t="s">
        <v>25</v>
      </c>
      <c r="E400">
        <v>32161.35</v>
      </c>
      <c r="F400">
        <v>2894.52</v>
      </c>
      <c r="G400">
        <v>2894.52</v>
      </c>
      <c r="H400">
        <v>37950.39</v>
      </c>
      <c r="I400" t="s">
        <v>13</v>
      </c>
    </row>
    <row r="401" spans="1:9" x14ac:dyDescent="0.2">
      <c r="A401" t="s">
        <v>508</v>
      </c>
      <c r="B401" t="s">
        <v>215</v>
      </c>
      <c r="C401" t="s">
        <v>32</v>
      </c>
      <c r="D401" t="s">
        <v>33</v>
      </c>
      <c r="E401">
        <v>23753.919999999998</v>
      </c>
      <c r="F401">
        <v>2137.85</v>
      </c>
      <c r="G401">
        <v>2137.85</v>
      </c>
      <c r="H401">
        <v>28029.62</v>
      </c>
      <c r="I401" t="s">
        <v>13</v>
      </c>
    </row>
    <row r="402" spans="1:9" x14ac:dyDescent="0.2">
      <c r="A402" t="s">
        <v>509</v>
      </c>
      <c r="B402" t="s">
        <v>313</v>
      </c>
      <c r="C402" t="s">
        <v>11</v>
      </c>
      <c r="D402" t="s">
        <v>12</v>
      </c>
      <c r="E402">
        <v>34971.24</v>
      </c>
      <c r="F402">
        <v>3147.41</v>
      </c>
      <c r="G402">
        <v>3147.41</v>
      </c>
      <c r="H402">
        <v>41266.06</v>
      </c>
      <c r="I402" t="s">
        <v>13</v>
      </c>
    </row>
    <row r="403" spans="1:9" x14ac:dyDescent="0.2">
      <c r="A403" t="s">
        <v>510</v>
      </c>
      <c r="B403" t="s">
        <v>60</v>
      </c>
      <c r="C403" t="s">
        <v>20</v>
      </c>
      <c r="D403" t="s">
        <v>21</v>
      </c>
      <c r="E403">
        <v>25073.040000000001</v>
      </c>
      <c r="F403">
        <v>2256.5700000000002</v>
      </c>
      <c r="G403">
        <v>2256.5700000000002</v>
      </c>
      <c r="H403">
        <v>29586.18</v>
      </c>
      <c r="I403" t="s">
        <v>13</v>
      </c>
    </row>
    <row r="404" spans="1:9" x14ac:dyDescent="0.2">
      <c r="A404" t="s">
        <v>511</v>
      </c>
      <c r="B404" t="s">
        <v>71</v>
      </c>
      <c r="C404" t="s">
        <v>32</v>
      </c>
      <c r="D404" t="s">
        <v>33</v>
      </c>
      <c r="E404">
        <v>41006.68</v>
      </c>
      <c r="F404">
        <v>3690.6</v>
      </c>
      <c r="G404">
        <v>3690.6</v>
      </c>
      <c r="H404">
        <v>48387.88</v>
      </c>
      <c r="I404" t="s">
        <v>13</v>
      </c>
    </row>
    <row r="405" spans="1:9" x14ac:dyDescent="0.2">
      <c r="A405" t="s">
        <v>512</v>
      </c>
      <c r="B405" t="s">
        <v>87</v>
      </c>
      <c r="C405" t="s">
        <v>16</v>
      </c>
      <c r="D405" t="s">
        <v>17</v>
      </c>
      <c r="E405">
        <v>38402.730000000003</v>
      </c>
      <c r="F405">
        <v>3456.25</v>
      </c>
      <c r="G405">
        <v>3456.25</v>
      </c>
      <c r="H405">
        <v>45315.23</v>
      </c>
      <c r="I405" t="s">
        <v>13</v>
      </c>
    </row>
    <row r="406" spans="1:9" x14ac:dyDescent="0.2">
      <c r="A406" t="s">
        <v>513</v>
      </c>
      <c r="B406" t="s">
        <v>292</v>
      </c>
      <c r="C406" t="s">
        <v>24</v>
      </c>
      <c r="D406" t="s">
        <v>25</v>
      </c>
      <c r="E406">
        <v>18398.73</v>
      </c>
      <c r="F406">
        <v>1655.89</v>
      </c>
      <c r="G406">
        <v>1655.89</v>
      </c>
      <c r="H406">
        <v>21710.51</v>
      </c>
      <c r="I406" t="s">
        <v>13</v>
      </c>
    </row>
    <row r="407" spans="1:9" x14ac:dyDescent="0.2">
      <c r="A407" t="s">
        <v>514</v>
      </c>
      <c r="B407" t="s">
        <v>15</v>
      </c>
      <c r="C407" t="s">
        <v>11</v>
      </c>
      <c r="D407" t="s">
        <v>12</v>
      </c>
      <c r="E407">
        <v>25025.11</v>
      </c>
      <c r="F407">
        <v>2252.2600000000002</v>
      </c>
      <c r="G407">
        <v>2252.2600000000002</v>
      </c>
      <c r="H407">
        <v>29529.63</v>
      </c>
      <c r="I407" t="s">
        <v>13</v>
      </c>
    </row>
    <row r="408" spans="1:9" x14ac:dyDescent="0.2">
      <c r="A408" t="s">
        <v>515</v>
      </c>
      <c r="B408" t="s">
        <v>38</v>
      </c>
      <c r="C408" t="s">
        <v>32</v>
      </c>
      <c r="D408" t="s">
        <v>33</v>
      </c>
      <c r="E408">
        <v>26802.21</v>
      </c>
      <c r="F408">
        <v>2412.1999999999998</v>
      </c>
      <c r="G408">
        <v>2412.1999999999998</v>
      </c>
      <c r="H408">
        <v>31626.61</v>
      </c>
      <c r="I408" t="s">
        <v>13</v>
      </c>
    </row>
    <row r="409" spans="1:9" x14ac:dyDescent="0.2">
      <c r="A409" t="s">
        <v>516</v>
      </c>
      <c r="B409" t="s">
        <v>165</v>
      </c>
      <c r="C409" t="s">
        <v>24</v>
      </c>
      <c r="D409" t="s">
        <v>25</v>
      </c>
      <c r="E409">
        <v>36038.61</v>
      </c>
      <c r="F409">
        <v>3243.47</v>
      </c>
      <c r="G409">
        <v>3243.47</v>
      </c>
      <c r="H409">
        <v>42525.55</v>
      </c>
      <c r="I409" t="s">
        <v>13</v>
      </c>
    </row>
    <row r="410" spans="1:9" x14ac:dyDescent="0.2">
      <c r="A410" t="s">
        <v>517</v>
      </c>
      <c r="B410" t="s">
        <v>205</v>
      </c>
      <c r="C410" t="s">
        <v>20</v>
      </c>
      <c r="D410" t="s">
        <v>21</v>
      </c>
      <c r="E410">
        <v>20204.21</v>
      </c>
      <c r="F410">
        <v>1818.38</v>
      </c>
      <c r="G410">
        <v>1818.38</v>
      </c>
      <c r="H410">
        <v>23840.97</v>
      </c>
      <c r="I410" t="s">
        <v>13</v>
      </c>
    </row>
    <row r="411" spans="1:9" x14ac:dyDescent="0.2">
      <c r="A411" t="s">
        <v>518</v>
      </c>
      <c r="B411" t="s">
        <v>172</v>
      </c>
      <c r="C411" t="s">
        <v>32</v>
      </c>
      <c r="D411" t="s">
        <v>33</v>
      </c>
      <c r="E411">
        <v>46141.54</v>
      </c>
      <c r="F411">
        <v>4152.74</v>
      </c>
      <c r="G411">
        <v>4152.74</v>
      </c>
      <c r="H411">
        <v>54447.02</v>
      </c>
      <c r="I411" t="s">
        <v>13</v>
      </c>
    </row>
    <row r="412" spans="1:9" x14ac:dyDescent="0.2">
      <c r="A412" t="s">
        <v>519</v>
      </c>
      <c r="B412" t="s">
        <v>132</v>
      </c>
      <c r="C412" t="s">
        <v>32</v>
      </c>
      <c r="D412" t="s">
        <v>33</v>
      </c>
      <c r="E412">
        <v>34980.26</v>
      </c>
      <c r="F412">
        <v>3148.22</v>
      </c>
      <c r="G412">
        <v>3148.22</v>
      </c>
      <c r="H412">
        <v>41276.699999999997</v>
      </c>
      <c r="I412" t="s">
        <v>13</v>
      </c>
    </row>
    <row r="413" spans="1:9" x14ac:dyDescent="0.2">
      <c r="A413" t="s">
        <v>520</v>
      </c>
      <c r="B413" t="s">
        <v>121</v>
      </c>
      <c r="C413" t="s">
        <v>20</v>
      </c>
      <c r="D413" t="s">
        <v>21</v>
      </c>
      <c r="E413">
        <v>1528</v>
      </c>
      <c r="F413">
        <v>137.52000000000001</v>
      </c>
      <c r="G413">
        <v>137.52000000000001</v>
      </c>
      <c r="H413">
        <v>1803.04</v>
      </c>
      <c r="I413" t="s">
        <v>13</v>
      </c>
    </row>
    <row r="414" spans="1:9" x14ac:dyDescent="0.2">
      <c r="A414" t="s">
        <v>521</v>
      </c>
      <c r="B414" t="s">
        <v>91</v>
      </c>
      <c r="C414" t="s">
        <v>20</v>
      </c>
      <c r="D414" t="s">
        <v>21</v>
      </c>
      <c r="E414">
        <v>37865</v>
      </c>
      <c r="F414">
        <v>3407.85</v>
      </c>
      <c r="G414">
        <v>3407.85</v>
      </c>
      <c r="H414">
        <v>44680.7</v>
      </c>
      <c r="I414" t="s">
        <v>13</v>
      </c>
    </row>
    <row r="415" spans="1:9" x14ac:dyDescent="0.2">
      <c r="A415" t="s">
        <v>522</v>
      </c>
      <c r="B415" t="s">
        <v>29</v>
      </c>
      <c r="C415" t="s">
        <v>16</v>
      </c>
      <c r="D415" t="s">
        <v>17</v>
      </c>
      <c r="E415">
        <v>38256.269999999997</v>
      </c>
      <c r="F415">
        <v>3443.06</v>
      </c>
      <c r="G415">
        <v>3443.06</v>
      </c>
      <c r="H415">
        <v>45142.39</v>
      </c>
      <c r="I415" t="s">
        <v>13</v>
      </c>
    </row>
    <row r="416" spans="1:9" x14ac:dyDescent="0.2">
      <c r="A416" t="s">
        <v>523</v>
      </c>
      <c r="B416" t="s">
        <v>176</v>
      </c>
      <c r="C416" t="s">
        <v>20</v>
      </c>
      <c r="D416" t="s">
        <v>21</v>
      </c>
      <c r="E416">
        <v>30320.06</v>
      </c>
      <c r="F416">
        <v>2728.81</v>
      </c>
      <c r="G416">
        <v>2728.81</v>
      </c>
      <c r="H416">
        <v>35777.68</v>
      </c>
      <c r="I416" t="s">
        <v>13</v>
      </c>
    </row>
    <row r="417" spans="1:9" x14ac:dyDescent="0.2">
      <c r="A417" t="s">
        <v>524</v>
      </c>
      <c r="B417" t="s">
        <v>68</v>
      </c>
      <c r="C417" t="s">
        <v>32</v>
      </c>
      <c r="D417" t="s">
        <v>33</v>
      </c>
      <c r="E417">
        <v>49101.919999999998</v>
      </c>
      <c r="F417">
        <v>4419.17</v>
      </c>
      <c r="G417">
        <v>4419.17</v>
      </c>
      <c r="H417">
        <v>57940.26</v>
      </c>
      <c r="I417" t="s">
        <v>13</v>
      </c>
    </row>
    <row r="418" spans="1:9" x14ac:dyDescent="0.2">
      <c r="A418" t="s">
        <v>525</v>
      </c>
      <c r="B418" t="s">
        <v>77</v>
      </c>
      <c r="C418" t="s">
        <v>32</v>
      </c>
      <c r="D418" t="s">
        <v>33</v>
      </c>
      <c r="E418">
        <v>21130.73</v>
      </c>
      <c r="F418">
        <v>1901.77</v>
      </c>
      <c r="G418">
        <v>1901.77</v>
      </c>
      <c r="H418">
        <v>24934.27</v>
      </c>
      <c r="I418" t="s">
        <v>13</v>
      </c>
    </row>
    <row r="419" spans="1:9" x14ac:dyDescent="0.2">
      <c r="A419" t="s">
        <v>526</v>
      </c>
      <c r="B419" t="s">
        <v>268</v>
      </c>
      <c r="C419" t="s">
        <v>32</v>
      </c>
      <c r="D419" t="s">
        <v>33</v>
      </c>
      <c r="E419">
        <v>5352.28</v>
      </c>
      <c r="F419">
        <v>481.71</v>
      </c>
      <c r="G419">
        <v>481.71</v>
      </c>
      <c r="H419">
        <v>6315.7</v>
      </c>
      <c r="I419" t="s">
        <v>13</v>
      </c>
    </row>
    <row r="420" spans="1:9" x14ac:dyDescent="0.2">
      <c r="A420" t="s">
        <v>527</v>
      </c>
      <c r="B420" t="s">
        <v>285</v>
      </c>
      <c r="C420" t="s">
        <v>16</v>
      </c>
      <c r="D420" t="s">
        <v>17</v>
      </c>
      <c r="E420">
        <v>46570.75</v>
      </c>
      <c r="F420">
        <v>4191.37</v>
      </c>
      <c r="G420">
        <v>4191.37</v>
      </c>
      <c r="H420">
        <v>54953.49</v>
      </c>
      <c r="I420" t="s">
        <v>13</v>
      </c>
    </row>
    <row r="421" spans="1:9" x14ac:dyDescent="0.2">
      <c r="A421" t="s">
        <v>528</v>
      </c>
      <c r="B421" t="s">
        <v>471</v>
      </c>
      <c r="C421" t="s">
        <v>24</v>
      </c>
      <c r="D421" t="s">
        <v>25</v>
      </c>
      <c r="E421">
        <v>28562.240000000002</v>
      </c>
      <c r="F421">
        <v>2570.6</v>
      </c>
      <c r="G421">
        <v>2570.6</v>
      </c>
      <c r="H421">
        <v>33703.440000000002</v>
      </c>
      <c r="I421" t="s">
        <v>13</v>
      </c>
    </row>
    <row r="422" spans="1:9" x14ac:dyDescent="0.2">
      <c r="A422" t="s">
        <v>529</v>
      </c>
      <c r="B422" t="s">
        <v>278</v>
      </c>
      <c r="C422" t="s">
        <v>11</v>
      </c>
      <c r="D422" t="s">
        <v>12</v>
      </c>
      <c r="E422">
        <v>40470.879999999997</v>
      </c>
      <c r="F422">
        <v>3642.38</v>
      </c>
      <c r="G422">
        <v>3642.38</v>
      </c>
      <c r="H422">
        <v>47755.64</v>
      </c>
      <c r="I422" t="s">
        <v>13</v>
      </c>
    </row>
    <row r="423" spans="1:9" x14ac:dyDescent="0.2">
      <c r="A423" t="s">
        <v>530</v>
      </c>
      <c r="B423" t="s">
        <v>71</v>
      </c>
      <c r="C423" t="s">
        <v>24</v>
      </c>
      <c r="D423" t="s">
        <v>25</v>
      </c>
      <c r="E423">
        <v>13403.98</v>
      </c>
      <c r="F423">
        <v>1206.3599999999999</v>
      </c>
      <c r="G423">
        <v>1206.3599999999999</v>
      </c>
      <c r="H423">
        <v>15816.7</v>
      </c>
      <c r="I423" t="s">
        <v>13</v>
      </c>
    </row>
    <row r="424" spans="1:9" x14ac:dyDescent="0.2">
      <c r="A424" t="s">
        <v>531</v>
      </c>
      <c r="B424" t="s">
        <v>278</v>
      </c>
      <c r="C424" t="s">
        <v>24</v>
      </c>
      <c r="D424" t="s">
        <v>25</v>
      </c>
      <c r="E424">
        <v>10214.86</v>
      </c>
      <c r="F424">
        <v>919.34</v>
      </c>
      <c r="G424">
        <v>919.34</v>
      </c>
      <c r="H424">
        <v>12053.54</v>
      </c>
      <c r="I424" t="s">
        <v>13</v>
      </c>
    </row>
    <row r="425" spans="1:9" x14ac:dyDescent="0.2">
      <c r="A425" t="s">
        <v>532</v>
      </c>
      <c r="B425" t="s">
        <v>140</v>
      </c>
      <c r="C425" t="s">
        <v>11</v>
      </c>
      <c r="D425" t="s">
        <v>12</v>
      </c>
      <c r="E425">
        <v>22390.25</v>
      </c>
      <c r="F425">
        <v>2015.12</v>
      </c>
      <c r="G425">
        <v>2015.12</v>
      </c>
      <c r="H425">
        <v>26420.49</v>
      </c>
      <c r="I425" t="s">
        <v>13</v>
      </c>
    </row>
    <row r="426" spans="1:9" x14ac:dyDescent="0.2">
      <c r="A426" t="s">
        <v>533</v>
      </c>
      <c r="B426" t="s">
        <v>54</v>
      </c>
      <c r="C426" t="s">
        <v>11</v>
      </c>
      <c r="D426" t="s">
        <v>12</v>
      </c>
      <c r="E426">
        <v>46407.839999999997</v>
      </c>
      <c r="F426">
        <v>4176.71</v>
      </c>
      <c r="G426">
        <v>4176.71</v>
      </c>
      <c r="H426">
        <v>54761.26</v>
      </c>
      <c r="I426" t="s">
        <v>13</v>
      </c>
    </row>
    <row r="427" spans="1:9" x14ac:dyDescent="0.2">
      <c r="A427" t="s">
        <v>534</v>
      </c>
      <c r="B427" t="s">
        <v>31</v>
      </c>
      <c r="C427" t="s">
        <v>16</v>
      </c>
      <c r="D427" t="s">
        <v>17</v>
      </c>
      <c r="E427">
        <v>10532.54</v>
      </c>
      <c r="F427">
        <v>947.93</v>
      </c>
      <c r="G427">
        <v>947.93</v>
      </c>
      <c r="H427">
        <v>12428.4</v>
      </c>
      <c r="I427" t="s">
        <v>13</v>
      </c>
    </row>
    <row r="428" spans="1:9" x14ac:dyDescent="0.2">
      <c r="A428" t="s">
        <v>535</v>
      </c>
      <c r="B428" t="s">
        <v>429</v>
      </c>
      <c r="C428" t="s">
        <v>24</v>
      </c>
      <c r="D428" t="s">
        <v>25</v>
      </c>
      <c r="E428">
        <v>23382.57</v>
      </c>
      <c r="F428">
        <v>2104.4299999999998</v>
      </c>
      <c r="G428">
        <v>2104.4299999999998</v>
      </c>
      <c r="H428">
        <v>27591.43</v>
      </c>
      <c r="I428" t="s">
        <v>13</v>
      </c>
    </row>
    <row r="429" spans="1:9" x14ac:dyDescent="0.2">
      <c r="A429" t="s">
        <v>536</v>
      </c>
      <c r="B429" t="s">
        <v>15</v>
      </c>
      <c r="C429" t="s">
        <v>32</v>
      </c>
      <c r="D429" t="s">
        <v>33</v>
      </c>
      <c r="E429">
        <v>13838.44</v>
      </c>
      <c r="F429">
        <v>1245.46</v>
      </c>
      <c r="G429">
        <v>1245.46</v>
      </c>
      <c r="H429">
        <v>16329.36</v>
      </c>
      <c r="I429" t="s">
        <v>13</v>
      </c>
    </row>
    <row r="430" spans="1:9" x14ac:dyDescent="0.2">
      <c r="A430" t="s">
        <v>537</v>
      </c>
      <c r="B430" t="s">
        <v>278</v>
      </c>
      <c r="C430" t="s">
        <v>11</v>
      </c>
      <c r="D430" t="s">
        <v>12</v>
      </c>
      <c r="E430">
        <v>48050.95</v>
      </c>
      <c r="F430">
        <v>4324.59</v>
      </c>
      <c r="G430">
        <v>4324.59</v>
      </c>
      <c r="H430">
        <v>56700.13</v>
      </c>
      <c r="I430" t="s">
        <v>13</v>
      </c>
    </row>
    <row r="431" spans="1:9" x14ac:dyDescent="0.2">
      <c r="A431" t="s">
        <v>538</v>
      </c>
      <c r="B431" t="s">
        <v>63</v>
      </c>
      <c r="C431" t="s">
        <v>16</v>
      </c>
      <c r="D431" t="s">
        <v>17</v>
      </c>
      <c r="E431">
        <v>18519.93</v>
      </c>
      <c r="F431">
        <v>1666.79</v>
      </c>
      <c r="G431">
        <v>1666.79</v>
      </c>
      <c r="H431">
        <v>21853.51</v>
      </c>
      <c r="I431" t="s">
        <v>13</v>
      </c>
    </row>
    <row r="432" spans="1:9" x14ac:dyDescent="0.2">
      <c r="A432" t="s">
        <v>539</v>
      </c>
      <c r="B432" t="s">
        <v>65</v>
      </c>
      <c r="C432" t="s">
        <v>16</v>
      </c>
      <c r="D432" t="s">
        <v>17</v>
      </c>
      <c r="E432">
        <v>14834.1</v>
      </c>
      <c r="F432">
        <v>1335.07</v>
      </c>
      <c r="G432">
        <v>1335.07</v>
      </c>
      <c r="H432">
        <v>17504.240000000002</v>
      </c>
      <c r="I432" t="s">
        <v>13</v>
      </c>
    </row>
    <row r="433" spans="1:9" x14ac:dyDescent="0.2">
      <c r="A433" t="s">
        <v>540</v>
      </c>
      <c r="B433" t="s">
        <v>429</v>
      </c>
      <c r="C433" t="s">
        <v>24</v>
      </c>
      <c r="D433" t="s">
        <v>25</v>
      </c>
      <c r="E433">
        <v>39389.11</v>
      </c>
      <c r="F433">
        <v>3545.02</v>
      </c>
      <c r="G433">
        <v>3545.02</v>
      </c>
      <c r="H433">
        <v>46479.15</v>
      </c>
      <c r="I433" t="s">
        <v>13</v>
      </c>
    </row>
    <row r="434" spans="1:9" x14ac:dyDescent="0.2">
      <c r="A434" t="s">
        <v>541</v>
      </c>
      <c r="B434" t="s">
        <v>51</v>
      </c>
      <c r="C434" t="s">
        <v>11</v>
      </c>
      <c r="D434" t="s">
        <v>12</v>
      </c>
      <c r="E434">
        <v>11658.84</v>
      </c>
      <c r="F434">
        <v>1049.3</v>
      </c>
      <c r="G434">
        <v>1049.3</v>
      </c>
      <c r="H434">
        <v>13757.44</v>
      </c>
      <c r="I434" t="s">
        <v>13</v>
      </c>
    </row>
    <row r="435" spans="1:9" x14ac:dyDescent="0.2">
      <c r="A435" t="s">
        <v>542</v>
      </c>
      <c r="B435" t="s">
        <v>75</v>
      </c>
      <c r="C435" t="s">
        <v>24</v>
      </c>
      <c r="D435" t="s">
        <v>25</v>
      </c>
      <c r="E435">
        <v>42640.63</v>
      </c>
      <c r="F435">
        <v>3837.66</v>
      </c>
      <c r="G435">
        <v>3837.66</v>
      </c>
      <c r="H435">
        <v>50315.95</v>
      </c>
      <c r="I435" t="s">
        <v>13</v>
      </c>
    </row>
    <row r="436" spans="1:9" x14ac:dyDescent="0.2">
      <c r="A436" t="s">
        <v>543</v>
      </c>
      <c r="B436" t="s">
        <v>234</v>
      </c>
      <c r="C436" t="s">
        <v>20</v>
      </c>
      <c r="D436" t="s">
        <v>21</v>
      </c>
      <c r="E436">
        <v>19734.009999999998</v>
      </c>
      <c r="F436">
        <v>1776.06</v>
      </c>
      <c r="G436">
        <v>1776.06</v>
      </c>
      <c r="H436">
        <v>23286.13</v>
      </c>
      <c r="I436" t="s">
        <v>13</v>
      </c>
    </row>
    <row r="437" spans="1:9" x14ac:dyDescent="0.2">
      <c r="A437" t="s">
        <v>544</v>
      </c>
      <c r="B437" t="s">
        <v>91</v>
      </c>
      <c r="C437" t="s">
        <v>32</v>
      </c>
      <c r="D437" t="s">
        <v>33</v>
      </c>
      <c r="E437">
        <v>23407.08</v>
      </c>
      <c r="F437">
        <v>2106.64</v>
      </c>
      <c r="G437">
        <v>2106.64</v>
      </c>
      <c r="H437">
        <v>27620.36</v>
      </c>
      <c r="I437" t="s">
        <v>13</v>
      </c>
    </row>
    <row r="438" spans="1:9" x14ac:dyDescent="0.2">
      <c r="A438" t="s">
        <v>545</v>
      </c>
      <c r="B438" t="s">
        <v>159</v>
      </c>
      <c r="C438" t="s">
        <v>20</v>
      </c>
      <c r="D438" t="s">
        <v>21</v>
      </c>
      <c r="E438">
        <v>4859.4799999999996</v>
      </c>
      <c r="F438">
        <v>437.35</v>
      </c>
      <c r="G438">
        <v>437.35</v>
      </c>
      <c r="H438">
        <v>5734.18</v>
      </c>
      <c r="I438" t="s">
        <v>13</v>
      </c>
    </row>
    <row r="439" spans="1:9" x14ac:dyDescent="0.2">
      <c r="A439" t="s">
        <v>546</v>
      </c>
      <c r="B439" t="s">
        <v>60</v>
      </c>
      <c r="C439" t="s">
        <v>20</v>
      </c>
      <c r="D439" t="s">
        <v>21</v>
      </c>
      <c r="E439">
        <v>44607.31</v>
      </c>
      <c r="F439">
        <v>4014.66</v>
      </c>
      <c r="G439">
        <v>4014.66</v>
      </c>
      <c r="H439">
        <v>52636.63</v>
      </c>
      <c r="I439" t="s">
        <v>13</v>
      </c>
    </row>
    <row r="440" spans="1:9" x14ac:dyDescent="0.2">
      <c r="A440" t="s">
        <v>547</v>
      </c>
      <c r="B440" t="s">
        <v>548</v>
      </c>
      <c r="C440" t="s">
        <v>32</v>
      </c>
      <c r="D440" t="s">
        <v>33</v>
      </c>
      <c r="E440">
        <v>9816.84</v>
      </c>
      <c r="F440">
        <v>883.52</v>
      </c>
      <c r="G440">
        <v>883.52</v>
      </c>
      <c r="H440">
        <v>11583.88</v>
      </c>
      <c r="I440" t="s">
        <v>13</v>
      </c>
    </row>
    <row r="441" spans="1:9" x14ac:dyDescent="0.2">
      <c r="A441" t="s">
        <v>549</v>
      </c>
      <c r="B441" t="s">
        <v>65</v>
      </c>
      <c r="C441" t="s">
        <v>11</v>
      </c>
      <c r="D441" t="s">
        <v>12</v>
      </c>
      <c r="E441">
        <v>29129.439999999999</v>
      </c>
      <c r="F441">
        <v>2621.65</v>
      </c>
      <c r="G441">
        <v>2621.65</v>
      </c>
      <c r="H441">
        <v>34372.74</v>
      </c>
      <c r="I441" t="s">
        <v>13</v>
      </c>
    </row>
    <row r="442" spans="1:9" x14ac:dyDescent="0.2">
      <c r="A442" t="s">
        <v>550</v>
      </c>
      <c r="B442" t="s">
        <v>161</v>
      </c>
      <c r="C442" t="s">
        <v>32</v>
      </c>
      <c r="D442" t="s">
        <v>33</v>
      </c>
      <c r="E442">
        <v>27021.93</v>
      </c>
      <c r="F442">
        <v>2431.9699999999998</v>
      </c>
      <c r="G442">
        <v>2431.9699999999998</v>
      </c>
      <c r="H442">
        <v>31885.87</v>
      </c>
      <c r="I442" t="s">
        <v>13</v>
      </c>
    </row>
    <row r="443" spans="1:9" x14ac:dyDescent="0.2">
      <c r="A443" t="s">
        <v>551</v>
      </c>
      <c r="B443" t="s">
        <v>40</v>
      </c>
      <c r="C443" t="s">
        <v>24</v>
      </c>
      <c r="D443" t="s">
        <v>25</v>
      </c>
      <c r="E443">
        <v>10755.73</v>
      </c>
      <c r="F443">
        <v>968.02</v>
      </c>
      <c r="G443">
        <v>968.02</v>
      </c>
      <c r="H443">
        <v>12691.77</v>
      </c>
      <c r="I443" t="s">
        <v>13</v>
      </c>
    </row>
    <row r="444" spans="1:9" x14ac:dyDescent="0.2">
      <c r="A444" t="s">
        <v>552</v>
      </c>
      <c r="B444" t="s">
        <v>192</v>
      </c>
      <c r="C444" t="s">
        <v>16</v>
      </c>
      <c r="D444" t="s">
        <v>17</v>
      </c>
      <c r="E444">
        <v>40128.949999999997</v>
      </c>
      <c r="F444">
        <v>3611.61</v>
      </c>
      <c r="G444">
        <v>3611.61</v>
      </c>
      <c r="H444">
        <v>47352.17</v>
      </c>
      <c r="I444" t="s">
        <v>13</v>
      </c>
    </row>
    <row r="445" spans="1:9" x14ac:dyDescent="0.2">
      <c r="A445" t="s">
        <v>553</v>
      </c>
      <c r="B445" t="s">
        <v>77</v>
      </c>
      <c r="C445" t="s">
        <v>11</v>
      </c>
      <c r="D445" t="s">
        <v>12</v>
      </c>
      <c r="E445">
        <v>4123.2</v>
      </c>
      <c r="F445">
        <v>371.09</v>
      </c>
      <c r="G445">
        <v>371.09</v>
      </c>
      <c r="H445">
        <v>4865.38</v>
      </c>
      <c r="I445" t="s">
        <v>13</v>
      </c>
    </row>
    <row r="446" spans="1:9" x14ac:dyDescent="0.2">
      <c r="A446" t="s">
        <v>554</v>
      </c>
      <c r="B446" t="s">
        <v>60</v>
      </c>
      <c r="C446" t="s">
        <v>24</v>
      </c>
      <c r="D446" t="s">
        <v>25</v>
      </c>
      <c r="E446">
        <v>36964.11</v>
      </c>
      <c r="F446">
        <v>3326.77</v>
      </c>
      <c r="G446">
        <v>3326.77</v>
      </c>
      <c r="H446">
        <v>43617.65</v>
      </c>
      <c r="I446" t="s">
        <v>13</v>
      </c>
    </row>
    <row r="447" spans="1:9" x14ac:dyDescent="0.2">
      <c r="A447" t="s">
        <v>555</v>
      </c>
      <c r="B447" t="s">
        <v>100</v>
      </c>
      <c r="C447" t="s">
        <v>16</v>
      </c>
      <c r="D447" t="s">
        <v>17</v>
      </c>
      <c r="E447">
        <v>44890.25</v>
      </c>
      <c r="F447">
        <v>4040.12</v>
      </c>
      <c r="G447">
        <v>4040.12</v>
      </c>
      <c r="H447">
        <v>52970.49</v>
      </c>
      <c r="I447" t="s">
        <v>13</v>
      </c>
    </row>
    <row r="448" spans="1:9" x14ac:dyDescent="0.2">
      <c r="A448" t="s">
        <v>556</v>
      </c>
      <c r="B448" t="s">
        <v>238</v>
      </c>
      <c r="C448" t="s">
        <v>20</v>
      </c>
      <c r="D448" t="s">
        <v>21</v>
      </c>
      <c r="E448">
        <v>41719.67</v>
      </c>
      <c r="F448">
        <v>3754.77</v>
      </c>
      <c r="G448">
        <v>3754.77</v>
      </c>
      <c r="H448">
        <v>49229.21</v>
      </c>
      <c r="I448" t="s">
        <v>13</v>
      </c>
    </row>
    <row r="449" spans="1:9" x14ac:dyDescent="0.2">
      <c r="A449" t="s">
        <v>557</v>
      </c>
      <c r="B449" t="s">
        <v>132</v>
      </c>
      <c r="C449" t="s">
        <v>24</v>
      </c>
      <c r="D449" t="s">
        <v>25</v>
      </c>
      <c r="E449">
        <v>34294.400000000001</v>
      </c>
      <c r="F449">
        <v>3086.5</v>
      </c>
      <c r="G449">
        <v>3086.5</v>
      </c>
      <c r="H449">
        <v>40467.4</v>
      </c>
      <c r="I449" t="s">
        <v>13</v>
      </c>
    </row>
    <row r="450" spans="1:9" x14ac:dyDescent="0.2">
      <c r="A450" t="s">
        <v>558</v>
      </c>
      <c r="B450" t="s">
        <v>36</v>
      </c>
      <c r="C450" t="s">
        <v>20</v>
      </c>
      <c r="D450" t="s">
        <v>21</v>
      </c>
      <c r="E450">
        <v>45101.73</v>
      </c>
      <c r="F450">
        <v>4059.16</v>
      </c>
      <c r="G450">
        <v>4059.16</v>
      </c>
      <c r="H450">
        <v>53220.05</v>
      </c>
      <c r="I450" t="s">
        <v>13</v>
      </c>
    </row>
    <row r="451" spans="1:9" x14ac:dyDescent="0.2">
      <c r="A451" t="s">
        <v>559</v>
      </c>
      <c r="B451" t="s">
        <v>87</v>
      </c>
      <c r="C451" t="s">
        <v>11</v>
      </c>
      <c r="D451" t="s">
        <v>12</v>
      </c>
      <c r="E451">
        <v>25766.959999999999</v>
      </c>
      <c r="F451">
        <v>2319.0300000000002</v>
      </c>
      <c r="G451">
        <v>2319.0300000000002</v>
      </c>
      <c r="H451">
        <v>30405.02</v>
      </c>
      <c r="I451" t="s">
        <v>13</v>
      </c>
    </row>
    <row r="452" spans="1:9" x14ac:dyDescent="0.2">
      <c r="A452" t="s">
        <v>560</v>
      </c>
      <c r="B452" t="s">
        <v>471</v>
      </c>
      <c r="C452" t="s">
        <v>32</v>
      </c>
      <c r="D452" t="s">
        <v>33</v>
      </c>
      <c r="E452">
        <v>16075.83</v>
      </c>
      <c r="F452">
        <v>1446.82</v>
      </c>
      <c r="G452">
        <v>1446.82</v>
      </c>
      <c r="H452">
        <v>18969.47</v>
      </c>
      <c r="I452" t="s">
        <v>13</v>
      </c>
    </row>
    <row r="453" spans="1:9" x14ac:dyDescent="0.2">
      <c r="A453" t="s">
        <v>561</v>
      </c>
      <c r="B453" t="s">
        <v>19</v>
      </c>
      <c r="C453" t="s">
        <v>32</v>
      </c>
      <c r="D453" t="s">
        <v>33</v>
      </c>
      <c r="E453">
        <v>40483.269999999997</v>
      </c>
      <c r="F453">
        <v>3643.49</v>
      </c>
      <c r="G453">
        <v>3643.49</v>
      </c>
      <c r="H453">
        <v>47770.25</v>
      </c>
      <c r="I453" t="s">
        <v>13</v>
      </c>
    </row>
    <row r="454" spans="1:9" x14ac:dyDescent="0.2">
      <c r="A454" t="s">
        <v>562</v>
      </c>
      <c r="B454" t="s">
        <v>268</v>
      </c>
      <c r="C454" t="s">
        <v>24</v>
      </c>
      <c r="D454" t="s">
        <v>25</v>
      </c>
      <c r="E454">
        <v>13788.1</v>
      </c>
      <c r="F454">
        <v>1240.93</v>
      </c>
      <c r="G454">
        <v>1240.93</v>
      </c>
      <c r="H454">
        <v>16269.96</v>
      </c>
      <c r="I454" t="s">
        <v>13</v>
      </c>
    </row>
    <row r="455" spans="1:9" x14ac:dyDescent="0.2">
      <c r="A455" t="s">
        <v>563</v>
      </c>
      <c r="B455" t="s">
        <v>40</v>
      </c>
      <c r="C455" t="s">
        <v>24</v>
      </c>
      <c r="D455" t="s">
        <v>25</v>
      </c>
      <c r="E455">
        <v>6996.82</v>
      </c>
      <c r="F455">
        <v>629.71</v>
      </c>
      <c r="G455">
        <v>629.71</v>
      </c>
      <c r="H455">
        <v>8256.24</v>
      </c>
      <c r="I455" t="s">
        <v>13</v>
      </c>
    </row>
    <row r="456" spans="1:9" x14ac:dyDescent="0.2">
      <c r="A456" t="s">
        <v>564</v>
      </c>
      <c r="B456" t="s">
        <v>81</v>
      </c>
      <c r="C456" t="s">
        <v>32</v>
      </c>
      <c r="D456" t="s">
        <v>33</v>
      </c>
      <c r="E456">
        <v>11114.14</v>
      </c>
      <c r="F456">
        <v>1000.27</v>
      </c>
      <c r="G456">
        <v>1000.27</v>
      </c>
      <c r="H456">
        <v>13114.68</v>
      </c>
      <c r="I456" t="s">
        <v>13</v>
      </c>
    </row>
    <row r="457" spans="1:9" x14ac:dyDescent="0.2">
      <c r="A457" t="s">
        <v>565</v>
      </c>
      <c r="B457" t="s">
        <v>49</v>
      </c>
      <c r="C457" t="s">
        <v>16</v>
      </c>
      <c r="D457" t="s">
        <v>17</v>
      </c>
      <c r="E457">
        <v>17305.12</v>
      </c>
      <c r="F457">
        <v>1557.46</v>
      </c>
      <c r="G457">
        <v>1557.46</v>
      </c>
      <c r="H457">
        <v>20420.04</v>
      </c>
      <c r="I457" t="s">
        <v>13</v>
      </c>
    </row>
    <row r="458" spans="1:9" x14ac:dyDescent="0.2">
      <c r="A458" t="s">
        <v>566</v>
      </c>
      <c r="B458" t="s">
        <v>185</v>
      </c>
      <c r="C458" t="s">
        <v>11</v>
      </c>
      <c r="D458" t="s">
        <v>12</v>
      </c>
      <c r="E458">
        <v>14322.3</v>
      </c>
      <c r="F458">
        <v>1289.01</v>
      </c>
      <c r="G458">
        <v>1289.01</v>
      </c>
      <c r="H458">
        <v>16900.32</v>
      </c>
      <c r="I458" t="s">
        <v>13</v>
      </c>
    </row>
    <row r="459" spans="1:9" x14ac:dyDescent="0.2">
      <c r="A459" t="s">
        <v>567</v>
      </c>
      <c r="B459" t="s">
        <v>174</v>
      </c>
      <c r="C459" t="s">
        <v>24</v>
      </c>
      <c r="D459" t="s">
        <v>25</v>
      </c>
      <c r="E459">
        <v>17861.189999999999</v>
      </c>
      <c r="F459">
        <v>1607.51</v>
      </c>
      <c r="G459">
        <v>1607.51</v>
      </c>
      <c r="H459">
        <v>21076.21</v>
      </c>
      <c r="I459" t="s">
        <v>13</v>
      </c>
    </row>
    <row r="460" spans="1:9" x14ac:dyDescent="0.2">
      <c r="A460" t="s">
        <v>568</v>
      </c>
      <c r="B460" t="s">
        <v>192</v>
      </c>
      <c r="C460" t="s">
        <v>32</v>
      </c>
      <c r="D460" t="s">
        <v>33</v>
      </c>
      <c r="E460">
        <v>23012.12</v>
      </c>
      <c r="F460">
        <v>2071.09</v>
      </c>
      <c r="G460">
        <v>2071.09</v>
      </c>
      <c r="H460">
        <v>27154.3</v>
      </c>
      <c r="I460" t="s">
        <v>13</v>
      </c>
    </row>
    <row r="461" spans="1:9" x14ac:dyDescent="0.2">
      <c r="A461" t="s">
        <v>569</v>
      </c>
      <c r="B461" t="s">
        <v>195</v>
      </c>
      <c r="C461" t="s">
        <v>20</v>
      </c>
      <c r="D461" t="s">
        <v>21</v>
      </c>
      <c r="E461">
        <v>11996.28</v>
      </c>
      <c r="F461">
        <v>1079.67</v>
      </c>
      <c r="G461">
        <v>1079.67</v>
      </c>
      <c r="H461">
        <v>14155.62</v>
      </c>
      <c r="I461" t="s">
        <v>13</v>
      </c>
    </row>
    <row r="462" spans="1:9" x14ac:dyDescent="0.2">
      <c r="A462" t="s">
        <v>570</v>
      </c>
      <c r="B462" t="s">
        <v>150</v>
      </c>
      <c r="C462" t="s">
        <v>16</v>
      </c>
      <c r="D462" t="s">
        <v>17</v>
      </c>
      <c r="E462">
        <v>37646.36</v>
      </c>
      <c r="F462">
        <v>3388.17</v>
      </c>
      <c r="G462">
        <v>3388.17</v>
      </c>
      <c r="H462">
        <v>44422.7</v>
      </c>
      <c r="I462" t="s">
        <v>13</v>
      </c>
    </row>
    <row r="463" spans="1:9" x14ac:dyDescent="0.2">
      <c r="A463" t="s">
        <v>571</v>
      </c>
      <c r="B463" t="s">
        <v>60</v>
      </c>
      <c r="C463" t="s">
        <v>32</v>
      </c>
      <c r="D463" t="s">
        <v>33</v>
      </c>
      <c r="E463">
        <v>42062.52</v>
      </c>
      <c r="F463">
        <v>3785.63</v>
      </c>
      <c r="G463">
        <v>3785.63</v>
      </c>
      <c r="H463">
        <v>49633.78</v>
      </c>
      <c r="I463" t="s">
        <v>13</v>
      </c>
    </row>
    <row r="464" spans="1:9" x14ac:dyDescent="0.2">
      <c r="A464" t="s">
        <v>572</v>
      </c>
      <c r="B464" t="s">
        <v>157</v>
      </c>
      <c r="C464" t="s">
        <v>32</v>
      </c>
      <c r="D464" t="s">
        <v>33</v>
      </c>
      <c r="E464">
        <v>18167.54</v>
      </c>
      <c r="F464">
        <v>1635.08</v>
      </c>
      <c r="G464">
        <v>1635.08</v>
      </c>
      <c r="H464">
        <v>21437.7</v>
      </c>
      <c r="I464" t="s">
        <v>13</v>
      </c>
    </row>
    <row r="465" spans="1:9" x14ac:dyDescent="0.2">
      <c r="A465" t="s">
        <v>573</v>
      </c>
      <c r="B465" t="s">
        <v>170</v>
      </c>
      <c r="C465" t="s">
        <v>32</v>
      </c>
      <c r="D465" t="s">
        <v>33</v>
      </c>
      <c r="E465">
        <v>19746.78</v>
      </c>
      <c r="F465">
        <v>1777.21</v>
      </c>
      <c r="G465">
        <v>1777.21</v>
      </c>
      <c r="H465">
        <v>23301.200000000001</v>
      </c>
      <c r="I465" t="s">
        <v>13</v>
      </c>
    </row>
    <row r="466" spans="1:9" x14ac:dyDescent="0.2">
      <c r="A466" t="s">
        <v>574</v>
      </c>
      <c r="B466" t="s">
        <v>161</v>
      </c>
      <c r="C466" t="s">
        <v>11</v>
      </c>
      <c r="D466" t="s">
        <v>12</v>
      </c>
      <c r="E466">
        <v>10797.05</v>
      </c>
      <c r="F466">
        <v>971.73</v>
      </c>
      <c r="G466">
        <v>971.73</v>
      </c>
      <c r="H466">
        <v>12740.51</v>
      </c>
      <c r="I466" t="s">
        <v>13</v>
      </c>
    </row>
    <row r="467" spans="1:9" x14ac:dyDescent="0.2">
      <c r="A467" t="s">
        <v>575</v>
      </c>
      <c r="B467" t="s">
        <v>172</v>
      </c>
      <c r="C467" t="s">
        <v>20</v>
      </c>
      <c r="D467" t="s">
        <v>21</v>
      </c>
      <c r="E467">
        <v>29304.52</v>
      </c>
      <c r="F467">
        <v>2637.41</v>
      </c>
      <c r="G467">
        <v>2637.41</v>
      </c>
      <c r="H467">
        <v>34579.339999999997</v>
      </c>
      <c r="I467" t="s">
        <v>13</v>
      </c>
    </row>
    <row r="468" spans="1:9" x14ac:dyDescent="0.2">
      <c r="A468" t="s">
        <v>576</v>
      </c>
      <c r="B468" t="s">
        <v>23</v>
      </c>
      <c r="C468" t="s">
        <v>11</v>
      </c>
      <c r="D468" t="s">
        <v>12</v>
      </c>
      <c r="E468">
        <v>20156.62</v>
      </c>
      <c r="F468">
        <v>1814.1</v>
      </c>
      <c r="G468">
        <v>1814.1</v>
      </c>
      <c r="H468">
        <v>23784.82</v>
      </c>
      <c r="I468" t="s">
        <v>13</v>
      </c>
    </row>
    <row r="469" spans="1:9" x14ac:dyDescent="0.2">
      <c r="A469" t="s">
        <v>577</v>
      </c>
      <c r="B469" t="s">
        <v>238</v>
      </c>
      <c r="C469" t="s">
        <v>20</v>
      </c>
      <c r="D469" t="s">
        <v>21</v>
      </c>
      <c r="E469">
        <v>7624.92</v>
      </c>
      <c r="F469">
        <v>686.24</v>
      </c>
      <c r="G469">
        <v>686.24</v>
      </c>
      <c r="H469">
        <v>8997.4</v>
      </c>
      <c r="I469" t="s">
        <v>13</v>
      </c>
    </row>
    <row r="470" spans="1:9" x14ac:dyDescent="0.2">
      <c r="A470" t="s">
        <v>578</v>
      </c>
      <c r="B470" t="s">
        <v>338</v>
      </c>
      <c r="C470" t="s">
        <v>16</v>
      </c>
      <c r="D470" t="s">
        <v>17</v>
      </c>
      <c r="E470">
        <v>11554.74</v>
      </c>
      <c r="F470">
        <v>1039.93</v>
      </c>
      <c r="G470">
        <v>1039.93</v>
      </c>
      <c r="H470">
        <v>13634.6</v>
      </c>
      <c r="I470" t="s">
        <v>13</v>
      </c>
    </row>
    <row r="471" spans="1:9" x14ac:dyDescent="0.2">
      <c r="A471" t="s">
        <v>579</v>
      </c>
      <c r="B471" t="s">
        <v>338</v>
      </c>
      <c r="C471" t="s">
        <v>20</v>
      </c>
      <c r="D471" t="s">
        <v>21</v>
      </c>
      <c r="E471">
        <v>34880.239999999998</v>
      </c>
      <c r="F471">
        <v>3139.22</v>
      </c>
      <c r="G471">
        <v>3139.22</v>
      </c>
      <c r="H471">
        <v>41158.68</v>
      </c>
      <c r="I471" t="s">
        <v>13</v>
      </c>
    </row>
    <row r="472" spans="1:9" x14ac:dyDescent="0.2">
      <c r="A472" t="s">
        <v>580</v>
      </c>
      <c r="B472" t="s">
        <v>60</v>
      </c>
      <c r="C472" t="s">
        <v>11</v>
      </c>
      <c r="D472" t="s">
        <v>12</v>
      </c>
      <c r="E472">
        <v>37929.74</v>
      </c>
      <c r="F472">
        <v>3413.68</v>
      </c>
      <c r="G472">
        <v>3413.68</v>
      </c>
      <c r="H472">
        <v>44757.1</v>
      </c>
      <c r="I472" t="s">
        <v>13</v>
      </c>
    </row>
    <row r="473" spans="1:9" x14ac:dyDescent="0.2">
      <c r="A473" t="s">
        <v>581</v>
      </c>
      <c r="B473" t="s">
        <v>140</v>
      </c>
      <c r="C473" t="s">
        <v>20</v>
      </c>
      <c r="D473" t="s">
        <v>21</v>
      </c>
      <c r="E473">
        <v>13780.12</v>
      </c>
      <c r="F473">
        <v>1240.21</v>
      </c>
      <c r="G473">
        <v>1240.21</v>
      </c>
      <c r="H473">
        <v>16260.54</v>
      </c>
      <c r="I473" t="s">
        <v>13</v>
      </c>
    </row>
    <row r="474" spans="1:9" x14ac:dyDescent="0.2">
      <c r="A474" t="s">
        <v>582</v>
      </c>
      <c r="B474" t="s">
        <v>201</v>
      </c>
      <c r="C474" t="s">
        <v>24</v>
      </c>
      <c r="D474" t="s">
        <v>25</v>
      </c>
      <c r="E474">
        <v>3607.99</v>
      </c>
      <c r="F474">
        <v>324.72000000000003</v>
      </c>
      <c r="G474">
        <v>324.72000000000003</v>
      </c>
      <c r="H474">
        <v>4257.43</v>
      </c>
      <c r="I474" t="s">
        <v>13</v>
      </c>
    </row>
    <row r="475" spans="1:9" x14ac:dyDescent="0.2">
      <c r="A475" t="s">
        <v>583</v>
      </c>
      <c r="B475" t="s">
        <v>152</v>
      </c>
      <c r="C475" t="s">
        <v>20</v>
      </c>
      <c r="D475" t="s">
        <v>21</v>
      </c>
      <c r="E475">
        <v>4888.24</v>
      </c>
      <c r="F475">
        <v>439.94</v>
      </c>
      <c r="G475">
        <v>439.94</v>
      </c>
      <c r="H475">
        <v>5768.12</v>
      </c>
      <c r="I475" t="s">
        <v>13</v>
      </c>
    </row>
    <row r="476" spans="1:9" x14ac:dyDescent="0.2">
      <c r="A476" t="s">
        <v>584</v>
      </c>
      <c r="B476" t="s">
        <v>212</v>
      </c>
      <c r="C476" t="s">
        <v>24</v>
      </c>
      <c r="D476" t="s">
        <v>25</v>
      </c>
      <c r="E476">
        <v>34213.35</v>
      </c>
      <c r="F476">
        <v>3079.2</v>
      </c>
      <c r="G476">
        <v>3079.2</v>
      </c>
      <c r="H476">
        <v>40371.75</v>
      </c>
      <c r="I476" t="s">
        <v>13</v>
      </c>
    </row>
    <row r="477" spans="1:9" x14ac:dyDescent="0.2">
      <c r="A477" t="s">
        <v>585</v>
      </c>
      <c r="B477" t="s">
        <v>112</v>
      </c>
      <c r="C477" t="s">
        <v>24</v>
      </c>
      <c r="D477" t="s">
        <v>25</v>
      </c>
      <c r="E477">
        <v>25820.25</v>
      </c>
      <c r="F477">
        <v>2323.8200000000002</v>
      </c>
      <c r="G477">
        <v>2323.8200000000002</v>
      </c>
      <c r="H477">
        <v>30467.89</v>
      </c>
      <c r="I477" t="s">
        <v>13</v>
      </c>
    </row>
    <row r="478" spans="1:9" x14ac:dyDescent="0.2">
      <c r="A478" t="s">
        <v>586</v>
      </c>
      <c r="B478" t="s">
        <v>56</v>
      </c>
      <c r="C478" t="s">
        <v>20</v>
      </c>
      <c r="D478" t="s">
        <v>21</v>
      </c>
      <c r="E478">
        <v>39682.800000000003</v>
      </c>
      <c r="F478">
        <v>3571.45</v>
      </c>
      <c r="G478">
        <v>3571.45</v>
      </c>
      <c r="H478">
        <v>46825.7</v>
      </c>
      <c r="I478" t="s">
        <v>13</v>
      </c>
    </row>
    <row r="479" spans="1:9" x14ac:dyDescent="0.2">
      <c r="A479" t="s">
        <v>587</v>
      </c>
      <c r="B479" t="s">
        <v>107</v>
      </c>
      <c r="C479" t="s">
        <v>16</v>
      </c>
      <c r="D479" t="s">
        <v>17</v>
      </c>
      <c r="E479">
        <v>12712.55</v>
      </c>
      <c r="F479">
        <v>1144.1300000000001</v>
      </c>
      <c r="G479">
        <v>1144.1300000000001</v>
      </c>
      <c r="H479">
        <v>15000.81</v>
      </c>
      <c r="I479" t="s">
        <v>13</v>
      </c>
    </row>
    <row r="480" spans="1:9" x14ac:dyDescent="0.2">
      <c r="A480" t="s">
        <v>588</v>
      </c>
      <c r="B480" t="s">
        <v>93</v>
      </c>
      <c r="C480" t="s">
        <v>32</v>
      </c>
      <c r="D480" t="s">
        <v>33</v>
      </c>
      <c r="E480">
        <v>22516.27</v>
      </c>
      <c r="F480">
        <v>2026.46</v>
      </c>
      <c r="G480">
        <v>2026.46</v>
      </c>
      <c r="H480">
        <v>26569.19</v>
      </c>
      <c r="I480" t="s">
        <v>13</v>
      </c>
    </row>
    <row r="481" spans="1:9" x14ac:dyDescent="0.2">
      <c r="A481" t="s">
        <v>589</v>
      </c>
      <c r="B481" t="s">
        <v>155</v>
      </c>
      <c r="C481" t="s">
        <v>16</v>
      </c>
      <c r="D481" t="s">
        <v>17</v>
      </c>
      <c r="E481">
        <v>13668.71</v>
      </c>
      <c r="F481">
        <v>1230.18</v>
      </c>
      <c r="G481">
        <v>1230.18</v>
      </c>
      <c r="H481">
        <v>16129.07</v>
      </c>
      <c r="I481" t="s">
        <v>13</v>
      </c>
    </row>
    <row r="482" spans="1:9" x14ac:dyDescent="0.2">
      <c r="A482" t="s">
        <v>590</v>
      </c>
      <c r="B482" t="s">
        <v>118</v>
      </c>
      <c r="C482" t="s">
        <v>20</v>
      </c>
      <c r="D482" t="s">
        <v>21</v>
      </c>
      <c r="E482">
        <v>29372.45</v>
      </c>
      <c r="F482">
        <v>2643.52</v>
      </c>
      <c r="G482">
        <v>2643.52</v>
      </c>
      <c r="H482">
        <v>34659.49</v>
      </c>
      <c r="I482" t="s">
        <v>13</v>
      </c>
    </row>
    <row r="483" spans="1:9" x14ac:dyDescent="0.2">
      <c r="A483" t="s">
        <v>591</v>
      </c>
      <c r="B483" t="s">
        <v>174</v>
      </c>
      <c r="C483" t="s">
        <v>24</v>
      </c>
      <c r="D483" t="s">
        <v>25</v>
      </c>
      <c r="E483">
        <v>36504.97</v>
      </c>
      <c r="F483">
        <v>3285.45</v>
      </c>
      <c r="G483">
        <v>3285.45</v>
      </c>
      <c r="H483">
        <v>43075.87</v>
      </c>
      <c r="I483" t="s">
        <v>13</v>
      </c>
    </row>
    <row r="484" spans="1:9" x14ac:dyDescent="0.2">
      <c r="A484" t="s">
        <v>592</v>
      </c>
      <c r="B484" t="s">
        <v>45</v>
      </c>
      <c r="C484" t="s">
        <v>24</v>
      </c>
      <c r="D484" t="s">
        <v>25</v>
      </c>
      <c r="E484">
        <v>39177.760000000002</v>
      </c>
      <c r="F484">
        <v>3526</v>
      </c>
      <c r="G484">
        <v>3526</v>
      </c>
      <c r="H484">
        <v>46229.760000000002</v>
      </c>
      <c r="I484" t="s">
        <v>13</v>
      </c>
    </row>
    <row r="485" spans="1:9" x14ac:dyDescent="0.2">
      <c r="A485" t="s">
        <v>593</v>
      </c>
      <c r="B485" t="s">
        <v>77</v>
      </c>
      <c r="C485" t="s">
        <v>11</v>
      </c>
      <c r="D485" t="s">
        <v>12</v>
      </c>
      <c r="E485">
        <v>23683.46</v>
      </c>
      <c r="F485">
        <v>2131.5100000000002</v>
      </c>
      <c r="G485">
        <v>2131.5100000000002</v>
      </c>
      <c r="H485">
        <v>27946.48</v>
      </c>
      <c r="I485" t="s">
        <v>13</v>
      </c>
    </row>
    <row r="486" spans="1:9" x14ac:dyDescent="0.2">
      <c r="A486" t="s">
        <v>594</v>
      </c>
      <c r="B486" t="s">
        <v>100</v>
      </c>
      <c r="C486" t="s">
        <v>11</v>
      </c>
      <c r="D486" t="s">
        <v>12</v>
      </c>
      <c r="E486">
        <v>27699.35</v>
      </c>
      <c r="F486">
        <v>2492.94</v>
      </c>
      <c r="G486">
        <v>2492.94</v>
      </c>
      <c r="H486">
        <v>32685.23</v>
      </c>
      <c r="I486" t="s">
        <v>13</v>
      </c>
    </row>
    <row r="487" spans="1:9" x14ac:dyDescent="0.2">
      <c r="A487" t="s">
        <v>595</v>
      </c>
      <c r="B487" t="s">
        <v>150</v>
      </c>
      <c r="C487" t="s">
        <v>16</v>
      </c>
      <c r="D487" t="s">
        <v>17</v>
      </c>
      <c r="E487">
        <v>29699.66</v>
      </c>
      <c r="F487">
        <v>2672.97</v>
      </c>
      <c r="G487">
        <v>2672.97</v>
      </c>
      <c r="H487">
        <v>35045.599999999999</v>
      </c>
      <c r="I487" t="s">
        <v>13</v>
      </c>
    </row>
    <row r="488" spans="1:9" x14ac:dyDescent="0.2">
      <c r="A488" t="s">
        <v>596</v>
      </c>
      <c r="B488" t="s">
        <v>58</v>
      </c>
      <c r="C488" t="s">
        <v>32</v>
      </c>
      <c r="D488" t="s">
        <v>33</v>
      </c>
      <c r="E488">
        <v>23477.34</v>
      </c>
      <c r="F488">
        <v>2112.96</v>
      </c>
      <c r="G488">
        <v>2112.96</v>
      </c>
      <c r="H488">
        <v>27703.26</v>
      </c>
      <c r="I488" t="s">
        <v>13</v>
      </c>
    </row>
    <row r="489" spans="1:9" x14ac:dyDescent="0.2">
      <c r="A489" t="s">
        <v>597</v>
      </c>
      <c r="B489" t="s">
        <v>285</v>
      </c>
      <c r="C489" t="s">
        <v>20</v>
      </c>
      <c r="D489" t="s">
        <v>21</v>
      </c>
      <c r="E489">
        <v>29074.52</v>
      </c>
      <c r="F489">
        <v>2616.71</v>
      </c>
      <c r="G489">
        <v>2616.71</v>
      </c>
      <c r="H489">
        <v>34307.94</v>
      </c>
      <c r="I489" t="s">
        <v>13</v>
      </c>
    </row>
    <row r="490" spans="1:9" x14ac:dyDescent="0.2">
      <c r="A490" t="s">
        <v>598</v>
      </c>
      <c r="B490" t="s">
        <v>49</v>
      </c>
      <c r="C490" t="s">
        <v>24</v>
      </c>
      <c r="D490" t="s">
        <v>25</v>
      </c>
      <c r="E490">
        <v>33091.49</v>
      </c>
      <c r="F490">
        <v>2978.23</v>
      </c>
      <c r="G490">
        <v>2978.23</v>
      </c>
      <c r="H490">
        <v>39047.949999999997</v>
      </c>
      <c r="I490" t="s">
        <v>13</v>
      </c>
    </row>
    <row r="491" spans="1:9" x14ac:dyDescent="0.2">
      <c r="A491" t="s">
        <v>599</v>
      </c>
      <c r="B491" t="s">
        <v>58</v>
      </c>
      <c r="C491" t="s">
        <v>16</v>
      </c>
      <c r="D491" t="s">
        <v>17</v>
      </c>
      <c r="E491">
        <v>4425.41</v>
      </c>
      <c r="F491">
        <v>398.29</v>
      </c>
      <c r="G491">
        <v>398.29</v>
      </c>
      <c r="H491">
        <v>5221.99</v>
      </c>
      <c r="I491" t="s">
        <v>13</v>
      </c>
    </row>
    <row r="492" spans="1:9" x14ac:dyDescent="0.2">
      <c r="A492" t="s">
        <v>600</v>
      </c>
      <c r="B492" t="s">
        <v>273</v>
      </c>
      <c r="C492" t="s">
        <v>24</v>
      </c>
      <c r="D492" t="s">
        <v>25</v>
      </c>
      <c r="E492">
        <v>44508.35</v>
      </c>
      <c r="F492">
        <v>4005.75</v>
      </c>
      <c r="G492">
        <v>4005.75</v>
      </c>
      <c r="H492">
        <v>52519.85</v>
      </c>
      <c r="I492" t="s">
        <v>13</v>
      </c>
    </row>
    <row r="493" spans="1:9" x14ac:dyDescent="0.2">
      <c r="A493" t="s">
        <v>601</v>
      </c>
      <c r="B493" t="s">
        <v>134</v>
      </c>
      <c r="C493" t="s">
        <v>16</v>
      </c>
      <c r="D493" t="s">
        <v>17</v>
      </c>
      <c r="E493">
        <v>3571.68</v>
      </c>
      <c r="F493">
        <v>321.45</v>
      </c>
      <c r="G493">
        <v>321.45</v>
      </c>
      <c r="H493">
        <v>4214.58</v>
      </c>
      <c r="I493" t="s">
        <v>13</v>
      </c>
    </row>
    <row r="494" spans="1:9" x14ac:dyDescent="0.2">
      <c r="A494" t="s">
        <v>602</v>
      </c>
      <c r="B494" t="s">
        <v>338</v>
      </c>
      <c r="C494" t="s">
        <v>32</v>
      </c>
      <c r="D494" t="s">
        <v>33</v>
      </c>
      <c r="E494">
        <v>7633.42</v>
      </c>
      <c r="F494">
        <v>687.01</v>
      </c>
      <c r="G494">
        <v>687.01</v>
      </c>
      <c r="H494">
        <v>9007.44</v>
      </c>
      <c r="I494" t="s">
        <v>13</v>
      </c>
    </row>
    <row r="495" spans="1:9" x14ac:dyDescent="0.2">
      <c r="A495" t="s">
        <v>603</v>
      </c>
      <c r="B495" t="s">
        <v>49</v>
      </c>
      <c r="C495" t="s">
        <v>20</v>
      </c>
      <c r="D495" t="s">
        <v>21</v>
      </c>
      <c r="E495">
        <v>3794.7</v>
      </c>
      <c r="F495">
        <v>341.52</v>
      </c>
      <c r="G495">
        <v>341.52</v>
      </c>
      <c r="H495">
        <v>4477.74</v>
      </c>
      <c r="I495" t="s">
        <v>13</v>
      </c>
    </row>
    <row r="496" spans="1:9" x14ac:dyDescent="0.2">
      <c r="A496" t="s">
        <v>604</v>
      </c>
      <c r="B496" t="s">
        <v>63</v>
      </c>
      <c r="C496" t="s">
        <v>20</v>
      </c>
      <c r="D496" t="s">
        <v>21</v>
      </c>
      <c r="E496">
        <v>11312.88</v>
      </c>
      <c r="F496">
        <v>1018.16</v>
      </c>
      <c r="G496">
        <v>1018.16</v>
      </c>
      <c r="H496">
        <v>13349.2</v>
      </c>
      <c r="I496" t="s">
        <v>13</v>
      </c>
    </row>
    <row r="497" spans="1:9" x14ac:dyDescent="0.2">
      <c r="A497" t="s">
        <v>605</v>
      </c>
      <c r="B497" t="s">
        <v>116</v>
      </c>
      <c r="C497" t="s">
        <v>11</v>
      </c>
      <c r="D497" t="s">
        <v>12</v>
      </c>
      <c r="E497">
        <v>12468.79</v>
      </c>
      <c r="F497">
        <v>1122.19</v>
      </c>
      <c r="G497">
        <v>1122.19</v>
      </c>
      <c r="H497">
        <v>14713.17</v>
      </c>
      <c r="I497" t="s">
        <v>13</v>
      </c>
    </row>
    <row r="498" spans="1:9" x14ac:dyDescent="0.2">
      <c r="A498" t="s">
        <v>606</v>
      </c>
      <c r="B498" t="s">
        <v>19</v>
      </c>
      <c r="C498" t="s">
        <v>24</v>
      </c>
      <c r="D498" t="s">
        <v>25</v>
      </c>
      <c r="E498">
        <v>13872.95</v>
      </c>
      <c r="F498">
        <v>1248.57</v>
      </c>
      <c r="G498">
        <v>1248.57</v>
      </c>
      <c r="H498">
        <v>16370.09</v>
      </c>
      <c r="I498" t="s">
        <v>13</v>
      </c>
    </row>
    <row r="499" spans="1:9" x14ac:dyDescent="0.2">
      <c r="A499" t="s">
        <v>607</v>
      </c>
      <c r="B499" t="s">
        <v>159</v>
      </c>
      <c r="C499" t="s">
        <v>16</v>
      </c>
      <c r="D499" t="s">
        <v>17</v>
      </c>
      <c r="E499">
        <v>11907.67</v>
      </c>
      <c r="F499">
        <v>1071.69</v>
      </c>
      <c r="G499">
        <v>1071.69</v>
      </c>
      <c r="H499">
        <v>14051.05</v>
      </c>
      <c r="I499" t="s">
        <v>13</v>
      </c>
    </row>
    <row r="500" spans="1:9" x14ac:dyDescent="0.2">
      <c r="A500" t="s">
        <v>608</v>
      </c>
      <c r="B500" t="s">
        <v>83</v>
      </c>
      <c r="C500" t="s">
        <v>32</v>
      </c>
      <c r="D500" t="s">
        <v>33</v>
      </c>
      <c r="E500">
        <v>43565.62</v>
      </c>
      <c r="F500">
        <v>3920.91</v>
      </c>
      <c r="G500">
        <v>3920.91</v>
      </c>
      <c r="H500">
        <v>51407.44</v>
      </c>
      <c r="I500" t="s">
        <v>13</v>
      </c>
    </row>
    <row r="501" spans="1:9" x14ac:dyDescent="0.2">
      <c r="A501" t="s">
        <v>609</v>
      </c>
      <c r="B501" t="s">
        <v>146</v>
      </c>
      <c r="C501" t="s">
        <v>11</v>
      </c>
      <c r="D501" t="s">
        <v>12</v>
      </c>
      <c r="E501">
        <v>32370.75</v>
      </c>
      <c r="F501">
        <v>2913.37</v>
      </c>
      <c r="G501">
        <v>2913.37</v>
      </c>
      <c r="H501">
        <v>38197.49</v>
      </c>
      <c r="I50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</sheetPr>
  <dimension ref="A1:I501"/>
  <sheetViews>
    <sheetView workbookViewId="0">
      <selection activeCell="D515" sqref="D515"/>
    </sheetView>
  </sheetViews>
  <sheetFormatPr defaultRowHeight="15" x14ac:dyDescent="0.2"/>
  <cols>
    <col min="1" max="1" width="10.35546875" bestFit="1" customWidth="1"/>
    <col min="2" max="2" width="11.97265625" bestFit="1" customWidth="1"/>
    <col min="3" max="3" width="17.890625" bestFit="1" customWidth="1"/>
    <col min="4" max="4" width="17.62109375" bestFit="1" customWidth="1"/>
    <col min="5" max="5" width="13.046875" bestFit="1" customWidth="1"/>
    <col min="6" max="6" width="7.6640625" bestFit="1" customWidth="1"/>
    <col min="8" max="8" width="18.29296875" bestFit="1" customWidth="1"/>
    <col min="9" max="9" width="8.7421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475</v>
      </c>
      <c r="B2" t="s">
        <v>45</v>
      </c>
      <c r="C2" t="s">
        <v>20</v>
      </c>
      <c r="D2" t="s">
        <v>21</v>
      </c>
      <c r="E2">
        <v>28366.81</v>
      </c>
      <c r="F2">
        <v>2553.0100000000002</v>
      </c>
      <c r="G2">
        <v>2553.0100000000002</v>
      </c>
      <c r="H2">
        <v>33472.83</v>
      </c>
      <c r="I2" t="s">
        <v>610</v>
      </c>
    </row>
    <row r="3" spans="1:9" x14ac:dyDescent="0.2">
      <c r="A3" t="s">
        <v>517</v>
      </c>
      <c r="B3" t="s">
        <v>205</v>
      </c>
      <c r="C3" t="s">
        <v>20</v>
      </c>
      <c r="D3" t="s">
        <v>21</v>
      </c>
      <c r="E3">
        <v>20204.21</v>
      </c>
      <c r="F3">
        <v>1818.38</v>
      </c>
      <c r="G3">
        <v>1818.38</v>
      </c>
      <c r="H3">
        <v>23840.97</v>
      </c>
      <c r="I3" t="s">
        <v>610</v>
      </c>
    </row>
    <row r="4" spans="1:9" x14ac:dyDescent="0.2">
      <c r="A4" t="s">
        <v>122</v>
      </c>
      <c r="B4" t="s">
        <v>116</v>
      </c>
      <c r="C4" t="s">
        <v>32</v>
      </c>
      <c r="D4" t="s">
        <v>33</v>
      </c>
      <c r="E4">
        <v>44289.59</v>
      </c>
      <c r="F4">
        <v>3986.06</v>
      </c>
      <c r="G4">
        <v>3986.06</v>
      </c>
      <c r="H4">
        <v>52261.71</v>
      </c>
      <c r="I4" t="s">
        <v>610</v>
      </c>
    </row>
    <row r="5" spans="1:9" x14ac:dyDescent="0.2">
      <c r="A5" t="s">
        <v>459</v>
      </c>
      <c r="B5" t="s">
        <v>56</v>
      </c>
      <c r="C5" t="s">
        <v>16</v>
      </c>
      <c r="D5" t="s">
        <v>17</v>
      </c>
      <c r="E5">
        <v>35302.49</v>
      </c>
      <c r="F5">
        <v>3177.22</v>
      </c>
      <c r="G5">
        <v>3177.22</v>
      </c>
      <c r="H5">
        <v>41656.93</v>
      </c>
      <c r="I5" t="s">
        <v>610</v>
      </c>
    </row>
    <row r="6" spans="1:9" x14ac:dyDescent="0.2">
      <c r="A6" t="s">
        <v>72</v>
      </c>
      <c r="B6" t="s">
        <v>73</v>
      </c>
      <c r="C6" t="s">
        <v>16</v>
      </c>
      <c r="D6" t="s">
        <v>17</v>
      </c>
      <c r="E6">
        <v>38382.44</v>
      </c>
      <c r="F6">
        <v>3454.42</v>
      </c>
      <c r="G6">
        <v>3454.42</v>
      </c>
      <c r="H6">
        <v>45291.28</v>
      </c>
      <c r="I6" t="s">
        <v>610</v>
      </c>
    </row>
    <row r="7" spans="1:9" x14ac:dyDescent="0.2">
      <c r="A7" t="s">
        <v>191</v>
      </c>
      <c r="B7" t="s">
        <v>192</v>
      </c>
      <c r="C7" t="s">
        <v>16</v>
      </c>
      <c r="D7" t="s">
        <v>17</v>
      </c>
      <c r="E7">
        <v>13242.61</v>
      </c>
      <c r="F7">
        <v>1191.83</v>
      </c>
      <c r="G7">
        <v>1191.83</v>
      </c>
      <c r="H7">
        <v>15626.27</v>
      </c>
      <c r="I7" t="s">
        <v>610</v>
      </c>
    </row>
    <row r="8" spans="1:9" x14ac:dyDescent="0.2">
      <c r="A8" t="s">
        <v>462</v>
      </c>
      <c r="B8" t="s">
        <v>23</v>
      </c>
      <c r="C8" t="s">
        <v>11</v>
      </c>
      <c r="D8" t="s">
        <v>12</v>
      </c>
      <c r="E8">
        <v>31697.52</v>
      </c>
      <c r="F8">
        <v>2852.78</v>
      </c>
      <c r="G8">
        <v>2852.78</v>
      </c>
      <c r="H8">
        <v>37403.08</v>
      </c>
      <c r="I8" t="s">
        <v>610</v>
      </c>
    </row>
    <row r="9" spans="1:9" x14ac:dyDescent="0.2">
      <c r="A9" t="s">
        <v>177</v>
      </c>
      <c r="B9" t="s">
        <v>83</v>
      </c>
      <c r="C9" t="s">
        <v>32</v>
      </c>
      <c r="D9" t="s">
        <v>33</v>
      </c>
      <c r="E9">
        <v>7177.44</v>
      </c>
      <c r="F9">
        <v>645.97</v>
      </c>
      <c r="G9">
        <v>645.97</v>
      </c>
      <c r="H9">
        <v>8469.3799999999992</v>
      </c>
      <c r="I9" t="s">
        <v>610</v>
      </c>
    </row>
    <row r="10" spans="1:9" x14ac:dyDescent="0.2">
      <c r="A10" t="s">
        <v>604</v>
      </c>
      <c r="B10" t="s">
        <v>63</v>
      </c>
      <c r="C10" t="s">
        <v>20</v>
      </c>
      <c r="D10" t="s">
        <v>21</v>
      </c>
      <c r="E10">
        <v>11312.88</v>
      </c>
      <c r="F10">
        <v>1018.16</v>
      </c>
      <c r="G10">
        <v>1018.16</v>
      </c>
      <c r="H10">
        <v>13349.2</v>
      </c>
      <c r="I10" t="s">
        <v>610</v>
      </c>
    </row>
    <row r="11" spans="1:9" x14ac:dyDescent="0.2">
      <c r="A11" t="s">
        <v>348</v>
      </c>
      <c r="B11" t="s">
        <v>83</v>
      </c>
      <c r="C11" t="s">
        <v>16</v>
      </c>
      <c r="D11" t="s">
        <v>17</v>
      </c>
      <c r="E11">
        <v>8951.81</v>
      </c>
      <c r="F11">
        <v>805.66</v>
      </c>
      <c r="G11">
        <v>805.66</v>
      </c>
      <c r="H11">
        <v>10563.13</v>
      </c>
      <c r="I11" t="s">
        <v>610</v>
      </c>
    </row>
    <row r="12" spans="1:9" x14ac:dyDescent="0.2">
      <c r="A12" t="s">
        <v>237</v>
      </c>
      <c r="B12" t="s">
        <v>238</v>
      </c>
      <c r="C12" t="s">
        <v>20</v>
      </c>
      <c r="D12" t="s">
        <v>21</v>
      </c>
      <c r="E12">
        <v>33740.379999999997</v>
      </c>
      <c r="F12">
        <v>3036.63</v>
      </c>
      <c r="G12">
        <v>3036.63</v>
      </c>
      <c r="H12">
        <v>39813.64</v>
      </c>
      <c r="I12" t="s">
        <v>610</v>
      </c>
    </row>
    <row r="13" spans="1:9" x14ac:dyDescent="0.2">
      <c r="A13" t="s">
        <v>601</v>
      </c>
      <c r="B13" t="s">
        <v>134</v>
      </c>
      <c r="C13" t="s">
        <v>16</v>
      </c>
      <c r="D13" t="s">
        <v>17</v>
      </c>
      <c r="E13">
        <v>3571.68</v>
      </c>
      <c r="F13">
        <v>321.45</v>
      </c>
      <c r="G13">
        <v>321.45</v>
      </c>
      <c r="H13">
        <v>4214.58</v>
      </c>
      <c r="I13" t="s">
        <v>610</v>
      </c>
    </row>
    <row r="14" spans="1:9" x14ac:dyDescent="0.2">
      <c r="A14" t="s">
        <v>447</v>
      </c>
      <c r="B14" t="s">
        <v>51</v>
      </c>
      <c r="C14" t="s">
        <v>24</v>
      </c>
      <c r="D14" t="s">
        <v>25</v>
      </c>
      <c r="E14">
        <v>10275.1</v>
      </c>
      <c r="F14">
        <v>924.76</v>
      </c>
      <c r="G14">
        <v>924.76</v>
      </c>
      <c r="H14">
        <v>12124.62</v>
      </c>
      <c r="I14" t="s">
        <v>610</v>
      </c>
    </row>
    <row r="15" spans="1:9" x14ac:dyDescent="0.2">
      <c r="A15" t="s">
        <v>211</v>
      </c>
      <c r="B15" t="s">
        <v>212</v>
      </c>
      <c r="C15" t="s">
        <v>11</v>
      </c>
      <c r="D15" t="s">
        <v>12</v>
      </c>
      <c r="E15">
        <v>38965.550000000003</v>
      </c>
      <c r="F15">
        <v>3506.9</v>
      </c>
      <c r="G15">
        <v>3506.9</v>
      </c>
      <c r="H15">
        <v>45979.35</v>
      </c>
      <c r="I15" t="s">
        <v>610</v>
      </c>
    </row>
    <row r="16" spans="1:9" x14ac:dyDescent="0.2">
      <c r="A16" t="s">
        <v>169</v>
      </c>
      <c r="B16" t="s">
        <v>170</v>
      </c>
      <c r="C16" t="s">
        <v>32</v>
      </c>
      <c r="D16" t="s">
        <v>33</v>
      </c>
      <c r="E16">
        <v>28782.54</v>
      </c>
      <c r="F16">
        <v>2590.4299999999998</v>
      </c>
      <c r="G16">
        <v>2590.4299999999998</v>
      </c>
      <c r="H16">
        <v>33963.4</v>
      </c>
      <c r="I16" t="s">
        <v>610</v>
      </c>
    </row>
    <row r="17" spans="1:9" x14ac:dyDescent="0.2">
      <c r="A17" t="s">
        <v>473</v>
      </c>
      <c r="B17" t="s">
        <v>83</v>
      </c>
      <c r="C17" t="s">
        <v>24</v>
      </c>
      <c r="D17" t="s">
        <v>25</v>
      </c>
      <c r="E17">
        <v>35963.81</v>
      </c>
      <c r="F17">
        <v>3236.74</v>
      </c>
      <c r="G17">
        <v>3236.74</v>
      </c>
      <c r="H17">
        <v>42437.29</v>
      </c>
      <c r="I17" t="s">
        <v>610</v>
      </c>
    </row>
    <row r="18" spans="1:9" x14ac:dyDescent="0.2">
      <c r="A18" t="s">
        <v>190</v>
      </c>
      <c r="B18" t="s">
        <v>116</v>
      </c>
      <c r="C18" t="s">
        <v>16</v>
      </c>
      <c r="D18" t="s">
        <v>17</v>
      </c>
      <c r="E18">
        <v>49107.12</v>
      </c>
      <c r="F18">
        <v>4419.6400000000003</v>
      </c>
      <c r="G18">
        <v>4419.6400000000003</v>
      </c>
      <c r="H18">
        <v>57946.400000000001</v>
      </c>
      <c r="I18" t="s">
        <v>610</v>
      </c>
    </row>
    <row r="19" spans="1:9" x14ac:dyDescent="0.2">
      <c r="A19" t="s">
        <v>577</v>
      </c>
      <c r="B19" t="s">
        <v>238</v>
      </c>
      <c r="C19" t="s">
        <v>20</v>
      </c>
      <c r="D19" t="s">
        <v>21</v>
      </c>
      <c r="E19">
        <v>7624.92</v>
      </c>
      <c r="F19">
        <v>686.24</v>
      </c>
      <c r="G19">
        <v>686.24</v>
      </c>
      <c r="H19">
        <v>8997.4</v>
      </c>
      <c r="I19" t="s">
        <v>610</v>
      </c>
    </row>
    <row r="20" spans="1:9" x14ac:dyDescent="0.2">
      <c r="A20" t="s">
        <v>436</v>
      </c>
      <c r="B20" t="s">
        <v>100</v>
      </c>
      <c r="C20" t="s">
        <v>24</v>
      </c>
      <c r="D20" t="s">
        <v>25</v>
      </c>
      <c r="E20">
        <v>3292.74</v>
      </c>
      <c r="F20">
        <v>296.35000000000002</v>
      </c>
      <c r="G20">
        <v>296.35000000000002</v>
      </c>
      <c r="H20">
        <v>3885.44</v>
      </c>
      <c r="I20" t="s">
        <v>610</v>
      </c>
    </row>
    <row r="21" spans="1:9" x14ac:dyDescent="0.2">
      <c r="A21" t="s">
        <v>321</v>
      </c>
      <c r="B21" t="s">
        <v>54</v>
      </c>
      <c r="C21" t="s">
        <v>16</v>
      </c>
      <c r="D21" t="s">
        <v>17</v>
      </c>
      <c r="E21">
        <v>3538.62</v>
      </c>
      <c r="F21">
        <v>318.48</v>
      </c>
      <c r="G21">
        <v>318.48</v>
      </c>
      <c r="H21">
        <v>4175.58</v>
      </c>
      <c r="I21" t="s">
        <v>610</v>
      </c>
    </row>
    <row r="22" spans="1:9" x14ac:dyDescent="0.2">
      <c r="A22" t="s">
        <v>115</v>
      </c>
      <c r="B22" t="s">
        <v>116</v>
      </c>
      <c r="C22" t="s">
        <v>32</v>
      </c>
      <c r="D22" t="s">
        <v>33</v>
      </c>
      <c r="E22">
        <v>20484.740000000002</v>
      </c>
      <c r="F22">
        <v>1843.63</v>
      </c>
      <c r="G22">
        <v>1843.63</v>
      </c>
      <c r="H22">
        <v>24172</v>
      </c>
      <c r="I22" t="s">
        <v>610</v>
      </c>
    </row>
    <row r="23" spans="1:9" x14ac:dyDescent="0.2">
      <c r="A23" t="s">
        <v>518</v>
      </c>
      <c r="B23" t="s">
        <v>172</v>
      </c>
      <c r="C23" t="s">
        <v>32</v>
      </c>
      <c r="D23" t="s">
        <v>33</v>
      </c>
      <c r="E23">
        <v>46141.54</v>
      </c>
      <c r="F23">
        <v>4152.74</v>
      </c>
      <c r="G23">
        <v>4152.74</v>
      </c>
      <c r="H23">
        <v>54447.02</v>
      </c>
      <c r="I23" t="s">
        <v>610</v>
      </c>
    </row>
    <row r="24" spans="1:9" x14ac:dyDescent="0.2">
      <c r="A24" t="s">
        <v>104</v>
      </c>
      <c r="B24" t="s">
        <v>105</v>
      </c>
      <c r="C24" t="s">
        <v>32</v>
      </c>
      <c r="D24" t="s">
        <v>33</v>
      </c>
      <c r="E24">
        <v>26513.16</v>
      </c>
      <c r="F24">
        <v>2386.1799999999998</v>
      </c>
      <c r="G24">
        <v>2386.1799999999998</v>
      </c>
      <c r="H24">
        <v>31285.52</v>
      </c>
      <c r="I24" t="s">
        <v>610</v>
      </c>
    </row>
    <row r="25" spans="1:9" x14ac:dyDescent="0.2">
      <c r="A25" t="s">
        <v>363</v>
      </c>
      <c r="B25" t="s">
        <v>292</v>
      </c>
      <c r="C25" t="s">
        <v>11</v>
      </c>
      <c r="D25" t="s">
        <v>12</v>
      </c>
      <c r="E25">
        <v>15459.13</v>
      </c>
      <c r="F25">
        <v>1391.32</v>
      </c>
      <c r="G25">
        <v>1391.32</v>
      </c>
      <c r="H25">
        <v>18241.77</v>
      </c>
      <c r="I25" t="s">
        <v>610</v>
      </c>
    </row>
    <row r="26" spans="1:9" x14ac:dyDescent="0.2">
      <c r="A26" t="s">
        <v>350</v>
      </c>
      <c r="B26" t="s">
        <v>49</v>
      </c>
      <c r="C26" t="s">
        <v>16</v>
      </c>
      <c r="D26" t="s">
        <v>17</v>
      </c>
      <c r="E26">
        <v>9898.69</v>
      </c>
      <c r="F26">
        <v>890.88</v>
      </c>
      <c r="G26">
        <v>890.88</v>
      </c>
      <c r="H26">
        <v>11680.45</v>
      </c>
      <c r="I26" t="s">
        <v>610</v>
      </c>
    </row>
    <row r="27" spans="1:9" x14ac:dyDescent="0.2">
      <c r="A27" t="s">
        <v>34</v>
      </c>
      <c r="B27" t="s">
        <v>19</v>
      </c>
      <c r="C27" t="s">
        <v>16</v>
      </c>
      <c r="D27" t="s">
        <v>17</v>
      </c>
      <c r="E27">
        <v>29107.09</v>
      </c>
      <c r="F27">
        <v>2619.64</v>
      </c>
      <c r="G27">
        <v>2619.64</v>
      </c>
      <c r="H27">
        <v>34346.370000000003</v>
      </c>
      <c r="I27" t="s">
        <v>610</v>
      </c>
    </row>
    <row r="28" spans="1:9" x14ac:dyDescent="0.2">
      <c r="A28" t="s">
        <v>55</v>
      </c>
      <c r="B28" t="s">
        <v>56</v>
      </c>
      <c r="C28" t="s">
        <v>11</v>
      </c>
      <c r="D28" t="s">
        <v>12</v>
      </c>
      <c r="E28">
        <v>37378.43</v>
      </c>
      <c r="F28">
        <v>3364.06</v>
      </c>
      <c r="G28">
        <v>3364.06</v>
      </c>
      <c r="H28">
        <v>44106.55</v>
      </c>
      <c r="I28" t="s">
        <v>610</v>
      </c>
    </row>
    <row r="29" spans="1:9" x14ac:dyDescent="0.2">
      <c r="A29" t="s">
        <v>374</v>
      </c>
      <c r="B29" t="s">
        <v>238</v>
      </c>
      <c r="C29" t="s">
        <v>32</v>
      </c>
      <c r="D29" t="s">
        <v>33</v>
      </c>
      <c r="E29">
        <v>12390.76</v>
      </c>
      <c r="F29">
        <v>1115.17</v>
      </c>
      <c r="G29">
        <v>1115.17</v>
      </c>
      <c r="H29">
        <v>14621.1</v>
      </c>
      <c r="I29" t="s">
        <v>610</v>
      </c>
    </row>
    <row r="30" spans="1:9" x14ac:dyDescent="0.2">
      <c r="A30" t="s">
        <v>401</v>
      </c>
      <c r="B30" t="s">
        <v>195</v>
      </c>
      <c r="C30" t="s">
        <v>16</v>
      </c>
      <c r="D30" t="s">
        <v>17</v>
      </c>
      <c r="E30">
        <v>23059.78</v>
      </c>
      <c r="F30">
        <v>2075.38</v>
      </c>
      <c r="G30">
        <v>2075.38</v>
      </c>
      <c r="H30">
        <v>27210.54</v>
      </c>
      <c r="I30" t="s">
        <v>610</v>
      </c>
    </row>
    <row r="31" spans="1:9" x14ac:dyDescent="0.2">
      <c r="A31" t="s">
        <v>462</v>
      </c>
      <c r="B31" t="s">
        <v>23</v>
      </c>
      <c r="C31" t="s">
        <v>11</v>
      </c>
      <c r="D31" t="s">
        <v>12</v>
      </c>
      <c r="E31">
        <v>31697.52</v>
      </c>
      <c r="F31">
        <v>2852.78</v>
      </c>
      <c r="G31">
        <v>2852.78</v>
      </c>
      <c r="H31">
        <v>37403.08</v>
      </c>
      <c r="I31" t="s">
        <v>610</v>
      </c>
    </row>
    <row r="32" spans="1:9" x14ac:dyDescent="0.2">
      <c r="A32" t="s">
        <v>381</v>
      </c>
      <c r="B32" t="s">
        <v>83</v>
      </c>
      <c r="C32" t="s">
        <v>11</v>
      </c>
      <c r="D32" t="s">
        <v>12</v>
      </c>
      <c r="E32">
        <v>4469.43</v>
      </c>
      <c r="F32">
        <v>402.25</v>
      </c>
      <c r="G32">
        <v>402.25</v>
      </c>
      <c r="H32">
        <v>5273.93</v>
      </c>
      <c r="I32" t="s">
        <v>610</v>
      </c>
    </row>
    <row r="33" spans="1:9" x14ac:dyDescent="0.2">
      <c r="A33" t="s">
        <v>122</v>
      </c>
      <c r="B33" t="s">
        <v>116</v>
      </c>
      <c r="C33" t="s">
        <v>32</v>
      </c>
      <c r="D33" t="s">
        <v>33</v>
      </c>
      <c r="E33">
        <v>44289.59</v>
      </c>
      <c r="F33">
        <v>3986.06</v>
      </c>
      <c r="G33">
        <v>3986.06</v>
      </c>
      <c r="H33">
        <v>52261.71</v>
      </c>
      <c r="I33" t="s">
        <v>610</v>
      </c>
    </row>
    <row r="34" spans="1:9" x14ac:dyDescent="0.2">
      <c r="A34" t="s">
        <v>576</v>
      </c>
      <c r="B34" t="s">
        <v>23</v>
      </c>
      <c r="C34" t="s">
        <v>11</v>
      </c>
      <c r="D34" t="s">
        <v>12</v>
      </c>
      <c r="E34">
        <v>20156.62</v>
      </c>
      <c r="F34">
        <v>1814.1</v>
      </c>
      <c r="G34">
        <v>1814.1</v>
      </c>
      <c r="H34">
        <v>23784.82</v>
      </c>
      <c r="I34" t="s">
        <v>610</v>
      </c>
    </row>
    <row r="35" spans="1:9" x14ac:dyDescent="0.2">
      <c r="A35" t="s">
        <v>135</v>
      </c>
      <c r="B35" t="s">
        <v>132</v>
      </c>
      <c r="C35" t="s">
        <v>24</v>
      </c>
      <c r="D35" t="s">
        <v>25</v>
      </c>
      <c r="E35">
        <v>2999.91</v>
      </c>
      <c r="F35">
        <v>269.99</v>
      </c>
      <c r="G35">
        <v>269.99</v>
      </c>
      <c r="H35">
        <v>3539.89</v>
      </c>
      <c r="I35" t="s">
        <v>610</v>
      </c>
    </row>
    <row r="36" spans="1:9" x14ac:dyDescent="0.2">
      <c r="A36" t="s">
        <v>447</v>
      </c>
      <c r="B36" t="s">
        <v>51</v>
      </c>
      <c r="C36" t="s">
        <v>24</v>
      </c>
      <c r="D36" t="s">
        <v>25</v>
      </c>
      <c r="E36">
        <v>10275.1</v>
      </c>
      <c r="F36">
        <v>924.76</v>
      </c>
      <c r="G36">
        <v>924.76</v>
      </c>
      <c r="H36">
        <v>12124.62</v>
      </c>
      <c r="I36" t="s">
        <v>610</v>
      </c>
    </row>
    <row r="37" spans="1:9" x14ac:dyDescent="0.2">
      <c r="A37" t="s">
        <v>394</v>
      </c>
      <c r="B37" t="s">
        <v>205</v>
      </c>
      <c r="C37" t="s">
        <v>32</v>
      </c>
      <c r="D37" t="s">
        <v>33</v>
      </c>
      <c r="E37">
        <v>47050.92</v>
      </c>
      <c r="F37">
        <v>4234.58</v>
      </c>
      <c r="G37">
        <v>4234.58</v>
      </c>
      <c r="H37">
        <v>55520.08</v>
      </c>
      <c r="I37" t="s">
        <v>610</v>
      </c>
    </row>
    <row r="38" spans="1:9" x14ac:dyDescent="0.2">
      <c r="A38" t="s">
        <v>571</v>
      </c>
      <c r="B38" t="s">
        <v>60</v>
      </c>
      <c r="C38" t="s">
        <v>32</v>
      </c>
      <c r="D38" t="s">
        <v>33</v>
      </c>
      <c r="E38">
        <v>42062.52</v>
      </c>
      <c r="F38">
        <v>3785.63</v>
      </c>
      <c r="G38">
        <v>3785.63</v>
      </c>
      <c r="H38">
        <v>49633.78</v>
      </c>
      <c r="I38" t="s">
        <v>610</v>
      </c>
    </row>
    <row r="39" spans="1:9" x14ac:dyDescent="0.2">
      <c r="A39" t="s">
        <v>535</v>
      </c>
      <c r="B39" t="s">
        <v>429</v>
      </c>
      <c r="C39" t="s">
        <v>24</v>
      </c>
      <c r="D39" t="s">
        <v>25</v>
      </c>
      <c r="E39">
        <v>23382.57</v>
      </c>
      <c r="F39">
        <v>2104.4299999999998</v>
      </c>
      <c r="G39">
        <v>2104.4299999999998</v>
      </c>
      <c r="H39">
        <v>27591.43</v>
      </c>
      <c r="I39" t="s">
        <v>610</v>
      </c>
    </row>
    <row r="40" spans="1:9" x14ac:dyDescent="0.2">
      <c r="A40" t="s">
        <v>532</v>
      </c>
      <c r="B40" t="s">
        <v>140</v>
      </c>
      <c r="C40" t="s">
        <v>11</v>
      </c>
      <c r="D40" t="s">
        <v>12</v>
      </c>
      <c r="E40">
        <v>22390.25</v>
      </c>
      <c r="F40">
        <v>2015.12</v>
      </c>
      <c r="G40">
        <v>2015.12</v>
      </c>
      <c r="H40">
        <v>26420.49</v>
      </c>
      <c r="I40" t="s">
        <v>610</v>
      </c>
    </row>
    <row r="41" spans="1:9" x14ac:dyDescent="0.2">
      <c r="A41" t="s">
        <v>178</v>
      </c>
      <c r="B41" t="s">
        <v>114</v>
      </c>
      <c r="C41" t="s">
        <v>16</v>
      </c>
      <c r="D41" t="s">
        <v>17</v>
      </c>
      <c r="E41">
        <v>13381.51</v>
      </c>
      <c r="F41">
        <v>1204.3399999999999</v>
      </c>
      <c r="G41">
        <v>1204.3399999999999</v>
      </c>
      <c r="H41">
        <v>15790.19</v>
      </c>
      <c r="I41" t="s">
        <v>610</v>
      </c>
    </row>
    <row r="42" spans="1:9" x14ac:dyDescent="0.2">
      <c r="A42" t="s">
        <v>546</v>
      </c>
      <c r="B42" t="s">
        <v>60</v>
      </c>
      <c r="C42" t="s">
        <v>20</v>
      </c>
      <c r="D42" t="s">
        <v>21</v>
      </c>
      <c r="E42">
        <v>44607.31</v>
      </c>
      <c r="F42">
        <v>4014.66</v>
      </c>
      <c r="G42">
        <v>4014.66</v>
      </c>
      <c r="H42">
        <v>52636.63</v>
      </c>
      <c r="I42" t="s">
        <v>610</v>
      </c>
    </row>
    <row r="43" spans="1:9" x14ac:dyDescent="0.2">
      <c r="A43" t="s">
        <v>401</v>
      </c>
      <c r="B43" t="s">
        <v>195</v>
      </c>
      <c r="C43" t="s">
        <v>16</v>
      </c>
      <c r="D43" t="s">
        <v>17</v>
      </c>
      <c r="E43">
        <v>23059.78</v>
      </c>
      <c r="F43">
        <v>2075.38</v>
      </c>
      <c r="G43">
        <v>2075.38</v>
      </c>
      <c r="H43">
        <v>27210.54</v>
      </c>
      <c r="I43" t="s">
        <v>610</v>
      </c>
    </row>
    <row r="44" spans="1:9" x14ac:dyDescent="0.2">
      <c r="A44" t="s">
        <v>86</v>
      </c>
      <c r="B44" t="s">
        <v>87</v>
      </c>
      <c r="C44" t="s">
        <v>32</v>
      </c>
      <c r="D44" t="s">
        <v>33</v>
      </c>
      <c r="E44">
        <v>14784.51</v>
      </c>
      <c r="F44">
        <v>1330.61</v>
      </c>
      <c r="G44">
        <v>1330.61</v>
      </c>
      <c r="H44">
        <v>17445.73</v>
      </c>
      <c r="I44" t="s">
        <v>610</v>
      </c>
    </row>
    <row r="45" spans="1:9" x14ac:dyDescent="0.2">
      <c r="A45" t="s">
        <v>582</v>
      </c>
      <c r="B45" t="s">
        <v>201</v>
      </c>
      <c r="C45" t="s">
        <v>24</v>
      </c>
      <c r="D45" t="s">
        <v>25</v>
      </c>
      <c r="E45">
        <v>3607.99</v>
      </c>
      <c r="F45">
        <v>324.72000000000003</v>
      </c>
      <c r="G45">
        <v>324.72000000000003</v>
      </c>
      <c r="H45">
        <v>4257.43</v>
      </c>
      <c r="I45" t="s">
        <v>610</v>
      </c>
    </row>
    <row r="46" spans="1:9" x14ac:dyDescent="0.2">
      <c r="A46" t="s">
        <v>410</v>
      </c>
      <c r="B46" t="s">
        <v>188</v>
      </c>
      <c r="C46" t="s">
        <v>20</v>
      </c>
      <c r="D46" t="s">
        <v>21</v>
      </c>
      <c r="E46">
        <v>4175</v>
      </c>
      <c r="F46">
        <v>375.75</v>
      </c>
      <c r="G46">
        <v>375.75</v>
      </c>
      <c r="H46">
        <v>4926.5</v>
      </c>
      <c r="I46" t="s">
        <v>610</v>
      </c>
    </row>
    <row r="47" spans="1:9" x14ac:dyDescent="0.2">
      <c r="A47" t="s">
        <v>263</v>
      </c>
      <c r="B47" t="s">
        <v>185</v>
      </c>
      <c r="C47" t="s">
        <v>16</v>
      </c>
      <c r="D47" t="s">
        <v>17</v>
      </c>
      <c r="E47">
        <v>22548.93</v>
      </c>
      <c r="F47">
        <v>2029.4</v>
      </c>
      <c r="G47">
        <v>2029.4</v>
      </c>
      <c r="H47">
        <v>26607.73</v>
      </c>
      <c r="I47" t="s">
        <v>610</v>
      </c>
    </row>
    <row r="48" spans="1:9" x14ac:dyDescent="0.2">
      <c r="A48" t="s">
        <v>501</v>
      </c>
      <c r="B48" t="s">
        <v>212</v>
      </c>
      <c r="C48" t="s">
        <v>32</v>
      </c>
      <c r="D48" t="s">
        <v>33</v>
      </c>
      <c r="E48">
        <v>37746.480000000003</v>
      </c>
      <c r="F48">
        <v>3397.18</v>
      </c>
      <c r="G48">
        <v>3397.18</v>
      </c>
      <c r="H48">
        <v>44540.84</v>
      </c>
      <c r="I48" t="s">
        <v>610</v>
      </c>
    </row>
    <row r="49" spans="1:9" x14ac:dyDescent="0.2">
      <c r="A49" t="s">
        <v>443</v>
      </c>
      <c r="B49" t="s">
        <v>132</v>
      </c>
      <c r="C49" t="s">
        <v>16</v>
      </c>
      <c r="D49" t="s">
        <v>17</v>
      </c>
      <c r="E49">
        <v>32522.69</v>
      </c>
      <c r="F49">
        <v>2927.04</v>
      </c>
      <c r="G49">
        <v>2927.04</v>
      </c>
      <c r="H49">
        <v>38376.769999999997</v>
      </c>
      <c r="I49" t="s">
        <v>610</v>
      </c>
    </row>
    <row r="50" spans="1:9" x14ac:dyDescent="0.2">
      <c r="A50" t="s">
        <v>501</v>
      </c>
      <c r="B50" t="s">
        <v>212</v>
      </c>
      <c r="C50" t="s">
        <v>32</v>
      </c>
      <c r="D50" t="s">
        <v>33</v>
      </c>
      <c r="E50">
        <v>37746.480000000003</v>
      </c>
      <c r="F50">
        <v>3397.18</v>
      </c>
      <c r="G50">
        <v>3397.18</v>
      </c>
      <c r="H50">
        <v>44540.84</v>
      </c>
      <c r="I50" t="s">
        <v>610</v>
      </c>
    </row>
    <row r="51" spans="1:9" x14ac:dyDescent="0.2">
      <c r="A51" t="s">
        <v>424</v>
      </c>
      <c r="B51" t="s">
        <v>159</v>
      </c>
      <c r="C51" t="s">
        <v>16</v>
      </c>
      <c r="D51" t="s">
        <v>17</v>
      </c>
      <c r="E51">
        <v>42060.69</v>
      </c>
      <c r="F51">
        <v>3785.46</v>
      </c>
      <c r="G51">
        <v>3785.46</v>
      </c>
      <c r="H51">
        <v>49631.61</v>
      </c>
      <c r="I51" t="s">
        <v>610</v>
      </c>
    </row>
    <row r="52" spans="1:9" x14ac:dyDescent="0.2">
      <c r="A52" t="s">
        <v>106</v>
      </c>
      <c r="B52" t="s">
        <v>109</v>
      </c>
      <c r="C52" t="s">
        <v>24</v>
      </c>
      <c r="D52" t="s">
        <v>25</v>
      </c>
      <c r="E52">
        <v>12549.23</v>
      </c>
      <c r="F52">
        <v>1084.43</v>
      </c>
      <c r="G52">
        <v>1084.43</v>
      </c>
      <c r="H52">
        <v>14718.09</v>
      </c>
      <c r="I52" t="s">
        <v>610</v>
      </c>
    </row>
    <row r="53" spans="1:9" x14ac:dyDescent="0.2">
      <c r="A53" t="s">
        <v>108</v>
      </c>
      <c r="B53" t="s">
        <v>15</v>
      </c>
      <c r="C53" t="s">
        <v>20</v>
      </c>
      <c r="D53" t="s">
        <v>21</v>
      </c>
      <c r="E53">
        <v>4812.57</v>
      </c>
      <c r="F53">
        <v>388.13</v>
      </c>
      <c r="G53">
        <v>388.13</v>
      </c>
      <c r="H53">
        <v>5588.83</v>
      </c>
      <c r="I53" t="s">
        <v>610</v>
      </c>
    </row>
    <row r="54" spans="1:9" x14ac:dyDescent="0.2">
      <c r="A54" t="s">
        <v>110</v>
      </c>
      <c r="B54" t="s">
        <v>159</v>
      </c>
      <c r="C54" t="s">
        <v>24</v>
      </c>
      <c r="D54" t="s">
        <v>25</v>
      </c>
      <c r="E54">
        <v>9811.75</v>
      </c>
      <c r="F54">
        <v>838.06</v>
      </c>
      <c r="G54">
        <v>838.06</v>
      </c>
      <c r="H54">
        <v>11487.87</v>
      </c>
      <c r="I54" t="s">
        <v>610</v>
      </c>
    </row>
    <row r="55" spans="1:9" x14ac:dyDescent="0.2">
      <c r="A55" t="s">
        <v>111</v>
      </c>
      <c r="B55" t="s">
        <v>118</v>
      </c>
      <c r="C55" t="s">
        <v>32</v>
      </c>
      <c r="D55" t="s">
        <v>33</v>
      </c>
      <c r="E55">
        <v>48747.71</v>
      </c>
      <c r="F55">
        <v>4342.29</v>
      </c>
      <c r="G55">
        <v>4342.29</v>
      </c>
      <c r="H55">
        <v>57432.29</v>
      </c>
      <c r="I55" t="s">
        <v>610</v>
      </c>
    </row>
    <row r="56" spans="1:9" x14ac:dyDescent="0.2">
      <c r="A56" t="s">
        <v>113</v>
      </c>
      <c r="B56" t="s">
        <v>212</v>
      </c>
      <c r="C56" t="s">
        <v>16</v>
      </c>
      <c r="D56" t="s">
        <v>17</v>
      </c>
      <c r="E56">
        <v>10038.44</v>
      </c>
      <c r="F56">
        <v>858.46</v>
      </c>
      <c r="G56">
        <v>858.46</v>
      </c>
      <c r="H56">
        <v>11755.36</v>
      </c>
      <c r="I56" t="s">
        <v>610</v>
      </c>
    </row>
    <row r="57" spans="1:9" x14ac:dyDescent="0.2">
      <c r="A57" t="s">
        <v>115</v>
      </c>
      <c r="B57" t="s">
        <v>60</v>
      </c>
      <c r="C57" t="s">
        <v>11</v>
      </c>
      <c r="D57" t="s">
        <v>12</v>
      </c>
      <c r="E57">
        <v>46424.1</v>
      </c>
      <c r="F57">
        <v>4133.17</v>
      </c>
      <c r="G57">
        <v>4133.17</v>
      </c>
      <c r="H57">
        <v>54690.44</v>
      </c>
      <c r="I57" t="s">
        <v>610</v>
      </c>
    </row>
    <row r="58" spans="1:9" x14ac:dyDescent="0.2">
      <c r="A58" t="s">
        <v>117</v>
      </c>
      <c r="B58" t="s">
        <v>118</v>
      </c>
      <c r="C58" t="s">
        <v>32</v>
      </c>
      <c r="D58" t="s">
        <v>33</v>
      </c>
      <c r="E58">
        <v>34196.660000000003</v>
      </c>
      <c r="F58">
        <v>3032.7</v>
      </c>
      <c r="G58">
        <v>3032.7</v>
      </c>
      <c r="H58">
        <v>40262.06</v>
      </c>
      <c r="I58" t="s">
        <v>610</v>
      </c>
    </row>
    <row r="59" spans="1:9" x14ac:dyDescent="0.2">
      <c r="A59" t="s">
        <v>119</v>
      </c>
      <c r="B59" t="s">
        <v>168</v>
      </c>
      <c r="C59" t="s">
        <v>11</v>
      </c>
      <c r="D59" t="s">
        <v>12</v>
      </c>
      <c r="E59">
        <v>22274.98</v>
      </c>
      <c r="F59">
        <v>1959.75</v>
      </c>
      <c r="G59">
        <v>1959.75</v>
      </c>
      <c r="H59">
        <v>26194.48</v>
      </c>
      <c r="I59" t="s">
        <v>610</v>
      </c>
    </row>
    <row r="60" spans="1:9" x14ac:dyDescent="0.2">
      <c r="A60" t="s">
        <v>120</v>
      </c>
      <c r="B60" t="s">
        <v>268</v>
      </c>
      <c r="C60" t="s">
        <v>11</v>
      </c>
      <c r="D60" t="s">
        <v>12</v>
      </c>
      <c r="E60">
        <v>6075.43</v>
      </c>
      <c r="F60">
        <v>501.79</v>
      </c>
      <c r="G60">
        <v>501.79</v>
      </c>
      <c r="H60">
        <v>7079.01</v>
      </c>
      <c r="I60" t="s">
        <v>610</v>
      </c>
    </row>
    <row r="61" spans="1:9" x14ac:dyDescent="0.2">
      <c r="A61" t="s">
        <v>122</v>
      </c>
      <c r="B61" t="s">
        <v>172</v>
      </c>
      <c r="C61" t="s">
        <v>16</v>
      </c>
      <c r="D61" t="s">
        <v>17</v>
      </c>
      <c r="E61">
        <v>5400.29</v>
      </c>
      <c r="F61">
        <v>441.03</v>
      </c>
      <c r="G61">
        <v>441.03</v>
      </c>
      <c r="H61">
        <v>6282.35</v>
      </c>
      <c r="I61" t="s">
        <v>610</v>
      </c>
    </row>
    <row r="62" spans="1:9" x14ac:dyDescent="0.2">
      <c r="A62" t="s">
        <v>123</v>
      </c>
      <c r="B62" t="s">
        <v>165</v>
      </c>
      <c r="C62" t="s">
        <v>24</v>
      </c>
      <c r="D62" t="s">
        <v>25</v>
      </c>
      <c r="E62">
        <v>50114.31</v>
      </c>
      <c r="F62">
        <v>4465.29</v>
      </c>
      <c r="G62">
        <v>4465.29</v>
      </c>
      <c r="H62">
        <v>59044.89</v>
      </c>
      <c r="I62" t="s">
        <v>610</v>
      </c>
    </row>
    <row r="63" spans="1:9" x14ac:dyDescent="0.2">
      <c r="A63" t="s">
        <v>125</v>
      </c>
      <c r="B63" t="s">
        <v>161</v>
      </c>
      <c r="C63" t="s">
        <v>16</v>
      </c>
      <c r="D63" t="s">
        <v>17</v>
      </c>
      <c r="E63">
        <v>17430.71</v>
      </c>
      <c r="F63">
        <v>1523.76</v>
      </c>
      <c r="G63">
        <v>1523.76</v>
      </c>
      <c r="H63">
        <v>20478.23</v>
      </c>
      <c r="I63" t="s">
        <v>610</v>
      </c>
    </row>
    <row r="64" spans="1:9" x14ac:dyDescent="0.2">
      <c r="A64" t="s">
        <v>126</v>
      </c>
      <c r="B64" t="s">
        <v>152</v>
      </c>
      <c r="C64" t="s">
        <v>32</v>
      </c>
      <c r="D64" t="s">
        <v>33</v>
      </c>
      <c r="E64">
        <v>29290.91</v>
      </c>
      <c r="F64">
        <v>2591.1799999999998</v>
      </c>
      <c r="G64">
        <v>2591.1799999999998</v>
      </c>
      <c r="H64">
        <v>34473.269999999997</v>
      </c>
      <c r="I64" t="s">
        <v>610</v>
      </c>
    </row>
    <row r="65" spans="1:9" x14ac:dyDescent="0.2">
      <c r="A65" t="s">
        <v>127</v>
      </c>
      <c r="B65" t="s">
        <v>157</v>
      </c>
      <c r="C65" t="s">
        <v>24</v>
      </c>
      <c r="D65" t="s">
        <v>25</v>
      </c>
      <c r="E65">
        <v>38613.760000000002</v>
      </c>
      <c r="F65">
        <v>3430.24</v>
      </c>
      <c r="G65">
        <v>3430.24</v>
      </c>
      <c r="H65">
        <v>45474.239999999998</v>
      </c>
      <c r="I65" t="s">
        <v>610</v>
      </c>
    </row>
    <row r="66" spans="1:9" x14ac:dyDescent="0.2">
      <c r="A66" t="s">
        <v>129</v>
      </c>
      <c r="B66" t="s">
        <v>47</v>
      </c>
      <c r="C66" t="s">
        <v>24</v>
      </c>
      <c r="D66" t="s">
        <v>25</v>
      </c>
      <c r="E66">
        <v>19168.509999999998</v>
      </c>
      <c r="F66">
        <v>1680.17</v>
      </c>
      <c r="G66">
        <v>1680.17</v>
      </c>
      <c r="H66">
        <v>22528.85</v>
      </c>
      <c r="I66" t="s">
        <v>610</v>
      </c>
    </row>
    <row r="67" spans="1:9" x14ac:dyDescent="0.2">
      <c r="A67" t="s">
        <v>131</v>
      </c>
      <c r="B67" t="s">
        <v>273</v>
      </c>
      <c r="C67" t="s">
        <v>11</v>
      </c>
      <c r="D67" t="s">
        <v>12</v>
      </c>
      <c r="E67">
        <v>30403.62</v>
      </c>
      <c r="F67">
        <v>2691.33</v>
      </c>
      <c r="G67">
        <v>2691.33</v>
      </c>
      <c r="H67">
        <v>35786.28</v>
      </c>
      <c r="I67" t="s">
        <v>610</v>
      </c>
    </row>
    <row r="68" spans="1:9" x14ac:dyDescent="0.2">
      <c r="A68" t="s">
        <v>133</v>
      </c>
      <c r="B68" t="s">
        <v>140</v>
      </c>
      <c r="C68" t="s">
        <v>20</v>
      </c>
      <c r="D68" t="s">
        <v>21</v>
      </c>
      <c r="E68">
        <v>3839.38</v>
      </c>
      <c r="F68">
        <v>300.54000000000002</v>
      </c>
      <c r="G68">
        <v>300.54000000000002</v>
      </c>
      <c r="H68">
        <v>4440.46</v>
      </c>
      <c r="I68" t="s">
        <v>610</v>
      </c>
    </row>
    <row r="69" spans="1:9" x14ac:dyDescent="0.2">
      <c r="A69" t="s">
        <v>135</v>
      </c>
      <c r="B69" t="s">
        <v>23</v>
      </c>
      <c r="C69" t="s">
        <v>16</v>
      </c>
      <c r="D69" t="s">
        <v>17</v>
      </c>
      <c r="E69">
        <v>40165.379999999997</v>
      </c>
      <c r="F69">
        <v>3569.88</v>
      </c>
      <c r="G69">
        <v>3569.88</v>
      </c>
      <c r="H69">
        <v>47305.14</v>
      </c>
      <c r="I69" t="s">
        <v>610</v>
      </c>
    </row>
    <row r="70" spans="1:9" x14ac:dyDescent="0.2">
      <c r="A70" t="s">
        <v>136</v>
      </c>
      <c r="B70" t="s">
        <v>611</v>
      </c>
      <c r="C70" t="s">
        <v>32</v>
      </c>
      <c r="D70" t="s">
        <v>33</v>
      </c>
      <c r="E70">
        <v>47856.29</v>
      </c>
      <c r="F70">
        <v>4262.07</v>
      </c>
      <c r="G70">
        <v>4262.07</v>
      </c>
      <c r="H70">
        <v>56380.43</v>
      </c>
      <c r="I70" t="s">
        <v>610</v>
      </c>
    </row>
    <row r="71" spans="1:9" x14ac:dyDescent="0.2">
      <c r="A71" t="s">
        <v>137</v>
      </c>
      <c r="B71" t="s">
        <v>172</v>
      </c>
      <c r="C71" t="s">
        <v>24</v>
      </c>
      <c r="D71" t="s">
        <v>25</v>
      </c>
      <c r="E71">
        <v>20208.82</v>
      </c>
      <c r="F71">
        <v>1773.79</v>
      </c>
      <c r="G71">
        <v>1773.79</v>
      </c>
      <c r="H71">
        <v>23756.400000000001</v>
      </c>
      <c r="I71" t="s">
        <v>610</v>
      </c>
    </row>
    <row r="72" spans="1:9" x14ac:dyDescent="0.2">
      <c r="A72" t="s">
        <v>138</v>
      </c>
      <c r="B72" t="s">
        <v>132</v>
      </c>
      <c r="C72" t="s">
        <v>32</v>
      </c>
      <c r="D72" t="s">
        <v>33</v>
      </c>
      <c r="E72">
        <v>21753.21</v>
      </c>
      <c r="F72">
        <v>1912.79</v>
      </c>
      <c r="G72">
        <v>1912.79</v>
      </c>
      <c r="H72">
        <v>25578.79</v>
      </c>
      <c r="I72" t="s">
        <v>610</v>
      </c>
    </row>
    <row r="73" spans="1:9" x14ac:dyDescent="0.2">
      <c r="A73" t="s">
        <v>139</v>
      </c>
      <c r="B73" t="s">
        <v>285</v>
      </c>
      <c r="C73" t="s">
        <v>11</v>
      </c>
      <c r="D73" t="s">
        <v>12</v>
      </c>
      <c r="E73">
        <v>45786.559999999998</v>
      </c>
      <c r="F73">
        <v>4075.79</v>
      </c>
      <c r="G73">
        <v>4075.79</v>
      </c>
      <c r="H73">
        <v>53938.14</v>
      </c>
      <c r="I73" t="s">
        <v>610</v>
      </c>
    </row>
    <row r="74" spans="1:9" x14ac:dyDescent="0.2">
      <c r="A74" t="s">
        <v>141</v>
      </c>
      <c r="B74" t="s">
        <v>195</v>
      </c>
      <c r="C74" t="s">
        <v>16</v>
      </c>
      <c r="D74" t="s">
        <v>17</v>
      </c>
      <c r="E74">
        <v>15871.6</v>
      </c>
      <c r="F74">
        <v>1383.44</v>
      </c>
      <c r="G74">
        <v>1383.44</v>
      </c>
      <c r="H74">
        <v>18638.48</v>
      </c>
      <c r="I74" t="s">
        <v>610</v>
      </c>
    </row>
    <row r="75" spans="1:9" x14ac:dyDescent="0.2">
      <c r="A75" t="s">
        <v>142</v>
      </c>
      <c r="B75" t="s">
        <v>105</v>
      </c>
      <c r="C75" t="s">
        <v>16</v>
      </c>
      <c r="D75" t="s">
        <v>17</v>
      </c>
      <c r="E75">
        <v>30109.11</v>
      </c>
      <c r="F75">
        <v>2664.82</v>
      </c>
      <c r="G75">
        <v>2664.82</v>
      </c>
      <c r="H75">
        <v>35438.75</v>
      </c>
      <c r="I75" t="s">
        <v>610</v>
      </c>
    </row>
    <row r="76" spans="1:9" x14ac:dyDescent="0.2">
      <c r="A76" t="s">
        <v>143</v>
      </c>
      <c r="B76" t="s">
        <v>105</v>
      </c>
      <c r="C76" t="s">
        <v>20</v>
      </c>
      <c r="D76" t="s">
        <v>21</v>
      </c>
      <c r="E76">
        <v>40656.07</v>
      </c>
      <c r="F76">
        <v>3614.05</v>
      </c>
      <c r="G76">
        <v>3614.05</v>
      </c>
      <c r="H76">
        <v>47884.17</v>
      </c>
      <c r="I76" t="s">
        <v>610</v>
      </c>
    </row>
    <row r="77" spans="1:9" x14ac:dyDescent="0.2">
      <c r="A77" t="s">
        <v>144</v>
      </c>
      <c r="B77" t="s">
        <v>159</v>
      </c>
      <c r="C77" t="s">
        <v>16</v>
      </c>
      <c r="D77" t="s">
        <v>17</v>
      </c>
      <c r="E77">
        <v>3377.82</v>
      </c>
      <c r="F77">
        <v>259</v>
      </c>
      <c r="G77">
        <v>259</v>
      </c>
      <c r="H77">
        <v>3895.82</v>
      </c>
      <c r="I77" t="s">
        <v>610</v>
      </c>
    </row>
    <row r="78" spans="1:9" x14ac:dyDescent="0.2">
      <c r="A78" t="s">
        <v>145</v>
      </c>
      <c r="B78" t="s">
        <v>176</v>
      </c>
      <c r="C78" t="s">
        <v>16</v>
      </c>
      <c r="D78" t="s">
        <v>17</v>
      </c>
      <c r="E78">
        <v>43309.47</v>
      </c>
      <c r="F78">
        <v>3852.85</v>
      </c>
      <c r="G78">
        <v>3852.85</v>
      </c>
      <c r="H78">
        <v>51015.17</v>
      </c>
      <c r="I78" t="s">
        <v>610</v>
      </c>
    </row>
    <row r="79" spans="1:9" x14ac:dyDescent="0.2">
      <c r="A79" t="s">
        <v>147</v>
      </c>
      <c r="B79" t="s">
        <v>73</v>
      </c>
      <c r="C79" t="s">
        <v>11</v>
      </c>
      <c r="D79" t="s">
        <v>12</v>
      </c>
      <c r="E79">
        <v>21254.54</v>
      </c>
      <c r="F79">
        <v>1867.91</v>
      </c>
      <c r="G79">
        <v>1867.91</v>
      </c>
      <c r="H79">
        <v>24990.36</v>
      </c>
      <c r="I79" t="s">
        <v>610</v>
      </c>
    </row>
    <row r="80" spans="1:9" x14ac:dyDescent="0.2">
      <c r="A80" t="s">
        <v>148</v>
      </c>
      <c r="B80" t="s">
        <v>19</v>
      </c>
      <c r="C80" t="s">
        <v>32</v>
      </c>
      <c r="D80" t="s">
        <v>33</v>
      </c>
      <c r="E80">
        <v>39543.01</v>
      </c>
      <c r="F80">
        <v>3513.87</v>
      </c>
      <c r="G80">
        <v>3513.87</v>
      </c>
      <c r="H80">
        <v>46570.75</v>
      </c>
      <c r="I80" t="s">
        <v>610</v>
      </c>
    </row>
    <row r="81" spans="1:9" x14ac:dyDescent="0.2">
      <c r="A81" t="s">
        <v>149</v>
      </c>
      <c r="B81" t="s">
        <v>114</v>
      </c>
      <c r="C81" t="s">
        <v>11</v>
      </c>
      <c r="D81" t="s">
        <v>12</v>
      </c>
      <c r="E81">
        <v>28901.79</v>
      </c>
      <c r="F81">
        <v>2556.16</v>
      </c>
      <c r="G81">
        <v>2556.16</v>
      </c>
      <c r="H81">
        <v>34014.11</v>
      </c>
      <c r="I81" t="s">
        <v>610</v>
      </c>
    </row>
    <row r="82" spans="1:9" x14ac:dyDescent="0.2">
      <c r="A82" t="s">
        <v>151</v>
      </c>
      <c r="B82" t="s">
        <v>150</v>
      </c>
      <c r="C82" t="s">
        <v>11</v>
      </c>
      <c r="D82" t="s">
        <v>12</v>
      </c>
      <c r="E82">
        <v>38906.57</v>
      </c>
      <c r="F82">
        <v>3456.59</v>
      </c>
      <c r="G82">
        <v>3456.59</v>
      </c>
      <c r="H82">
        <v>45819.75</v>
      </c>
      <c r="I82" t="s">
        <v>610</v>
      </c>
    </row>
    <row r="83" spans="1:9" x14ac:dyDescent="0.2">
      <c r="A83" t="s">
        <v>153</v>
      </c>
      <c r="B83" t="s">
        <v>45</v>
      </c>
      <c r="C83" t="s">
        <v>11</v>
      </c>
      <c r="D83" t="s">
        <v>12</v>
      </c>
      <c r="E83">
        <v>32207.09</v>
      </c>
      <c r="F83">
        <v>2853.64</v>
      </c>
      <c r="G83">
        <v>2853.64</v>
      </c>
      <c r="H83">
        <v>37914.370000000003</v>
      </c>
      <c r="I83" t="s">
        <v>610</v>
      </c>
    </row>
    <row r="84" spans="1:9" x14ac:dyDescent="0.2">
      <c r="A84" t="s">
        <v>154</v>
      </c>
      <c r="B84" t="s">
        <v>31</v>
      </c>
      <c r="C84" t="s">
        <v>32</v>
      </c>
      <c r="D84" t="s">
        <v>33</v>
      </c>
      <c r="E84">
        <v>6370.06</v>
      </c>
      <c r="F84">
        <v>528.30999999999995</v>
      </c>
      <c r="G84">
        <v>528.30999999999995</v>
      </c>
      <c r="H84">
        <v>7426.68</v>
      </c>
      <c r="I84" t="s">
        <v>610</v>
      </c>
    </row>
    <row r="85" spans="1:9" x14ac:dyDescent="0.2">
      <c r="A85" t="s">
        <v>156</v>
      </c>
      <c r="B85" t="s">
        <v>152</v>
      </c>
      <c r="C85" t="s">
        <v>20</v>
      </c>
      <c r="D85" t="s">
        <v>21</v>
      </c>
      <c r="E85">
        <v>1763.88</v>
      </c>
      <c r="F85">
        <v>113.75</v>
      </c>
      <c r="G85">
        <v>113.75</v>
      </c>
      <c r="H85">
        <v>1991.38</v>
      </c>
      <c r="I85" t="s">
        <v>610</v>
      </c>
    </row>
    <row r="86" spans="1:9" x14ac:dyDescent="0.2">
      <c r="A86" t="s">
        <v>158</v>
      </c>
      <c r="B86" t="s">
        <v>97</v>
      </c>
      <c r="C86" t="s">
        <v>20</v>
      </c>
      <c r="D86" t="s">
        <v>21</v>
      </c>
      <c r="E86">
        <v>3701.31</v>
      </c>
      <c r="F86">
        <v>288.12</v>
      </c>
      <c r="G86">
        <v>288.12</v>
      </c>
      <c r="H86">
        <v>4277.55</v>
      </c>
      <c r="I86" t="s">
        <v>610</v>
      </c>
    </row>
    <row r="87" spans="1:9" x14ac:dyDescent="0.2">
      <c r="A87" t="s">
        <v>160</v>
      </c>
      <c r="B87" t="s">
        <v>313</v>
      </c>
      <c r="C87" t="s">
        <v>24</v>
      </c>
      <c r="D87" t="s">
        <v>25</v>
      </c>
      <c r="E87">
        <v>1728.28</v>
      </c>
      <c r="F87">
        <v>110.55</v>
      </c>
      <c r="G87">
        <v>110.55</v>
      </c>
      <c r="H87">
        <v>1949.38</v>
      </c>
      <c r="I87" t="s">
        <v>610</v>
      </c>
    </row>
    <row r="88" spans="1:9" x14ac:dyDescent="0.2">
      <c r="A88" t="s">
        <v>162</v>
      </c>
      <c r="B88" t="s">
        <v>91</v>
      </c>
      <c r="C88" t="s">
        <v>32</v>
      </c>
      <c r="D88" t="s">
        <v>33</v>
      </c>
      <c r="E88">
        <v>36580.199999999997</v>
      </c>
      <c r="F88">
        <v>3247.22</v>
      </c>
      <c r="G88">
        <v>3247.22</v>
      </c>
      <c r="H88">
        <v>43074.64</v>
      </c>
      <c r="I88" t="s">
        <v>610</v>
      </c>
    </row>
    <row r="89" spans="1:9" x14ac:dyDescent="0.2">
      <c r="A89" t="s">
        <v>163</v>
      </c>
      <c r="B89" t="s">
        <v>118</v>
      </c>
      <c r="C89" t="s">
        <v>20</v>
      </c>
      <c r="D89" t="s">
        <v>21</v>
      </c>
      <c r="E89">
        <v>24883.23</v>
      </c>
      <c r="F89">
        <v>2194.4899999999998</v>
      </c>
      <c r="G89">
        <v>2194.4899999999998</v>
      </c>
      <c r="H89">
        <v>29272.21</v>
      </c>
      <c r="I89" t="s">
        <v>610</v>
      </c>
    </row>
    <row r="90" spans="1:9" x14ac:dyDescent="0.2">
      <c r="A90" t="s">
        <v>164</v>
      </c>
      <c r="B90" t="s">
        <v>188</v>
      </c>
      <c r="C90" t="s">
        <v>32</v>
      </c>
      <c r="D90" t="s">
        <v>33</v>
      </c>
      <c r="E90">
        <v>13016.36</v>
      </c>
      <c r="F90">
        <v>1126.47</v>
      </c>
      <c r="G90">
        <v>1126.47</v>
      </c>
      <c r="H90">
        <v>15269.3</v>
      </c>
      <c r="I90" t="s">
        <v>610</v>
      </c>
    </row>
    <row r="91" spans="1:9" x14ac:dyDescent="0.2">
      <c r="A91" t="s">
        <v>166</v>
      </c>
      <c r="B91" t="s">
        <v>287</v>
      </c>
      <c r="C91" t="s">
        <v>32</v>
      </c>
      <c r="D91" t="s">
        <v>33</v>
      </c>
      <c r="E91">
        <v>35902.18</v>
      </c>
      <c r="F91">
        <v>3186.2</v>
      </c>
      <c r="G91">
        <v>3186.2</v>
      </c>
      <c r="H91">
        <v>42274.58</v>
      </c>
      <c r="I91" t="s">
        <v>610</v>
      </c>
    </row>
    <row r="92" spans="1:9" x14ac:dyDescent="0.2">
      <c r="A92" t="s">
        <v>167</v>
      </c>
      <c r="B92" t="s">
        <v>87</v>
      </c>
      <c r="C92" t="s">
        <v>24</v>
      </c>
      <c r="D92" t="s">
        <v>25</v>
      </c>
      <c r="E92">
        <v>5819.84</v>
      </c>
      <c r="F92">
        <v>478.79</v>
      </c>
      <c r="G92">
        <v>478.79</v>
      </c>
      <c r="H92">
        <v>6777.42</v>
      </c>
      <c r="I92" t="s">
        <v>610</v>
      </c>
    </row>
    <row r="93" spans="1:9" x14ac:dyDescent="0.2">
      <c r="A93" t="s">
        <v>169</v>
      </c>
      <c r="B93" t="s">
        <v>168</v>
      </c>
      <c r="C93" t="s">
        <v>24</v>
      </c>
      <c r="D93" t="s">
        <v>25</v>
      </c>
      <c r="E93">
        <v>42311.94</v>
      </c>
      <c r="F93">
        <v>3763.07</v>
      </c>
      <c r="G93">
        <v>3763.07</v>
      </c>
      <c r="H93">
        <v>49838.080000000002</v>
      </c>
      <c r="I93" t="s">
        <v>610</v>
      </c>
    </row>
    <row r="94" spans="1:9" x14ac:dyDescent="0.2">
      <c r="A94" t="s">
        <v>171</v>
      </c>
      <c r="B94" t="s">
        <v>42</v>
      </c>
      <c r="C94" t="s">
        <v>32</v>
      </c>
      <c r="D94" t="s">
        <v>33</v>
      </c>
      <c r="E94">
        <v>29178.61</v>
      </c>
      <c r="F94">
        <v>2581.0700000000002</v>
      </c>
      <c r="G94">
        <v>2581.0700000000002</v>
      </c>
      <c r="H94">
        <v>34340.75</v>
      </c>
      <c r="I94" t="s">
        <v>610</v>
      </c>
    </row>
    <row r="95" spans="1:9" x14ac:dyDescent="0.2">
      <c r="A95" t="s">
        <v>173</v>
      </c>
      <c r="B95" t="s">
        <v>313</v>
      </c>
      <c r="C95" t="s">
        <v>16</v>
      </c>
      <c r="D95" t="s">
        <v>17</v>
      </c>
      <c r="E95">
        <v>13770.99</v>
      </c>
      <c r="F95">
        <v>1194.3900000000001</v>
      </c>
      <c r="G95">
        <v>1194.3900000000001</v>
      </c>
      <c r="H95">
        <v>16159.77</v>
      </c>
      <c r="I95" t="s">
        <v>610</v>
      </c>
    </row>
    <row r="96" spans="1:9" x14ac:dyDescent="0.2">
      <c r="A96" t="s">
        <v>175</v>
      </c>
      <c r="B96" t="s">
        <v>155</v>
      </c>
      <c r="C96" t="s">
        <v>24</v>
      </c>
      <c r="D96" t="s">
        <v>25</v>
      </c>
      <c r="E96">
        <v>34621.5</v>
      </c>
      <c r="F96">
        <v>3070.93</v>
      </c>
      <c r="G96">
        <v>3070.93</v>
      </c>
      <c r="H96">
        <v>40763.360000000001</v>
      </c>
      <c r="I96" t="s">
        <v>610</v>
      </c>
    </row>
    <row r="97" spans="1:9" x14ac:dyDescent="0.2">
      <c r="A97" t="s">
        <v>177</v>
      </c>
      <c r="B97" t="s">
        <v>56</v>
      </c>
      <c r="C97" t="s">
        <v>20</v>
      </c>
      <c r="D97" t="s">
        <v>21</v>
      </c>
      <c r="E97">
        <v>25330.01</v>
      </c>
      <c r="F97">
        <v>2234.6999999999998</v>
      </c>
      <c r="G97">
        <v>2234.6999999999998</v>
      </c>
      <c r="H97">
        <v>29799.41</v>
      </c>
      <c r="I97" t="s">
        <v>610</v>
      </c>
    </row>
    <row r="98" spans="1:9" x14ac:dyDescent="0.2">
      <c r="A98" t="s">
        <v>178</v>
      </c>
      <c r="B98" t="s">
        <v>260</v>
      </c>
      <c r="C98" t="s">
        <v>16</v>
      </c>
      <c r="D98" t="s">
        <v>17</v>
      </c>
      <c r="E98">
        <v>5405.65</v>
      </c>
      <c r="F98">
        <v>441.51</v>
      </c>
      <c r="G98">
        <v>441.51</v>
      </c>
      <c r="H98">
        <v>6288.67</v>
      </c>
      <c r="I98" t="s">
        <v>610</v>
      </c>
    </row>
    <row r="99" spans="1:9" x14ac:dyDescent="0.2">
      <c r="A99" t="s">
        <v>179</v>
      </c>
      <c r="B99" t="s">
        <v>212</v>
      </c>
      <c r="C99" t="s">
        <v>11</v>
      </c>
      <c r="D99" t="s">
        <v>12</v>
      </c>
      <c r="E99">
        <v>21656.65</v>
      </c>
      <c r="F99">
        <v>1904.1</v>
      </c>
      <c r="G99">
        <v>1904.1</v>
      </c>
      <c r="H99">
        <v>25464.85</v>
      </c>
      <c r="I99" t="s">
        <v>610</v>
      </c>
    </row>
    <row r="100" spans="1:9" x14ac:dyDescent="0.2">
      <c r="A100" t="s">
        <v>180</v>
      </c>
      <c r="B100" t="s">
        <v>36</v>
      </c>
      <c r="C100" t="s">
        <v>16</v>
      </c>
      <c r="D100" t="s">
        <v>17</v>
      </c>
      <c r="E100">
        <v>30828.93</v>
      </c>
      <c r="F100">
        <v>2729.6</v>
      </c>
      <c r="G100">
        <v>2729.6</v>
      </c>
      <c r="H100">
        <v>36288.129999999997</v>
      </c>
      <c r="I100" t="s">
        <v>610</v>
      </c>
    </row>
    <row r="101" spans="1:9" x14ac:dyDescent="0.2">
      <c r="A101" t="s">
        <v>181</v>
      </c>
      <c r="B101" t="s">
        <v>105</v>
      </c>
      <c r="C101" t="s">
        <v>20</v>
      </c>
      <c r="D101" t="s">
        <v>21</v>
      </c>
      <c r="E101">
        <v>38504.42</v>
      </c>
      <c r="F101">
        <v>3420.4</v>
      </c>
      <c r="G101">
        <v>3420.4</v>
      </c>
      <c r="H101">
        <v>45345.22</v>
      </c>
      <c r="I101" t="s">
        <v>610</v>
      </c>
    </row>
    <row r="102" spans="1:9" x14ac:dyDescent="0.2">
      <c r="A102" t="s">
        <v>612</v>
      </c>
      <c r="B102" t="s">
        <v>185</v>
      </c>
      <c r="C102" t="s">
        <v>20</v>
      </c>
      <c r="D102" t="s">
        <v>21</v>
      </c>
      <c r="E102">
        <v>36825.68</v>
      </c>
      <c r="F102">
        <v>3314.31</v>
      </c>
      <c r="G102">
        <v>3314.31</v>
      </c>
      <c r="H102">
        <v>43454.3</v>
      </c>
      <c r="I102" t="s">
        <v>610</v>
      </c>
    </row>
    <row r="103" spans="1:9" x14ac:dyDescent="0.2">
      <c r="A103" t="s">
        <v>613</v>
      </c>
      <c r="B103" t="s">
        <v>97</v>
      </c>
      <c r="C103" t="s">
        <v>24</v>
      </c>
      <c r="D103" t="s">
        <v>25</v>
      </c>
      <c r="E103">
        <v>15065.88</v>
      </c>
      <c r="F103">
        <v>1355.93</v>
      </c>
      <c r="G103">
        <v>1355.93</v>
      </c>
      <c r="H103">
        <v>17777.740000000002</v>
      </c>
      <c r="I103" t="s">
        <v>610</v>
      </c>
    </row>
    <row r="104" spans="1:9" x14ac:dyDescent="0.2">
      <c r="A104" t="s">
        <v>614</v>
      </c>
      <c r="B104" t="s">
        <v>116</v>
      </c>
      <c r="C104" t="s">
        <v>32</v>
      </c>
      <c r="D104" t="s">
        <v>33</v>
      </c>
      <c r="E104">
        <v>42773.31</v>
      </c>
      <c r="F104">
        <v>3849.6</v>
      </c>
      <c r="G104">
        <v>3849.6</v>
      </c>
      <c r="H104">
        <v>50472.51</v>
      </c>
      <c r="I104" t="s">
        <v>610</v>
      </c>
    </row>
    <row r="105" spans="1:9" x14ac:dyDescent="0.2">
      <c r="A105" t="s">
        <v>615</v>
      </c>
      <c r="B105" t="s">
        <v>31</v>
      </c>
      <c r="C105" t="s">
        <v>20</v>
      </c>
      <c r="D105" t="s">
        <v>21</v>
      </c>
      <c r="E105">
        <v>30212.080000000002</v>
      </c>
      <c r="F105">
        <v>2719.09</v>
      </c>
      <c r="G105">
        <v>2719.09</v>
      </c>
      <c r="H105">
        <v>35650.26</v>
      </c>
      <c r="I105" t="s">
        <v>610</v>
      </c>
    </row>
    <row r="106" spans="1:9" x14ac:dyDescent="0.2">
      <c r="A106" t="s">
        <v>616</v>
      </c>
      <c r="B106" t="s">
        <v>97</v>
      </c>
      <c r="C106" t="s">
        <v>20</v>
      </c>
      <c r="D106" t="s">
        <v>21</v>
      </c>
      <c r="E106">
        <v>19980.62</v>
      </c>
      <c r="F106">
        <v>1798.26</v>
      </c>
      <c r="G106">
        <v>1798.26</v>
      </c>
      <c r="H106">
        <v>23577.14</v>
      </c>
      <c r="I106" t="s">
        <v>610</v>
      </c>
    </row>
    <row r="107" spans="1:9" x14ac:dyDescent="0.2">
      <c r="A107" t="s">
        <v>617</v>
      </c>
      <c r="B107" t="s">
        <v>68</v>
      </c>
      <c r="C107" t="s">
        <v>11</v>
      </c>
      <c r="D107" t="s">
        <v>12</v>
      </c>
      <c r="E107">
        <v>21543.200000000001</v>
      </c>
      <c r="F107">
        <v>1938.89</v>
      </c>
      <c r="G107">
        <v>1938.89</v>
      </c>
      <c r="H107">
        <v>25420.98</v>
      </c>
      <c r="I107" t="s">
        <v>610</v>
      </c>
    </row>
    <row r="108" spans="1:9" x14ac:dyDescent="0.2">
      <c r="A108" t="s">
        <v>618</v>
      </c>
      <c r="B108" t="s">
        <v>192</v>
      </c>
      <c r="C108" t="s">
        <v>24</v>
      </c>
      <c r="D108" t="s">
        <v>25</v>
      </c>
      <c r="E108">
        <v>3746.92</v>
      </c>
      <c r="F108">
        <v>337.22</v>
      </c>
      <c r="G108">
        <v>337.22</v>
      </c>
      <c r="H108">
        <v>4421.3599999999997</v>
      </c>
      <c r="I108" t="s">
        <v>610</v>
      </c>
    </row>
    <row r="109" spans="1:9" x14ac:dyDescent="0.2">
      <c r="A109" t="s">
        <v>619</v>
      </c>
      <c r="B109" t="s">
        <v>23</v>
      </c>
      <c r="C109" t="s">
        <v>16</v>
      </c>
      <c r="D109" t="s">
        <v>17</v>
      </c>
      <c r="E109">
        <v>8386.4599999999991</v>
      </c>
      <c r="F109">
        <v>754.78</v>
      </c>
      <c r="G109">
        <v>754.78</v>
      </c>
      <c r="H109">
        <v>9896.02</v>
      </c>
      <c r="I109" t="s">
        <v>610</v>
      </c>
    </row>
    <row r="110" spans="1:9" x14ac:dyDescent="0.2">
      <c r="A110" t="s">
        <v>620</v>
      </c>
      <c r="B110" t="s">
        <v>109</v>
      </c>
      <c r="C110" t="s">
        <v>20</v>
      </c>
      <c r="D110" t="s">
        <v>21</v>
      </c>
      <c r="E110">
        <v>39882.120000000003</v>
      </c>
      <c r="F110">
        <v>3589.39</v>
      </c>
      <c r="G110">
        <v>3589.39</v>
      </c>
      <c r="H110">
        <v>47060.9</v>
      </c>
      <c r="I110" t="s">
        <v>610</v>
      </c>
    </row>
    <row r="111" spans="1:9" x14ac:dyDescent="0.2">
      <c r="A111" t="s">
        <v>621</v>
      </c>
      <c r="B111" t="s">
        <v>195</v>
      </c>
      <c r="C111" t="s">
        <v>16</v>
      </c>
      <c r="D111" t="s">
        <v>17</v>
      </c>
      <c r="E111">
        <v>25419.16</v>
      </c>
      <c r="F111">
        <v>2287.7199999999998</v>
      </c>
      <c r="G111">
        <v>2287.7199999999998</v>
      </c>
      <c r="H111">
        <v>29994.6</v>
      </c>
      <c r="I111" t="s">
        <v>610</v>
      </c>
    </row>
    <row r="112" spans="1:9" x14ac:dyDescent="0.2">
      <c r="A112" t="s">
        <v>622</v>
      </c>
      <c r="B112" t="s">
        <v>292</v>
      </c>
      <c r="C112" t="s">
        <v>16</v>
      </c>
      <c r="D112" t="s">
        <v>17</v>
      </c>
      <c r="E112">
        <v>29712.32</v>
      </c>
      <c r="F112">
        <v>2674.11</v>
      </c>
      <c r="G112">
        <v>2674.11</v>
      </c>
      <c r="H112">
        <v>35060.54</v>
      </c>
      <c r="I112" t="s">
        <v>610</v>
      </c>
    </row>
    <row r="113" spans="1:9" x14ac:dyDescent="0.2">
      <c r="A113" t="s">
        <v>623</v>
      </c>
      <c r="B113" t="s">
        <v>45</v>
      </c>
      <c r="C113" t="s">
        <v>16</v>
      </c>
      <c r="D113" t="s">
        <v>17</v>
      </c>
      <c r="E113">
        <v>49054.47</v>
      </c>
      <c r="F113">
        <v>4414.8999999999996</v>
      </c>
      <c r="G113">
        <v>4414.8999999999996</v>
      </c>
      <c r="H113">
        <v>57884.27</v>
      </c>
      <c r="I113" t="s">
        <v>610</v>
      </c>
    </row>
    <row r="114" spans="1:9" x14ac:dyDescent="0.2">
      <c r="A114" t="s">
        <v>624</v>
      </c>
      <c r="B114" t="s">
        <v>63</v>
      </c>
      <c r="C114" t="s">
        <v>20</v>
      </c>
      <c r="D114" t="s">
        <v>21</v>
      </c>
      <c r="E114">
        <v>18313.53</v>
      </c>
      <c r="F114">
        <v>1648.22</v>
      </c>
      <c r="G114">
        <v>1648.22</v>
      </c>
      <c r="H114">
        <v>21609.97</v>
      </c>
      <c r="I114" t="s">
        <v>610</v>
      </c>
    </row>
    <row r="115" spans="1:9" x14ac:dyDescent="0.2">
      <c r="A115" t="s">
        <v>625</v>
      </c>
      <c r="B115" t="s">
        <v>51</v>
      </c>
      <c r="C115" t="s">
        <v>20</v>
      </c>
      <c r="D115" t="s">
        <v>21</v>
      </c>
      <c r="E115">
        <v>48566.15</v>
      </c>
      <c r="F115">
        <v>4370.95</v>
      </c>
      <c r="G115">
        <v>4370.95</v>
      </c>
      <c r="H115">
        <v>57308.05</v>
      </c>
      <c r="I115" t="s">
        <v>610</v>
      </c>
    </row>
    <row r="116" spans="1:9" x14ac:dyDescent="0.2">
      <c r="A116" t="s">
        <v>626</v>
      </c>
      <c r="B116" t="s">
        <v>83</v>
      </c>
      <c r="C116" t="s">
        <v>11</v>
      </c>
      <c r="D116" t="s">
        <v>12</v>
      </c>
      <c r="E116">
        <v>29518.77</v>
      </c>
      <c r="F116">
        <v>2656.69</v>
      </c>
      <c r="G116">
        <v>2656.69</v>
      </c>
      <c r="H116">
        <v>34832.15</v>
      </c>
      <c r="I116" t="s">
        <v>610</v>
      </c>
    </row>
    <row r="117" spans="1:9" x14ac:dyDescent="0.2">
      <c r="A117" t="s">
        <v>627</v>
      </c>
      <c r="B117" t="s">
        <v>188</v>
      </c>
      <c r="C117" t="s">
        <v>32</v>
      </c>
      <c r="D117" t="s">
        <v>33</v>
      </c>
      <c r="E117">
        <v>22580.25</v>
      </c>
      <c r="F117">
        <v>2032.22</v>
      </c>
      <c r="G117">
        <v>2032.22</v>
      </c>
      <c r="H117">
        <v>26644.69</v>
      </c>
      <c r="I117" t="s">
        <v>610</v>
      </c>
    </row>
    <row r="118" spans="1:9" x14ac:dyDescent="0.2">
      <c r="A118" t="s">
        <v>628</v>
      </c>
      <c r="B118" t="s">
        <v>93</v>
      </c>
      <c r="C118" t="s">
        <v>32</v>
      </c>
      <c r="D118" t="s">
        <v>33</v>
      </c>
      <c r="E118">
        <v>9984.3700000000008</v>
      </c>
      <c r="F118">
        <v>898.59</v>
      </c>
      <c r="G118">
        <v>898.59</v>
      </c>
      <c r="H118">
        <v>11781.55</v>
      </c>
      <c r="I118" t="s">
        <v>610</v>
      </c>
    </row>
    <row r="119" spans="1:9" x14ac:dyDescent="0.2">
      <c r="A119" t="s">
        <v>629</v>
      </c>
      <c r="B119" t="s">
        <v>27</v>
      </c>
      <c r="C119" t="s">
        <v>32</v>
      </c>
      <c r="D119" t="s">
        <v>33</v>
      </c>
      <c r="E119">
        <v>17475.330000000002</v>
      </c>
      <c r="F119">
        <v>1572.78</v>
      </c>
      <c r="G119">
        <v>1572.78</v>
      </c>
      <c r="H119">
        <v>20620.89</v>
      </c>
      <c r="I119" t="s">
        <v>610</v>
      </c>
    </row>
    <row r="120" spans="1:9" x14ac:dyDescent="0.2">
      <c r="A120" t="s">
        <v>630</v>
      </c>
      <c r="B120" t="s">
        <v>56</v>
      </c>
      <c r="C120" t="s">
        <v>11</v>
      </c>
      <c r="D120" t="s">
        <v>12</v>
      </c>
      <c r="E120">
        <v>16190</v>
      </c>
      <c r="F120">
        <v>1457.1</v>
      </c>
      <c r="G120">
        <v>1457.1</v>
      </c>
      <c r="H120">
        <v>19104.2</v>
      </c>
      <c r="I120" t="s">
        <v>610</v>
      </c>
    </row>
    <row r="121" spans="1:9" x14ac:dyDescent="0.2">
      <c r="A121" t="s">
        <v>631</v>
      </c>
      <c r="B121" t="s">
        <v>81</v>
      </c>
      <c r="C121" t="s">
        <v>11</v>
      </c>
      <c r="D121" t="s">
        <v>12</v>
      </c>
      <c r="E121">
        <v>26827.5</v>
      </c>
      <c r="F121">
        <v>2414.4699999999998</v>
      </c>
      <c r="G121">
        <v>2414.4699999999998</v>
      </c>
      <c r="H121">
        <v>31656.44</v>
      </c>
      <c r="I121" t="s">
        <v>610</v>
      </c>
    </row>
    <row r="122" spans="1:9" x14ac:dyDescent="0.2">
      <c r="A122" t="s">
        <v>632</v>
      </c>
      <c r="B122" t="s">
        <v>95</v>
      </c>
      <c r="C122" t="s">
        <v>16</v>
      </c>
      <c r="D122" t="s">
        <v>17</v>
      </c>
      <c r="E122">
        <v>4594.42</v>
      </c>
      <c r="F122">
        <v>413.5</v>
      </c>
      <c r="G122">
        <v>413.5</v>
      </c>
      <c r="H122">
        <v>5421.42</v>
      </c>
      <c r="I122" t="s">
        <v>610</v>
      </c>
    </row>
    <row r="123" spans="1:9" x14ac:dyDescent="0.2">
      <c r="A123" t="s">
        <v>633</v>
      </c>
      <c r="B123" t="s">
        <v>201</v>
      </c>
      <c r="C123" t="s">
        <v>11</v>
      </c>
      <c r="D123" t="s">
        <v>12</v>
      </c>
      <c r="E123">
        <v>31465.55</v>
      </c>
      <c r="F123">
        <v>2831.9</v>
      </c>
      <c r="G123">
        <v>2831.9</v>
      </c>
      <c r="H123">
        <v>37129.35</v>
      </c>
      <c r="I123" t="s">
        <v>610</v>
      </c>
    </row>
    <row r="124" spans="1:9" x14ac:dyDescent="0.2">
      <c r="A124" t="s">
        <v>634</v>
      </c>
      <c r="B124" t="s">
        <v>29</v>
      </c>
      <c r="C124" t="s">
        <v>24</v>
      </c>
      <c r="D124" t="s">
        <v>25</v>
      </c>
      <c r="E124">
        <v>13385.81</v>
      </c>
      <c r="F124">
        <v>1204.72</v>
      </c>
      <c r="G124">
        <v>1204.72</v>
      </c>
      <c r="H124">
        <v>15795.25</v>
      </c>
      <c r="I124" t="s">
        <v>610</v>
      </c>
    </row>
    <row r="125" spans="1:9" x14ac:dyDescent="0.2">
      <c r="A125" t="s">
        <v>635</v>
      </c>
      <c r="B125" t="s">
        <v>234</v>
      </c>
      <c r="C125" t="s">
        <v>24</v>
      </c>
      <c r="D125" t="s">
        <v>25</v>
      </c>
      <c r="E125">
        <v>19122.62</v>
      </c>
      <c r="F125">
        <v>1721.04</v>
      </c>
      <c r="G125">
        <v>1721.04</v>
      </c>
      <c r="H125">
        <v>22564.7</v>
      </c>
      <c r="I125" t="s">
        <v>610</v>
      </c>
    </row>
    <row r="126" spans="1:9" x14ac:dyDescent="0.2">
      <c r="A126" t="s">
        <v>636</v>
      </c>
      <c r="B126" t="s">
        <v>185</v>
      </c>
      <c r="C126" t="s">
        <v>16</v>
      </c>
      <c r="D126" t="s">
        <v>17</v>
      </c>
      <c r="E126">
        <v>19472.46</v>
      </c>
      <c r="F126">
        <v>1752.52</v>
      </c>
      <c r="G126">
        <v>1752.52</v>
      </c>
      <c r="H126">
        <v>22977.5</v>
      </c>
      <c r="I126" t="s">
        <v>610</v>
      </c>
    </row>
    <row r="127" spans="1:9" x14ac:dyDescent="0.2">
      <c r="A127" t="s">
        <v>637</v>
      </c>
      <c r="B127" t="s">
        <v>176</v>
      </c>
      <c r="C127" t="s">
        <v>16</v>
      </c>
      <c r="D127" t="s">
        <v>17</v>
      </c>
      <c r="E127">
        <v>1214.02</v>
      </c>
      <c r="F127">
        <v>109.26</v>
      </c>
      <c r="G127">
        <v>109.26</v>
      </c>
      <c r="H127">
        <v>1432.54</v>
      </c>
      <c r="I127" t="s">
        <v>610</v>
      </c>
    </row>
    <row r="128" spans="1:9" x14ac:dyDescent="0.2">
      <c r="A128" t="s">
        <v>638</v>
      </c>
      <c r="B128" t="s">
        <v>77</v>
      </c>
      <c r="C128" t="s">
        <v>20</v>
      </c>
      <c r="D128" t="s">
        <v>21</v>
      </c>
      <c r="E128">
        <v>33733.1</v>
      </c>
      <c r="F128">
        <v>3035.98</v>
      </c>
      <c r="G128">
        <v>3035.98</v>
      </c>
      <c r="H128">
        <v>39805.06</v>
      </c>
      <c r="I128" t="s">
        <v>610</v>
      </c>
    </row>
    <row r="129" spans="1:9" x14ac:dyDescent="0.2">
      <c r="A129" t="s">
        <v>639</v>
      </c>
      <c r="B129" t="s">
        <v>40</v>
      </c>
      <c r="C129" t="s">
        <v>20</v>
      </c>
      <c r="D129" t="s">
        <v>21</v>
      </c>
      <c r="E129">
        <v>6139.51</v>
      </c>
      <c r="F129">
        <v>552.55999999999995</v>
      </c>
      <c r="G129">
        <v>552.55999999999995</v>
      </c>
      <c r="H129">
        <v>7244.63</v>
      </c>
      <c r="I129" t="s">
        <v>610</v>
      </c>
    </row>
    <row r="130" spans="1:9" x14ac:dyDescent="0.2">
      <c r="A130" t="s">
        <v>640</v>
      </c>
      <c r="B130" t="s">
        <v>105</v>
      </c>
      <c r="C130" t="s">
        <v>20</v>
      </c>
      <c r="D130" t="s">
        <v>21</v>
      </c>
      <c r="E130">
        <v>15810.46</v>
      </c>
      <c r="F130">
        <v>1422.94</v>
      </c>
      <c r="G130">
        <v>1422.94</v>
      </c>
      <c r="H130">
        <v>18656.34</v>
      </c>
      <c r="I130" t="s">
        <v>610</v>
      </c>
    </row>
    <row r="131" spans="1:9" x14ac:dyDescent="0.2">
      <c r="A131" t="s">
        <v>641</v>
      </c>
      <c r="B131" t="s">
        <v>338</v>
      </c>
      <c r="C131" t="s">
        <v>16</v>
      </c>
      <c r="D131" t="s">
        <v>17</v>
      </c>
      <c r="E131">
        <v>36168.879999999997</v>
      </c>
      <c r="F131">
        <v>3255.2</v>
      </c>
      <c r="G131">
        <v>3255.2</v>
      </c>
      <c r="H131">
        <v>42679.28</v>
      </c>
      <c r="I131" t="s">
        <v>610</v>
      </c>
    </row>
    <row r="132" spans="1:9" x14ac:dyDescent="0.2">
      <c r="A132" t="s">
        <v>642</v>
      </c>
      <c r="B132" t="s">
        <v>140</v>
      </c>
      <c r="C132" t="s">
        <v>16</v>
      </c>
      <c r="D132" t="s">
        <v>17</v>
      </c>
      <c r="E132">
        <v>48360.52</v>
      </c>
      <c r="F132">
        <v>4352.45</v>
      </c>
      <c r="G132">
        <v>4352.45</v>
      </c>
      <c r="H132">
        <v>57065.42</v>
      </c>
      <c r="I132" t="s">
        <v>610</v>
      </c>
    </row>
    <row r="133" spans="1:9" x14ac:dyDescent="0.2">
      <c r="A133" t="s">
        <v>643</v>
      </c>
      <c r="B133" t="s">
        <v>152</v>
      </c>
      <c r="C133" t="s">
        <v>16</v>
      </c>
      <c r="D133" t="s">
        <v>17</v>
      </c>
      <c r="E133">
        <v>47563.16</v>
      </c>
      <c r="F133">
        <v>4280.68</v>
      </c>
      <c r="G133">
        <v>4280.68</v>
      </c>
      <c r="H133">
        <v>56124.52</v>
      </c>
      <c r="I133" t="s">
        <v>610</v>
      </c>
    </row>
    <row r="134" spans="1:9" x14ac:dyDescent="0.2">
      <c r="A134" t="s">
        <v>644</v>
      </c>
      <c r="B134" t="s">
        <v>168</v>
      </c>
      <c r="C134" t="s">
        <v>16</v>
      </c>
      <c r="D134" t="s">
        <v>17</v>
      </c>
      <c r="E134">
        <v>42801.27</v>
      </c>
      <c r="F134">
        <v>3852.11</v>
      </c>
      <c r="G134">
        <v>3852.11</v>
      </c>
      <c r="H134">
        <v>50505.49</v>
      </c>
      <c r="I134" t="s">
        <v>610</v>
      </c>
    </row>
    <row r="135" spans="1:9" x14ac:dyDescent="0.2">
      <c r="A135" t="s">
        <v>645</v>
      </c>
      <c r="B135" t="s">
        <v>31</v>
      </c>
      <c r="C135" t="s">
        <v>11</v>
      </c>
      <c r="D135" t="s">
        <v>12</v>
      </c>
      <c r="E135">
        <v>22189.26</v>
      </c>
      <c r="F135">
        <v>1997.03</v>
      </c>
      <c r="G135">
        <v>1997.03</v>
      </c>
      <c r="H135">
        <v>26183.32</v>
      </c>
      <c r="I135" t="s">
        <v>610</v>
      </c>
    </row>
    <row r="136" spans="1:9" x14ac:dyDescent="0.2">
      <c r="A136" t="s">
        <v>646</v>
      </c>
      <c r="B136" t="s">
        <v>114</v>
      </c>
      <c r="C136" t="s">
        <v>20</v>
      </c>
      <c r="D136" t="s">
        <v>21</v>
      </c>
      <c r="E136">
        <v>8224.9699999999993</v>
      </c>
      <c r="F136">
        <v>740.25</v>
      </c>
      <c r="G136">
        <v>740.25</v>
      </c>
      <c r="H136">
        <v>9705.4699999999993</v>
      </c>
      <c r="I136" t="s">
        <v>610</v>
      </c>
    </row>
    <row r="137" spans="1:9" x14ac:dyDescent="0.2">
      <c r="A137" t="s">
        <v>647</v>
      </c>
      <c r="B137" t="s">
        <v>278</v>
      </c>
      <c r="C137" t="s">
        <v>24</v>
      </c>
      <c r="D137" t="s">
        <v>25</v>
      </c>
      <c r="E137">
        <v>43804.27</v>
      </c>
      <c r="F137">
        <v>3942.38</v>
      </c>
      <c r="G137">
        <v>3942.38</v>
      </c>
      <c r="H137">
        <v>51689.03</v>
      </c>
      <c r="I137" t="s">
        <v>610</v>
      </c>
    </row>
    <row r="138" spans="1:9" x14ac:dyDescent="0.2">
      <c r="A138" t="s">
        <v>648</v>
      </c>
      <c r="B138" t="s">
        <v>23</v>
      </c>
      <c r="C138" t="s">
        <v>32</v>
      </c>
      <c r="D138" t="s">
        <v>33</v>
      </c>
      <c r="E138">
        <v>18667.849999999999</v>
      </c>
      <c r="F138">
        <v>1680.11</v>
      </c>
      <c r="G138">
        <v>1680.11</v>
      </c>
      <c r="H138">
        <v>22028.07</v>
      </c>
      <c r="I138" t="s">
        <v>610</v>
      </c>
    </row>
    <row r="139" spans="1:9" x14ac:dyDescent="0.2">
      <c r="A139" t="s">
        <v>649</v>
      </c>
      <c r="B139" t="s">
        <v>212</v>
      </c>
      <c r="C139" t="s">
        <v>16</v>
      </c>
      <c r="D139" t="s">
        <v>17</v>
      </c>
      <c r="E139">
        <v>23572.92</v>
      </c>
      <c r="F139">
        <v>2121.56</v>
      </c>
      <c r="G139">
        <v>2121.56</v>
      </c>
      <c r="H139">
        <v>27816.04</v>
      </c>
      <c r="I139" t="s">
        <v>610</v>
      </c>
    </row>
    <row r="140" spans="1:9" x14ac:dyDescent="0.2">
      <c r="A140" t="s">
        <v>650</v>
      </c>
      <c r="B140" t="s">
        <v>155</v>
      </c>
      <c r="C140" t="s">
        <v>16</v>
      </c>
      <c r="D140" t="s">
        <v>17</v>
      </c>
      <c r="E140">
        <v>46820.74</v>
      </c>
      <c r="F140">
        <v>4213.87</v>
      </c>
      <c r="G140">
        <v>4213.87</v>
      </c>
      <c r="H140">
        <v>55248.480000000003</v>
      </c>
      <c r="I140" t="s">
        <v>610</v>
      </c>
    </row>
    <row r="141" spans="1:9" x14ac:dyDescent="0.2">
      <c r="A141" t="s">
        <v>651</v>
      </c>
      <c r="B141" t="s">
        <v>31</v>
      </c>
      <c r="C141" t="s">
        <v>16</v>
      </c>
      <c r="D141" t="s">
        <v>17</v>
      </c>
      <c r="E141">
        <v>7124.51</v>
      </c>
      <c r="F141">
        <v>641.21</v>
      </c>
      <c r="G141">
        <v>641.21</v>
      </c>
      <c r="H141">
        <v>8406.93</v>
      </c>
      <c r="I141" t="s">
        <v>610</v>
      </c>
    </row>
    <row r="142" spans="1:9" x14ac:dyDescent="0.2">
      <c r="A142" t="s">
        <v>652</v>
      </c>
      <c r="B142" t="s">
        <v>19</v>
      </c>
      <c r="C142" t="s">
        <v>24</v>
      </c>
      <c r="D142" t="s">
        <v>25</v>
      </c>
      <c r="E142">
        <v>45741.64</v>
      </c>
      <c r="F142">
        <v>4116.75</v>
      </c>
      <c r="G142">
        <v>4116.75</v>
      </c>
      <c r="H142">
        <v>53975.14</v>
      </c>
      <c r="I142" t="s">
        <v>610</v>
      </c>
    </row>
    <row r="143" spans="1:9" x14ac:dyDescent="0.2">
      <c r="A143" t="s">
        <v>653</v>
      </c>
      <c r="B143" t="s">
        <v>390</v>
      </c>
      <c r="C143" t="s">
        <v>24</v>
      </c>
      <c r="D143" t="s">
        <v>25</v>
      </c>
      <c r="E143">
        <v>36551.599999999999</v>
      </c>
      <c r="F143">
        <v>3289.64</v>
      </c>
      <c r="G143">
        <v>3289.64</v>
      </c>
      <c r="H143">
        <v>43130.879999999997</v>
      </c>
      <c r="I143" t="s">
        <v>610</v>
      </c>
    </row>
    <row r="144" spans="1:9" x14ac:dyDescent="0.2">
      <c r="A144" t="s">
        <v>654</v>
      </c>
      <c r="B144" t="s">
        <v>292</v>
      </c>
      <c r="C144" t="s">
        <v>20</v>
      </c>
      <c r="D144" t="s">
        <v>21</v>
      </c>
      <c r="E144">
        <v>41195.730000000003</v>
      </c>
      <c r="F144">
        <v>3707.62</v>
      </c>
      <c r="G144">
        <v>3707.62</v>
      </c>
      <c r="H144">
        <v>48610.97</v>
      </c>
      <c r="I144" t="s">
        <v>610</v>
      </c>
    </row>
    <row r="145" spans="1:9" x14ac:dyDescent="0.2">
      <c r="A145" t="s">
        <v>655</v>
      </c>
      <c r="B145" t="s">
        <v>260</v>
      </c>
      <c r="C145" t="s">
        <v>32</v>
      </c>
      <c r="D145" t="s">
        <v>33</v>
      </c>
      <c r="E145">
        <v>44246.48</v>
      </c>
      <c r="F145">
        <v>3982.18</v>
      </c>
      <c r="G145">
        <v>3982.18</v>
      </c>
      <c r="H145">
        <v>52210.84</v>
      </c>
      <c r="I145" t="s">
        <v>610</v>
      </c>
    </row>
    <row r="146" spans="1:9" x14ac:dyDescent="0.2">
      <c r="A146" t="s">
        <v>656</v>
      </c>
      <c r="B146" t="s">
        <v>49</v>
      </c>
      <c r="C146" t="s">
        <v>32</v>
      </c>
      <c r="D146" t="s">
        <v>33</v>
      </c>
      <c r="E146">
        <v>19097.75</v>
      </c>
      <c r="F146">
        <v>1718.8</v>
      </c>
      <c r="G146">
        <v>1718.8</v>
      </c>
      <c r="H146">
        <v>22535.35</v>
      </c>
      <c r="I146" t="s">
        <v>610</v>
      </c>
    </row>
    <row r="147" spans="1:9" x14ac:dyDescent="0.2">
      <c r="A147" t="s">
        <v>657</v>
      </c>
      <c r="B147" t="s">
        <v>268</v>
      </c>
      <c r="C147" t="s">
        <v>20</v>
      </c>
      <c r="D147" t="s">
        <v>21</v>
      </c>
      <c r="E147">
        <v>46040.37</v>
      </c>
      <c r="F147">
        <v>4143.63</v>
      </c>
      <c r="G147">
        <v>4143.63</v>
      </c>
      <c r="H147">
        <v>54327.63</v>
      </c>
      <c r="I147" t="s">
        <v>610</v>
      </c>
    </row>
    <row r="148" spans="1:9" x14ac:dyDescent="0.2">
      <c r="A148" t="s">
        <v>658</v>
      </c>
      <c r="B148" t="s">
        <v>107</v>
      </c>
      <c r="C148" t="s">
        <v>24</v>
      </c>
      <c r="D148" t="s">
        <v>25</v>
      </c>
      <c r="E148">
        <v>44999.26</v>
      </c>
      <c r="F148">
        <v>4049.93</v>
      </c>
      <c r="G148">
        <v>4049.93</v>
      </c>
      <c r="H148">
        <v>53099.12</v>
      </c>
      <c r="I148" t="s">
        <v>610</v>
      </c>
    </row>
    <row r="149" spans="1:9" x14ac:dyDescent="0.2">
      <c r="A149" t="s">
        <v>659</v>
      </c>
      <c r="B149" t="s">
        <v>114</v>
      </c>
      <c r="C149" t="s">
        <v>11</v>
      </c>
      <c r="D149" t="s">
        <v>12</v>
      </c>
      <c r="E149">
        <v>44037.79</v>
      </c>
      <c r="F149">
        <v>3963.4</v>
      </c>
      <c r="G149">
        <v>3963.4</v>
      </c>
      <c r="H149">
        <v>51964.59</v>
      </c>
      <c r="I149" t="s">
        <v>610</v>
      </c>
    </row>
    <row r="150" spans="1:9" x14ac:dyDescent="0.2">
      <c r="A150" t="s">
        <v>660</v>
      </c>
      <c r="B150" t="s">
        <v>118</v>
      </c>
      <c r="C150" t="s">
        <v>11</v>
      </c>
      <c r="D150" t="s">
        <v>12</v>
      </c>
      <c r="E150">
        <v>14127.14</v>
      </c>
      <c r="F150">
        <v>1271.44</v>
      </c>
      <c r="G150">
        <v>1271.44</v>
      </c>
      <c r="H150">
        <v>16670.02</v>
      </c>
      <c r="I150" t="s">
        <v>610</v>
      </c>
    </row>
    <row r="151" spans="1:9" x14ac:dyDescent="0.2">
      <c r="A151" t="s">
        <v>661</v>
      </c>
      <c r="B151" t="s">
        <v>114</v>
      </c>
      <c r="C151" t="s">
        <v>32</v>
      </c>
      <c r="D151" t="s">
        <v>33</v>
      </c>
      <c r="E151">
        <v>23887.22</v>
      </c>
      <c r="F151">
        <v>2149.85</v>
      </c>
      <c r="G151">
        <v>2149.85</v>
      </c>
      <c r="H151">
        <v>28186.92</v>
      </c>
      <c r="I151" t="s">
        <v>610</v>
      </c>
    </row>
    <row r="152" spans="1:9" x14ac:dyDescent="0.2">
      <c r="A152" t="s">
        <v>662</v>
      </c>
      <c r="B152" t="s">
        <v>83</v>
      </c>
      <c r="C152" t="s">
        <v>24</v>
      </c>
      <c r="D152" t="s">
        <v>25</v>
      </c>
      <c r="E152">
        <v>47450.03</v>
      </c>
      <c r="F152">
        <v>4270.5</v>
      </c>
      <c r="G152">
        <v>4270.5</v>
      </c>
      <c r="H152">
        <v>55991.03</v>
      </c>
      <c r="I152" t="s">
        <v>610</v>
      </c>
    </row>
    <row r="153" spans="1:9" x14ac:dyDescent="0.2">
      <c r="A153" t="s">
        <v>663</v>
      </c>
      <c r="B153" t="s">
        <v>15</v>
      </c>
      <c r="C153" t="s">
        <v>16</v>
      </c>
      <c r="D153" t="s">
        <v>17</v>
      </c>
      <c r="E153">
        <v>34413.93</v>
      </c>
      <c r="F153">
        <v>3097.25</v>
      </c>
      <c r="G153">
        <v>3097.25</v>
      </c>
      <c r="H153">
        <v>40608.43</v>
      </c>
      <c r="I153" t="s">
        <v>610</v>
      </c>
    </row>
    <row r="154" spans="1:9" x14ac:dyDescent="0.2">
      <c r="A154" t="s">
        <v>664</v>
      </c>
      <c r="B154" t="s">
        <v>112</v>
      </c>
      <c r="C154" t="s">
        <v>32</v>
      </c>
      <c r="D154" t="s">
        <v>33</v>
      </c>
      <c r="E154">
        <v>5267.83</v>
      </c>
      <c r="F154">
        <v>474.1</v>
      </c>
      <c r="G154">
        <v>474.1</v>
      </c>
      <c r="H154">
        <v>6216.03</v>
      </c>
      <c r="I154" t="s">
        <v>610</v>
      </c>
    </row>
    <row r="155" spans="1:9" x14ac:dyDescent="0.2">
      <c r="A155" t="s">
        <v>665</v>
      </c>
      <c r="B155" t="s">
        <v>31</v>
      </c>
      <c r="C155" t="s">
        <v>20</v>
      </c>
      <c r="D155" t="s">
        <v>21</v>
      </c>
      <c r="E155">
        <v>44684.5</v>
      </c>
      <c r="F155">
        <v>4021.61</v>
      </c>
      <c r="G155">
        <v>4021.61</v>
      </c>
      <c r="H155">
        <v>52727.72</v>
      </c>
      <c r="I155" t="s">
        <v>610</v>
      </c>
    </row>
    <row r="156" spans="1:9" x14ac:dyDescent="0.2">
      <c r="A156" t="s">
        <v>666</v>
      </c>
      <c r="B156" t="s">
        <v>238</v>
      </c>
      <c r="C156" t="s">
        <v>24</v>
      </c>
      <c r="D156" t="s">
        <v>25</v>
      </c>
      <c r="E156">
        <v>27509.1</v>
      </c>
      <c r="F156">
        <v>2475.8200000000002</v>
      </c>
      <c r="G156">
        <v>2475.8200000000002</v>
      </c>
      <c r="H156">
        <v>32460.74</v>
      </c>
      <c r="I156" t="s">
        <v>610</v>
      </c>
    </row>
    <row r="157" spans="1:9" x14ac:dyDescent="0.2">
      <c r="A157" t="s">
        <v>667</v>
      </c>
      <c r="B157" t="s">
        <v>215</v>
      </c>
      <c r="C157" t="s">
        <v>11</v>
      </c>
      <c r="D157" t="s">
        <v>12</v>
      </c>
      <c r="E157">
        <v>36849.339999999997</v>
      </c>
      <c r="F157">
        <v>3316.44</v>
      </c>
      <c r="G157">
        <v>3316.44</v>
      </c>
      <c r="H157">
        <v>43482.22</v>
      </c>
      <c r="I157" t="s">
        <v>610</v>
      </c>
    </row>
    <row r="158" spans="1:9" x14ac:dyDescent="0.2">
      <c r="A158" t="s">
        <v>668</v>
      </c>
      <c r="B158" t="s">
        <v>292</v>
      </c>
      <c r="C158" t="s">
        <v>11</v>
      </c>
      <c r="D158" t="s">
        <v>12</v>
      </c>
      <c r="E158">
        <v>10458.790000000001</v>
      </c>
      <c r="F158">
        <v>941.29</v>
      </c>
      <c r="G158">
        <v>941.29</v>
      </c>
      <c r="H158">
        <v>12341.37</v>
      </c>
      <c r="I158" t="s">
        <v>610</v>
      </c>
    </row>
    <row r="159" spans="1:9" x14ac:dyDescent="0.2">
      <c r="A159" t="s">
        <v>669</v>
      </c>
      <c r="B159" t="s">
        <v>390</v>
      </c>
      <c r="C159" t="s">
        <v>32</v>
      </c>
      <c r="D159" t="s">
        <v>33</v>
      </c>
      <c r="E159">
        <v>9039.91</v>
      </c>
      <c r="F159">
        <v>813.59</v>
      </c>
      <c r="G159">
        <v>813.59</v>
      </c>
      <c r="H159">
        <v>10667.09</v>
      </c>
      <c r="I159" t="s">
        <v>610</v>
      </c>
    </row>
    <row r="160" spans="1:9" x14ac:dyDescent="0.2">
      <c r="A160" t="s">
        <v>670</v>
      </c>
      <c r="B160" t="s">
        <v>146</v>
      </c>
      <c r="C160" t="s">
        <v>32</v>
      </c>
      <c r="D160" t="s">
        <v>33</v>
      </c>
      <c r="E160">
        <v>23043.11</v>
      </c>
      <c r="F160">
        <v>2073.88</v>
      </c>
      <c r="G160">
        <v>2073.88</v>
      </c>
      <c r="H160">
        <v>27190.87</v>
      </c>
      <c r="I160" t="s">
        <v>610</v>
      </c>
    </row>
    <row r="161" spans="1:9" x14ac:dyDescent="0.2">
      <c r="A161" t="s">
        <v>671</v>
      </c>
      <c r="B161" t="s">
        <v>75</v>
      </c>
      <c r="C161" t="s">
        <v>16</v>
      </c>
      <c r="D161" t="s">
        <v>17</v>
      </c>
      <c r="E161">
        <v>11153.98</v>
      </c>
      <c r="F161">
        <v>1003.86</v>
      </c>
      <c r="G161">
        <v>1003.86</v>
      </c>
      <c r="H161">
        <v>13161.7</v>
      </c>
      <c r="I161" t="s">
        <v>610</v>
      </c>
    </row>
    <row r="162" spans="1:9" x14ac:dyDescent="0.2">
      <c r="A162" t="s">
        <v>672</v>
      </c>
      <c r="B162" t="s">
        <v>170</v>
      </c>
      <c r="C162" t="s">
        <v>32</v>
      </c>
      <c r="D162" t="s">
        <v>33</v>
      </c>
      <c r="E162">
        <v>41727.1</v>
      </c>
      <c r="F162">
        <v>3755.44</v>
      </c>
      <c r="G162">
        <v>3755.44</v>
      </c>
      <c r="H162">
        <v>49237.98</v>
      </c>
      <c r="I162" t="s">
        <v>610</v>
      </c>
    </row>
    <row r="163" spans="1:9" x14ac:dyDescent="0.2">
      <c r="A163" t="s">
        <v>673</v>
      </c>
      <c r="B163" t="s">
        <v>31</v>
      </c>
      <c r="C163" t="s">
        <v>20</v>
      </c>
      <c r="D163" t="s">
        <v>21</v>
      </c>
      <c r="E163">
        <v>2125.12</v>
      </c>
      <c r="F163">
        <v>191.26</v>
      </c>
      <c r="G163">
        <v>191.26</v>
      </c>
      <c r="H163">
        <v>2507.64</v>
      </c>
      <c r="I163" t="s">
        <v>610</v>
      </c>
    </row>
    <row r="164" spans="1:9" x14ac:dyDescent="0.2">
      <c r="A164" t="s">
        <v>674</v>
      </c>
      <c r="B164" t="s">
        <v>19</v>
      </c>
      <c r="C164" t="s">
        <v>16</v>
      </c>
      <c r="D164" t="s">
        <v>17</v>
      </c>
      <c r="E164">
        <v>30450.81</v>
      </c>
      <c r="F164">
        <v>2740.57</v>
      </c>
      <c r="G164">
        <v>2740.57</v>
      </c>
      <c r="H164">
        <v>35931.949999999997</v>
      </c>
      <c r="I164" t="s">
        <v>610</v>
      </c>
    </row>
    <row r="165" spans="1:9" x14ac:dyDescent="0.2">
      <c r="A165" t="s">
        <v>675</v>
      </c>
      <c r="B165" t="s">
        <v>140</v>
      </c>
      <c r="C165" t="s">
        <v>16</v>
      </c>
      <c r="D165" t="s">
        <v>17</v>
      </c>
      <c r="E165">
        <v>12455.4</v>
      </c>
      <c r="F165">
        <v>1120.99</v>
      </c>
      <c r="G165">
        <v>1120.99</v>
      </c>
      <c r="H165">
        <v>14697.38</v>
      </c>
      <c r="I165" t="s">
        <v>610</v>
      </c>
    </row>
    <row r="166" spans="1:9" x14ac:dyDescent="0.2">
      <c r="A166" t="s">
        <v>676</v>
      </c>
      <c r="B166" t="s">
        <v>390</v>
      </c>
      <c r="C166" t="s">
        <v>11</v>
      </c>
      <c r="D166" t="s">
        <v>12</v>
      </c>
      <c r="E166">
        <v>22771.57</v>
      </c>
      <c r="F166">
        <v>2049.44</v>
      </c>
      <c r="G166">
        <v>2049.44</v>
      </c>
      <c r="H166">
        <v>26870.45</v>
      </c>
      <c r="I166" t="s">
        <v>610</v>
      </c>
    </row>
    <row r="167" spans="1:9" x14ac:dyDescent="0.2">
      <c r="A167" t="s">
        <v>677</v>
      </c>
      <c r="B167" t="s">
        <v>168</v>
      </c>
      <c r="C167" t="s">
        <v>16</v>
      </c>
      <c r="D167" t="s">
        <v>17</v>
      </c>
      <c r="E167">
        <v>44046.94</v>
      </c>
      <c r="F167">
        <v>3964.22</v>
      </c>
      <c r="G167">
        <v>3964.22</v>
      </c>
      <c r="H167">
        <v>51975.38</v>
      </c>
      <c r="I167" t="s">
        <v>610</v>
      </c>
    </row>
    <row r="168" spans="1:9" x14ac:dyDescent="0.2">
      <c r="A168" t="s">
        <v>678</v>
      </c>
      <c r="B168" t="s">
        <v>238</v>
      </c>
      <c r="C168" t="s">
        <v>24</v>
      </c>
      <c r="D168" t="s">
        <v>25</v>
      </c>
      <c r="E168">
        <v>15199.51</v>
      </c>
      <c r="F168">
        <v>1367.96</v>
      </c>
      <c r="G168">
        <v>1367.96</v>
      </c>
      <c r="H168">
        <v>17935.43</v>
      </c>
      <c r="I168" t="s">
        <v>610</v>
      </c>
    </row>
    <row r="169" spans="1:9" x14ac:dyDescent="0.2">
      <c r="A169" t="s">
        <v>679</v>
      </c>
      <c r="B169" t="s">
        <v>49</v>
      </c>
      <c r="C169" t="s">
        <v>32</v>
      </c>
      <c r="D169" t="s">
        <v>33</v>
      </c>
      <c r="E169">
        <v>46719.47</v>
      </c>
      <c r="F169">
        <v>4204.75</v>
      </c>
      <c r="G169">
        <v>4204.75</v>
      </c>
      <c r="H169">
        <v>55128.97</v>
      </c>
      <c r="I169" t="s">
        <v>610</v>
      </c>
    </row>
    <row r="170" spans="1:9" x14ac:dyDescent="0.2">
      <c r="A170" t="s">
        <v>680</v>
      </c>
      <c r="B170" t="s">
        <v>77</v>
      </c>
      <c r="C170" t="s">
        <v>16</v>
      </c>
      <c r="D170" t="s">
        <v>17</v>
      </c>
      <c r="E170">
        <v>38445.839999999997</v>
      </c>
      <c r="F170">
        <v>3460.13</v>
      </c>
      <c r="G170">
        <v>3460.13</v>
      </c>
      <c r="H170">
        <v>45366.1</v>
      </c>
      <c r="I170" t="s">
        <v>610</v>
      </c>
    </row>
    <row r="171" spans="1:9" x14ac:dyDescent="0.2">
      <c r="A171" t="s">
        <v>681</v>
      </c>
      <c r="B171" t="s">
        <v>75</v>
      </c>
      <c r="C171" t="s">
        <v>16</v>
      </c>
      <c r="D171" t="s">
        <v>17</v>
      </c>
      <c r="E171">
        <v>33813.25</v>
      </c>
      <c r="F171">
        <v>3043.19</v>
      </c>
      <c r="G171">
        <v>3043.19</v>
      </c>
      <c r="H171">
        <v>39899.629999999997</v>
      </c>
      <c r="I171" t="s">
        <v>610</v>
      </c>
    </row>
    <row r="172" spans="1:9" x14ac:dyDescent="0.2">
      <c r="A172" t="s">
        <v>682</v>
      </c>
      <c r="B172" t="s">
        <v>103</v>
      </c>
      <c r="C172" t="s">
        <v>20</v>
      </c>
      <c r="D172" t="s">
        <v>21</v>
      </c>
      <c r="E172">
        <v>49447.68</v>
      </c>
      <c r="F172">
        <v>4450.29</v>
      </c>
      <c r="G172">
        <v>4450.29</v>
      </c>
      <c r="H172">
        <v>58348.26</v>
      </c>
      <c r="I172" t="s">
        <v>610</v>
      </c>
    </row>
    <row r="173" spans="1:9" x14ac:dyDescent="0.2">
      <c r="A173" t="s">
        <v>683</v>
      </c>
      <c r="B173" t="s">
        <v>121</v>
      </c>
      <c r="C173" t="s">
        <v>16</v>
      </c>
      <c r="D173" t="s">
        <v>17</v>
      </c>
      <c r="E173">
        <v>38213.56</v>
      </c>
      <c r="F173">
        <v>3439.22</v>
      </c>
      <c r="G173">
        <v>3439.22</v>
      </c>
      <c r="H173">
        <v>45092</v>
      </c>
      <c r="I173" t="s">
        <v>610</v>
      </c>
    </row>
    <row r="174" spans="1:9" x14ac:dyDescent="0.2">
      <c r="A174" t="s">
        <v>684</v>
      </c>
      <c r="B174" t="s">
        <v>15</v>
      </c>
      <c r="C174" t="s">
        <v>32</v>
      </c>
      <c r="D174" t="s">
        <v>33</v>
      </c>
      <c r="E174">
        <v>1061.1400000000001</v>
      </c>
      <c r="F174">
        <v>95.5</v>
      </c>
      <c r="G174">
        <v>95.5</v>
      </c>
      <c r="H174">
        <v>1252.1400000000001</v>
      </c>
      <c r="I174" t="s">
        <v>610</v>
      </c>
    </row>
    <row r="175" spans="1:9" x14ac:dyDescent="0.2">
      <c r="A175" t="s">
        <v>685</v>
      </c>
      <c r="B175" t="s">
        <v>49</v>
      </c>
      <c r="C175" t="s">
        <v>32</v>
      </c>
      <c r="D175" t="s">
        <v>33</v>
      </c>
      <c r="E175">
        <v>8464.91</v>
      </c>
      <c r="F175">
        <v>761.84</v>
      </c>
      <c r="G175">
        <v>761.84</v>
      </c>
      <c r="H175">
        <v>9988.59</v>
      </c>
      <c r="I175" t="s">
        <v>610</v>
      </c>
    </row>
    <row r="176" spans="1:9" x14ac:dyDescent="0.2">
      <c r="A176" t="s">
        <v>686</v>
      </c>
      <c r="B176" t="s">
        <v>174</v>
      </c>
      <c r="C176" t="s">
        <v>20</v>
      </c>
      <c r="D176" t="s">
        <v>21</v>
      </c>
      <c r="E176">
        <v>36598.61</v>
      </c>
      <c r="F176">
        <v>3293.87</v>
      </c>
      <c r="G176">
        <v>3293.87</v>
      </c>
      <c r="H176">
        <v>43186.35</v>
      </c>
      <c r="I176" t="s">
        <v>610</v>
      </c>
    </row>
    <row r="177" spans="1:9" x14ac:dyDescent="0.2">
      <c r="A177" t="s">
        <v>687</v>
      </c>
      <c r="B177" t="s">
        <v>188</v>
      </c>
      <c r="C177" t="s">
        <v>20</v>
      </c>
      <c r="D177" t="s">
        <v>21</v>
      </c>
      <c r="E177">
        <v>20005.97</v>
      </c>
      <c r="F177">
        <v>1800.54</v>
      </c>
      <c r="G177">
        <v>1800.54</v>
      </c>
      <c r="H177">
        <v>23607.05</v>
      </c>
      <c r="I177" t="s">
        <v>610</v>
      </c>
    </row>
    <row r="178" spans="1:9" x14ac:dyDescent="0.2">
      <c r="A178" t="s">
        <v>688</v>
      </c>
      <c r="B178" t="s">
        <v>159</v>
      </c>
      <c r="C178" t="s">
        <v>32</v>
      </c>
      <c r="D178" t="s">
        <v>33</v>
      </c>
      <c r="E178">
        <v>18218.060000000001</v>
      </c>
      <c r="F178">
        <v>1639.63</v>
      </c>
      <c r="G178">
        <v>1639.63</v>
      </c>
      <c r="H178">
        <v>21497.32</v>
      </c>
      <c r="I178" t="s">
        <v>610</v>
      </c>
    </row>
    <row r="179" spans="1:9" x14ac:dyDescent="0.2">
      <c r="A179" t="s">
        <v>689</v>
      </c>
      <c r="B179" t="s">
        <v>103</v>
      </c>
      <c r="C179" t="s">
        <v>24</v>
      </c>
      <c r="D179" t="s">
        <v>25</v>
      </c>
      <c r="E179">
        <v>20154.939999999999</v>
      </c>
      <c r="F179">
        <v>1813.94</v>
      </c>
      <c r="G179">
        <v>1813.94</v>
      </c>
      <c r="H179">
        <v>23782.82</v>
      </c>
      <c r="I179" t="s">
        <v>610</v>
      </c>
    </row>
    <row r="180" spans="1:9" x14ac:dyDescent="0.2">
      <c r="A180" t="s">
        <v>690</v>
      </c>
      <c r="B180" t="s">
        <v>168</v>
      </c>
      <c r="C180" t="s">
        <v>16</v>
      </c>
      <c r="D180" t="s">
        <v>17</v>
      </c>
      <c r="E180">
        <v>38698</v>
      </c>
      <c r="F180">
        <v>3482.82</v>
      </c>
      <c r="G180">
        <v>3482.82</v>
      </c>
      <c r="H180">
        <v>45663.64</v>
      </c>
      <c r="I180" t="s">
        <v>610</v>
      </c>
    </row>
    <row r="181" spans="1:9" x14ac:dyDescent="0.2">
      <c r="A181" t="s">
        <v>691</v>
      </c>
      <c r="B181" t="s">
        <v>63</v>
      </c>
      <c r="C181" t="s">
        <v>20</v>
      </c>
      <c r="D181" t="s">
        <v>21</v>
      </c>
      <c r="E181">
        <v>49521.11</v>
      </c>
      <c r="F181">
        <v>4456.8999999999996</v>
      </c>
      <c r="G181">
        <v>4456.8999999999996</v>
      </c>
      <c r="H181">
        <v>58434.91</v>
      </c>
      <c r="I181" t="s">
        <v>610</v>
      </c>
    </row>
    <row r="182" spans="1:9" x14ac:dyDescent="0.2">
      <c r="A182" t="s">
        <v>692</v>
      </c>
      <c r="B182" t="s">
        <v>268</v>
      </c>
      <c r="C182" t="s">
        <v>16</v>
      </c>
      <c r="D182" t="s">
        <v>17</v>
      </c>
      <c r="E182">
        <v>12859.14</v>
      </c>
      <c r="F182">
        <v>1157.32</v>
      </c>
      <c r="G182">
        <v>1157.32</v>
      </c>
      <c r="H182">
        <v>15173.78</v>
      </c>
      <c r="I182" t="s">
        <v>610</v>
      </c>
    </row>
    <row r="183" spans="1:9" x14ac:dyDescent="0.2">
      <c r="A183" t="s">
        <v>693</v>
      </c>
      <c r="B183" t="s">
        <v>36</v>
      </c>
      <c r="C183" t="s">
        <v>20</v>
      </c>
      <c r="D183" t="s">
        <v>21</v>
      </c>
      <c r="E183">
        <v>39218.269999999997</v>
      </c>
      <c r="F183">
        <v>3529.64</v>
      </c>
      <c r="G183">
        <v>3529.64</v>
      </c>
      <c r="H183">
        <v>46277.55</v>
      </c>
      <c r="I183" t="s">
        <v>610</v>
      </c>
    </row>
    <row r="184" spans="1:9" x14ac:dyDescent="0.2">
      <c r="A184" t="s">
        <v>694</v>
      </c>
      <c r="B184" t="s">
        <v>150</v>
      </c>
      <c r="C184" t="s">
        <v>32</v>
      </c>
      <c r="D184" t="s">
        <v>33</v>
      </c>
      <c r="E184">
        <v>5566.15</v>
      </c>
      <c r="F184">
        <v>500.95</v>
      </c>
      <c r="G184">
        <v>500.95</v>
      </c>
      <c r="H184">
        <v>6568.05</v>
      </c>
      <c r="I184" t="s">
        <v>610</v>
      </c>
    </row>
    <row r="185" spans="1:9" x14ac:dyDescent="0.2">
      <c r="A185" t="s">
        <v>695</v>
      </c>
      <c r="B185" t="s">
        <v>42</v>
      </c>
      <c r="C185" t="s">
        <v>16</v>
      </c>
      <c r="D185" t="s">
        <v>17</v>
      </c>
      <c r="E185">
        <v>30397.89</v>
      </c>
      <c r="F185">
        <v>2735.81</v>
      </c>
      <c r="G185">
        <v>2735.81</v>
      </c>
      <c r="H185">
        <v>35869.51</v>
      </c>
      <c r="I185" t="s">
        <v>610</v>
      </c>
    </row>
    <row r="186" spans="1:9" x14ac:dyDescent="0.2">
      <c r="A186" t="s">
        <v>696</v>
      </c>
      <c r="B186" t="s">
        <v>140</v>
      </c>
      <c r="C186" t="s">
        <v>16</v>
      </c>
      <c r="D186" t="s">
        <v>17</v>
      </c>
      <c r="E186">
        <v>44945.52</v>
      </c>
      <c r="F186">
        <v>4045.1</v>
      </c>
      <c r="G186">
        <v>4045.1</v>
      </c>
      <c r="H186">
        <v>53035.72</v>
      </c>
      <c r="I186" t="s">
        <v>610</v>
      </c>
    </row>
    <row r="187" spans="1:9" x14ac:dyDescent="0.2">
      <c r="A187" t="s">
        <v>697</v>
      </c>
      <c r="B187" t="s">
        <v>201</v>
      </c>
      <c r="C187" t="s">
        <v>32</v>
      </c>
      <c r="D187" t="s">
        <v>33</v>
      </c>
      <c r="E187">
        <v>21298.04</v>
      </c>
      <c r="F187">
        <v>1916.82</v>
      </c>
      <c r="G187">
        <v>1916.82</v>
      </c>
      <c r="H187">
        <v>25131.68</v>
      </c>
      <c r="I187" t="s">
        <v>610</v>
      </c>
    </row>
    <row r="188" spans="1:9" x14ac:dyDescent="0.2">
      <c r="A188" t="s">
        <v>698</v>
      </c>
      <c r="B188" t="s">
        <v>185</v>
      </c>
      <c r="C188" t="s">
        <v>20</v>
      </c>
      <c r="D188" t="s">
        <v>21</v>
      </c>
      <c r="E188">
        <v>2710.67</v>
      </c>
      <c r="F188">
        <v>243.96</v>
      </c>
      <c r="G188">
        <v>243.96</v>
      </c>
      <c r="H188">
        <v>3198.59</v>
      </c>
      <c r="I188" t="s">
        <v>610</v>
      </c>
    </row>
    <row r="189" spans="1:9" x14ac:dyDescent="0.2">
      <c r="A189" t="s">
        <v>699</v>
      </c>
      <c r="B189" t="s">
        <v>185</v>
      </c>
      <c r="C189" t="s">
        <v>24</v>
      </c>
      <c r="D189" t="s">
        <v>25</v>
      </c>
      <c r="E189">
        <v>22278.560000000001</v>
      </c>
      <c r="F189">
        <v>2005.07</v>
      </c>
      <c r="G189">
        <v>2005.07</v>
      </c>
      <c r="H189">
        <v>26288.7</v>
      </c>
      <c r="I189" t="s">
        <v>610</v>
      </c>
    </row>
    <row r="190" spans="1:9" x14ac:dyDescent="0.2">
      <c r="A190" t="s">
        <v>700</v>
      </c>
      <c r="B190" t="s">
        <v>49</v>
      </c>
      <c r="C190" t="s">
        <v>32</v>
      </c>
      <c r="D190" t="s">
        <v>33</v>
      </c>
      <c r="E190">
        <v>16944.080000000002</v>
      </c>
      <c r="F190">
        <v>1524.97</v>
      </c>
      <c r="G190">
        <v>1524.97</v>
      </c>
      <c r="H190">
        <v>19994.02</v>
      </c>
      <c r="I190" t="s">
        <v>610</v>
      </c>
    </row>
    <row r="191" spans="1:9" x14ac:dyDescent="0.2">
      <c r="A191" t="s">
        <v>701</v>
      </c>
      <c r="B191" t="s">
        <v>10</v>
      </c>
      <c r="C191" t="s">
        <v>24</v>
      </c>
      <c r="D191" t="s">
        <v>25</v>
      </c>
      <c r="E191">
        <v>19914.759999999998</v>
      </c>
      <c r="F191">
        <v>1792.33</v>
      </c>
      <c r="G191">
        <v>1792.33</v>
      </c>
      <c r="H191">
        <v>23499.42</v>
      </c>
      <c r="I191" t="s">
        <v>610</v>
      </c>
    </row>
    <row r="192" spans="1:9" x14ac:dyDescent="0.2">
      <c r="A192" t="s">
        <v>702</v>
      </c>
      <c r="B192" t="s">
        <v>192</v>
      </c>
      <c r="C192" t="s">
        <v>11</v>
      </c>
      <c r="D192" t="s">
        <v>12</v>
      </c>
      <c r="E192">
        <v>8867.15</v>
      </c>
      <c r="F192">
        <v>798.04</v>
      </c>
      <c r="G192">
        <v>798.04</v>
      </c>
      <c r="H192">
        <v>10463.23</v>
      </c>
      <c r="I192" t="s">
        <v>610</v>
      </c>
    </row>
    <row r="193" spans="1:9" x14ac:dyDescent="0.2">
      <c r="A193" t="s">
        <v>703</v>
      </c>
      <c r="B193" t="s">
        <v>212</v>
      </c>
      <c r="C193" t="s">
        <v>24</v>
      </c>
      <c r="D193" t="s">
        <v>25</v>
      </c>
      <c r="E193">
        <v>47784.74</v>
      </c>
      <c r="F193">
        <v>4300.63</v>
      </c>
      <c r="G193">
        <v>4300.63</v>
      </c>
      <c r="H193">
        <v>56386</v>
      </c>
      <c r="I193" t="s">
        <v>610</v>
      </c>
    </row>
    <row r="194" spans="1:9" x14ac:dyDescent="0.2">
      <c r="A194" t="s">
        <v>704</v>
      </c>
      <c r="B194" t="s">
        <v>73</v>
      </c>
      <c r="C194" t="s">
        <v>32</v>
      </c>
      <c r="D194" t="s">
        <v>33</v>
      </c>
      <c r="E194">
        <v>6246.77</v>
      </c>
      <c r="F194">
        <v>562.21</v>
      </c>
      <c r="G194">
        <v>562.21</v>
      </c>
      <c r="H194">
        <v>7371.19</v>
      </c>
      <c r="I194" t="s">
        <v>610</v>
      </c>
    </row>
    <row r="195" spans="1:9" x14ac:dyDescent="0.2">
      <c r="A195" t="s">
        <v>705</v>
      </c>
      <c r="B195" t="s">
        <v>273</v>
      </c>
      <c r="C195" t="s">
        <v>16</v>
      </c>
      <c r="D195" t="s">
        <v>17</v>
      </c>
      <c r="E195">
        <v>36382.6</v>
      </c>
      <c r="F195">
        <v>3274.43</v>
      </c>
      <c r="G195">
        <v>3274.43</v>
      </c>
      <c r="H195">
        <v>42931.46</v>
      </c>
      <c r="I195" t="s">
        <v>610</v>
      </c>
    </row>
    <row r="196" spans="1:9" x14ac:dyDescent="0.2">
      <c r="A196" t="s">
        <v>706</v>
      </c>
      <c r="B196" t="s">
        <v>132</v>
      </c>
      <c r="C196" t="s">
        <v>24</v>
      </c>
      <c r="D196" t="s">
        <v>25</v>
      </c>
      <c r="E196">
        <v>29084.32</v>
      </c>
      <c r="F196">
        <v>2617.59</v>
      </c>
      <c r="G196">
        <v>2617.59</v>
      </c>
      <c r="H196">
        <v>34319.5</v>
      </c>
      <c r="I196" t="s">
        <v>610</v>
      </c>
    </row>
    <row r="197" spans="1:9" x14ac:dyDescent="0.2">
      <c r="A197" t="s">
        <v>707</v>
      </c>
      <c r="B197" t="s">
        <v>140</v>
      </c>
      <c r="C197" t="s">
        <v>32</v>
      </c>
      <c r="D197" t="s">
        <v>33</v>
      </c>
      <c r="E197">
        <v>47956.98</v>
      </c>
      <c r="F197">
        <v>4316.13</v>
      </c>
      <c r="G197">
        <v>4316.13</v>
      </c>
      <c r="H197">
        <v>56589.24</v>
      </c>
      <c r="I197" t="s">
        <v>610</v>
      </c>
    </row>
    <row r="198" spans="1:9" x14ac:dyDescent="0.2">
      <c r="A198" t="s">
        <v>708</v>
      </c>
      <c r="B198" t="s">
        <v>93</v>
      </c>
      <c r="C198" t="s">
        <v>20</v>
      </c>
      <c r="D198" t="s">
        <v>21</v>
      </c>
      <c r="E198">
        <v>10966.45</v>
      </c>
      <c r="F198">
        <v>986.98</v>
      </c>
      <c r="G198">
        <v>986.98</v>
      </c>
      <c r="H198">
        <v>12940.41</v>
      </c>
      <c r="I198" t="s">
        <v>610</v>
      </c>
    </row>
    <row r="199" spans="1:9" x14ac:dyDescent="0.2">
      <c r="A199" t="s">
        <v>709</v>
      </c>
      <c r="B199" t="s">
        <v>109</v>
      </c>
      <c r="C199" t="s">
        <v>11</v>
      </c>
      <c r="D199" t="s">
        <v>12</v>
      </c>
      <c r="E199">
        <v>40255.08</v>
      </c>
      <c r="F199">
        <v>3622.96</v>
      </c>
      <c r="G199">
        <v>3622.96</v>
      </c>
      <c r="H199">
        <v>47501</v>
      </c>
      <c r="I199" t="s">
        <v>610</v>
      </c>
    </row>
    <row r="200" spans="1:9" x14ac:dyDescent="0.2">
      <c r="A200" t="s">
        <v>710</v>
      </c>
      <c r="B200" t="s">
        <v>121</v>
      </c>
      <c r="C200" t="s">
        <v>24</v>
      </c>
      <c r="D200" t="s">
        <v>25</v>
      </c>
      <c r="E200">
        <v>22285.42</v>
      </c>
      <c r="F200">
        <v>2005.69</v>
      </c>
      <c r="G200">
        <v>2005.69</v>
      </c>
      <c r="H200">
        <v>26296.799999999999</v>
      </c>
      <c r="I200" t="s">
        <v>610</v>
      </c>
    </row>
    <row r="201" spans="1:9" x14ac:dyDescent="0.2">
      <c r="A201" t="s">
        <v>711</v>
      </c>
      <c r="B201" t="s">
        <v>15</v>
      </c>
      <c r="C201" t="s">
        <v>16</v>
      </c>
      <c r="D201" t="s">
        <v>17</v>
      </c>
      <c r="E201">
        <v>27130.82</v>
      </c>
      <c r="F201">
        <v>2441.77</v>
      </c>
      <c r="G201">
        <v>2441.77</v>
      </c>
      <c r="H201">
        <v>32014.36</v>
      </c>
      <c r="I201" t="s">
        <v>610</v>
      </c>
    </row>
    <row r="202" spans="1:9" x14ac:dyDescent="0.2">
      <c r="A202" t="s">
        <v>712</v>
      </c>
      <c r="B202" t="s">
        <v>40</v>
      </c>
      <c r="C202" t="s">
        <v>24</v>
      </c>
      <c r="D202" t="s">
        <v>25</v>
      </c>
      <c r="E202">
        <v>13626.48</v>
      </c>
      <c r="F202">
        <v>1226.3800000000001</v>
      </c>
      <c r="G202">
        <v>1226.3800000000001</v>
      </c>
      <c r="H202">
        <v>16079.24</v>
      </c>
      <c r="I202" t="s">
        <v>610</v>
      </c>
    </row>
    <row r="203" spans="1:9" x14ac:dyDescent="0.2">
      <c r="A203" t="s">
        <v>713</v>
      </c>
      <c r="B203" t="s">
        <v>548</v>
      </c>
      <c r="C203" t="s">
        <v>16</v>
      </c>
      <c r="D203" t="s">
        <v>17</v>
      </c>
      <c r="E203">
        <v>14404.04</v>
      </c>
      <c r="F203">
        <v>1296.3599999999999</v>
      </c>
      <c r="G203">
        <v>1296.3599999999999</v>
      </c>
      <c r="H203">
        <v>16996.759999999998</v>
      </c>
      <c r="I203" t="s">
        <v>610</v>
      </c>
    </row>
    <row r="204" spans="1:9" x14ac:dyDescent="0.2">
      <c r="A204" t="s">
        <v>714</v>
      </c>
      <c r="B204" t="s">
        <v>23</v>
      </c>
      <c r="C204" t="s">
        <v>32</v>
      </c>
      <c r="D204" t="s">
        <v>33</v>
      </c>
      <c r="E204">
        <v>4501.1899999999996</v>
      </c>
      <c r="F204">
        <v>405.11</v>
      </c>
      <c r="G204">
        <v>405.11</v>
      </c>
      <c r="H204">
        <v>5311.41</v>
      </c>
      <c r="I204" t="s">
        <v>610</v>
      </c>
    </row>
    <row r="205" spans="1:9" x14ac:dyDescent="0.2">
      <c r="A205" t="s">
        <v>715</v>
      </c>
      <c r="B205" t="s">
        <v>429</v>
      </c>
      <c r="C205" t="s">
        <v>24</v>
      </c>
      <c r="D205" t="s">
        <v>25</v>
      </c>
      <c r="E205">
        <v>28423.98</v>
      </c>
      <c r="F205">
        <v>2558.16</v>
      </c>
      <c r="G205">
        <v>2558.16</v>
      </c>
      <c r="H205">
        <v>33540.300000000003</v>
      </c>
      <c r="I205" t="s">
        <v>610</v>
      </c>
    </row>
    <row r="206" spans="1:9" x14ac:dyDescent="0.2">
      <c r="A206" t="s">
        <v>716</v>
      </c>
      <c r="B206" t="s">
        <v>100</v>
      </c>
      <c r="C206" t="s">
        <v>32</v>
      </c>
      <c r="D206" t="s">
        <v>33</v>
      </c>
      <c r="E206">
        <v>37182.54</v>
      </c>
      <c r="F206">
        <v>3346.43</v>
      </c>
      <c r="G206">
        <v>3346.43</v>
      </c>
      <c r="H206">
        <v>43875.4</v>
      </c>
      <c r="I206" t="s">
        <v>610</v>
      </c>
    </row>
    <row r="207" spans="1:9" x14ac:dyDescent="0.2">
      <c r="A207" t="s">
        <v>717</v>
      </c>
      <c r="B207" t="s">
        <v>159</v>
      </c>
      <c r="C207" t="s">
        <v>11</v>
      </c>
      <c r="D207" t="s">
        <v>12</v>
      </c>
      <c r="E207">
        <v>3435.59</v>
      </c>
      <c r="F207">
        <v>309.2</v>
      </c>
      <c r="G207">
        <v>309.2</v>
      </c>
      <c r="H207">
        <v>4053.99</v>
      </c>
      <c r="I207" t="s">
        <v>610</v>
      </c>
    </row>
    <row r="208" spans="1:9" x14ac:dyDescent="0.2">
      <c r="A208" t="s">
        <v>718</v>
      </c>
      <c r="B208" t="s">
        <v>91</v>
      </c>
      <c r="C208" t="s">
        <v>16</v>
      </c>
      <c r="D208" t="s">
        <v>17</v>
      </c>
      <c r="E208">
        <v>7376.64</v>
      </c>
      <c r="F208">
        <v>663.9</v>
      </c>
      <c r="G208">
        <v>663.9</v>
      </c>
      <c r="H208">
        <v>8704.44</v>
      </c>
      <c r="I208" t="s">
        <v>610</v>
      </c>
    </row>
    <row r="209" spans="1:9" x14ac:dyDescent="0.2">
      <c r="A209" t="s">
        <v>719</v>
      </c>
      <c r="B209" t="s">
        <v>68</v>
      </c>
      <c r="C209" t="s">
        <v>16</v>
      </c>
      <c r="D209" t="s">
        <v>17</v>
      </c>
      <c r="E209">
        <v>10471.950000000001</v>
      </c>
      <c r="F209">
        <v>942.48</v>
      </c>
      <c r="G209">
        <v>942.48</v>
      </c>
      <c r="H209">
        <v>12356.91</v>
      </c>
      <c r="I209" t="s">
        <v>610</v>
      </c>
    </row>
    <row r="210" spans="1:9" x14ac:dyDescent="0.2">
      <c r="A210" t="s">
        <v>720</v>
      </c>
      <c r="B210" t="s">
        <v>150</v>
      </c>
      <c r="C210" t="s">
        <v>24</v>
      </c>
      <c r="D210" t="s">
        <v>25</v>
      </c>
      <c r="E210">
        <v>38892.959999999999</v>
      </c>
      <c r="F210">
        <v>3500.37</v>
      </c>
      <c r="G210">
        <v>3500.37</v>
      </c>
      <c r="H210">
        <v>45893.7</v>
      </c>
      <c r="I210" t="s">
        <v>610</v>
      </c>
    </row>
    <row r="211" spans="1:9" x14ac:dyDescent="0.2">
      <c r="A211" t="s">
        <v>721</v>
      </c>
      <c r="B211" t="s">
        <v>258</v>
      </c>
      <c r="C211" t="s">
        <v>24</v>
      </c>
      <c r="D211" t="s">
        <v>25</v>
      </c>
      <c r="E211">
        <v>44253.07</v>
      </c>
      <c r="F211">
        <v>3982.78</v>
      </c>
      <c r="G211">
        <v>3982.78</v>
      </c>
      <c r="H211">
        <v>52218.63</v>
      </c>
      <c r="I211" t="s">
        <v>610</v>
      </c>
    </row>
    <row r="212" spans="1:9" x14ac:dyDescent="0.2">
      <c r="A212" t="s">
        <v>722</v>
      </c>
      <c r="B212" t="s">
        <v>165</v>
      </c>
      <c r="C212" t="s">
        <v>16</v>
      </c>
      <c r="D212" t="s">
        <v>17</v>
      </c>
      <c r="E212">
        <v>43501.72</v>
      </c>
      <c r="F212">
        <v>3915.15</v>
      </c>
      <c r="G212">
        <v>3915.15</v>
      </c>
      <c r="H212">
        <v>51332.02</v>
      </c>
      <c r="I212" t="s">
        <v>610</v>
      </c>
    </row>
    <row r="213" spans="1:9" x14ac:dyDescent="0.2">
      <c r="A213" t="s">
        <v>723</v>
      </c>
      <c r="B213" t="s">
        <v>195</v>
      </c>
      <c r="C213" t="s">
        <v>24</v>
      </c>
      <c r="D213" t="s">
        <v>25</v>
      </c>
      <c r="E213">
        <v>44660.6</v>
      </c>
      <c r="F213">
        <v>4019.45</v>
      </c>
      <c r="G213">
        <v>4019.45</v>
      </c>
      <c r="H213">
        <v>52699.5</v>
      </c>
      <c r="I213" t="s">
        <v>610</v>
      </c>
    </row>
    <row r="214" spans="1:9" x14ac:dyDescent="0.2">
      <c r="A214" t="s">
        <v>724</v>
      </c>
      <c r="B214" t="s">
        <v>157</v>
      </c>
      <c r="C214" t="s">
        <v>32</v>
      </c>
      <c r="D214" t="s">
        <v>33</v>
      </c>
      <c r="E214">
        <v>3935.28</v>
      </c>
      <c r="F214">
        <v>354.18</v>
      </c>
      <c r="G214">
        <v>354.18</v>
      </c>
      <c r="H214">
        <v>4643.6400000000003</v>
      </c>
      <c r="I214" t="s">
        <v>610</v>
      </c>
    </row>
    <row r="215" spans="1:9" x14ac:dyDescent="0.2">
      <c r="A215" t="s">
        <v>725</v>
      </c>
      <c r="B215" t="s">
        <v>429</v>
      </c>
      <c r="C215" t="s">
        <v>16</v>
      </c>
      <c r="D215" t="s">
        <v>17</v>
      </c>
      <c r="E215">
        <v>31254.55</v>
      </c>
      <c r="F215">
        <v>2812.91</v>
      </c>
      <c r="G215">
        <v>2812.91</v>
      </c>
      <c r="H215">
        <v>36880.370000000003</v>
      </c>
      <c r="I215" t="s">
        <v>610</v>
      </c>
    </row>
    <row r="216" spans="1:9" x14ac:dyDescent="0.2">
      <c r="A216" t="s">
        <v>726</v>
      </c>
      <c r="B216" t="s">
        <v>109</v>
      </c>
      <c r="C216" t="s">
        <v>32</v>
      </c>
      <c r="D216" t="s">
        <v>33</v>
      </c>
      <c r="E216">
        <v>13908.57</v>
      </c>
      <c r="F216">
        <v>1251.77</v>
      </c>
      <c r="G216">
        <v>1251.77</v>
      </c>
      <c r="H216">
        <v>16412.11</v>
      </c>
      <c r="I216" t="s">
        <v>610</v>
      </c>
    </row>
    <row r="217" spans="1:9" x14ac:dyDescent="0.2">
      <c r="A217" t="s">
        <v>727</v>
      </c>
      <c r="B217" t="s">
        <v>252</v>
      </c>
      <c r="C217" t="s">
        <v>16</v>
      </c>
      <c r="D217" t="s">
        <v>17</v>
      </c>
      <c r="E217">
        <v>22519.97</v>
      </c>
      <c r="F217">
        <v>2026.8</v>
      </c>
      <c r="G217">
        <v>2026.8</v>
      </c>
      <c r="H217">
        <v>26573.57</v>
      </c>
      <c r="I217" t="s">
        <v>610</v>
      </c>
    </row>
    <row r="218" spans="1:9" x14ac:dyDescent="0.2">
      <c r="A218" t="s">
        <v>728</v>
      </c>
      <c r="B218" t="s">
        <v>100</v>
      </c>
      <c r="C218" t="s">
        <v>16</v>
      </c>
      <c r="D218" t="s">
        <v>17</v>
      </c>
      <c r="E218">
        <v>16195.6</v>
      </c>
      <c r="F218">
        <v>1457.6</v>
      </c>
      <c r="G218">
        <v>1457.6</v>
      </c>
      <c r="H218">
        <v>19110.8</v>
      </c>
      <c r="I218" t="s">
        <v>610</v>
      </c>
    </row>
    <row r="219" spans="1:9" x14ac:dyDescent="0.2">
      <c r="A219" t="s">
        <v>729</v>
      </c>
      <c r="B219" t="s">
        <v>107</v>
      </c>
      <c r="C219" t="s">
        <v>11</v>
      </c>
      <c r="D219" t="s">
        <v>12</v>
      </c>
      <c r="E219">
        <v>2238.58</v>
      </c>
      <c r="F219">
        <v>201.47</v>
      </c>
      <c r="G219">
        <v>201.47</v>
      </c>
      <c r="H219">
        <v>2641.52</v>
      </c>
      <c r="I219" t="s">
        <v>610</v>
      </c>
    </row>
    <row r="220" spans="1:9" x14ac:dyDescent="0.2">
      <c r="A220" t="s">
        <v>730</v>
      </c>
      <c r="B220" t="s">
        <v>134</v>
      </c>
      <c r="C220" t="s">
        <v>32</v>
      </c>
      <c r="D220" t="s">
        <v>33</v>
      </c>
      <c r="E220">
        <v>49658.93</v>
      </c>
      <c r="F220">
        <v>4469.3</v>
      </c>
      <c r="G220">
        <v>4469.3</v>
      </c>
      <c r="H220">
        <v>58597.53</v>
      </c>
      <c r="I220" t="s">
        <v>610</v>
      </c>
    </row>
    <row r="221" spans="1:9" x14ac:dyDescent="0.2">
      <c r="A221" t="s">
        <v>731</v>
      </c>
      <c r="B221" t="s">
        <v>45</v>
      </c>
      <c r="C221" t="s">
        <v>16</v>
      </c>
      <c r="D221" t="s">
        <v>17</v>
      </c>
      <c r="E221">
        <v>32895.71</v>
      </c>
      <c r="F221">
        <v>2960.61</v>
      </c>
      <c r="G221">
        <v>2960.61</v>
      </c>
      <c r="H221">
        <v>38816.93</v>
      </c>
      <c r="I221" t="s">
        <v>610</v>
      </c>
    </row>
    <row r="222" spans="1:9" x14ac:dyDescent="0.2">
      <c r="A222" t="s">
        <v>732</v>
      </c>
      <c r="B222" t="s">
        <v>29</v>
      </c>
      <c r="C222" t="s">
        <v>20</v>
      </c>
      <c r="D222" t="s">
        <v>21</v>
      </c>
      <c r="E222">
        <v>48591.37</v>
      </c>
      <c r="F222">
        <v>4373.22</v>
      </c>
      <c r="G222">
        <v>4373.22</v>
      </c>
      <c r="H222">
        <v>57337.81</v>
      </c>
      <c r="I222" t="s">
        <v>610</v>
      </c>
    </row>
    <row r="223" spans="1:9" x14ac:dyDescent="0.2">
      <c r="A223" t="s">
        <v>733</v>
      </c>
      <c r="B223" t="s">
        <v>109</v>
      </c>
      <c r="C223" t="s">
        <v>16</v>
      </c>
      <c r="D223" t="s">
        <v>17</v>
      </c>
      <c r="E223">
        <v>25005.360000000001</v>
      </c>
      <c r="F223">
        <v>2250.48</v>
      </c>
      <c r="G223">
        <v>2250.48</v>
      </c>
      <c r="H223">
        <v>29506.32</v>
      </c>
      <c r="I223" t="s">
        <v>610</v>
      </c>
    </row>
    <row r="224" spans="1:9" x14ac:dyDescent="0.2">
      <c r="A224" t="s">
        <v>734</v>
      </c>
      <c r="B224" t="s">
        <v>68</v>
      </c>
      <c r="C224" t="s">
        <v>24</v>
      </c>
      <c r="D224" t="s">
        <v>25</v>
      </c>
      <c r="E224">
        <v>17755.72</v>
      </c>
      <c r="F224">
        <v>1598.01</v>
      </c>
      <c r="G224">
        <v>1598.01</v>
      </c>
      <c r="H224">
        <v>20951.740000000002</v>
      </c>
      <c r="I224" t="s">
        <v>610</v>
      </c>
    </row>
    <row r="225" spans="1:9" x14ac:dyDescent="0.2">
      <c r="A225" t="s">
        <v>735</v>
      </c>
      <c r="B225" t="s">
        <v>54</v>
      </c>
      <c r="C225" t="s">
        <v>32</v>
      </c>
      <c r="D225" t="s">
        <v>33</v>
      </c>
      <c r="E225">
        <v>19103.52</v>
      </c>
      <c r="F225">
        <v>1719.32</v>
      </c>
      <c r="G225">
        <v>1719.32</v>
      </c>
      <c r="H225">
        <v>22542.16</v>
      </c>
      <c r="I225" t="s">
        <v>610</v>
      </c>
    </row>
    <row r="226" spans="1:9" x14ac:dyDescent="0.2">
      <c r="A226" t="s">
        <v>736</v>
      </c>
      <c r="B226" t="s">
        <v>338</v>
      </c>
      <c r="C226" t="s">
        <v>24</v>
      </c>
      <c r="D226" t="s">
        <v>25</v>
      </c>
      <c r="E226">
        <v>5776.85</v>
      </c>
      <c r="F226">
        <v>519.91999999999996</v>
      </c>
      <c r="G226">
        <v>519.91999999999996</v>
      </c>
      <c r="H226">
        <v>6816.69</v>
      </c>
      <c r="I226" t="s">
        <v>610</v>
      </c>
    </row>
    <row r="227" spans="1:9" x14ac:dyDescent="0.2">
      <c r="A227" t="s">
        <v>737</v>
      </c>
      <c r="B227" t="s">
        <v>83</v>
      </c>
      <c r="C227" t="s">
        <v>24</v>
      </c>
      <c r="D227" t="s">
        <v>25</v>
      </c>
      <c r="E227">
        <v>20226.34</v>
      </c>
      <c r="F227">
        <v>1820.37</v>
      </c>
      <c r="G227">
        <v>1820.37</v>
      </c>
      <c r="H227">
        <v>23867.08</v>
      </c>
      <c r="I227" t="s">
        <v>610</v>
      </c>
    </row>
    <row r="228" spans="1:9" x14ac:dyDescent="0.2">
      <c r="A228" t="s">
        <v>738</v>
      </c>
      <c r="B228" t="s">
        <v>157</v>
      </c>
      <c r="C228" t="s">
        <v>32</v>
      </c>
      <c r="D228" t="s">
        <v>33</v>
      </c>
      <c r="E228">
        <v>47362.86</v>
      </c>
      <c r="F228">
        <v>4262.66</v>
      </c>
      <c r="G228">
        <v>4262.66</v>
      </c>
      <c r="H228">
        <v>55888.18</v>
      </c>
      <c r="I228" t="s">
        <v>610</v>
      </c>
    </row>
    <row r="229" spans="1:9" x14ac:dyDescent="0.2">
      <c r="A229" t="s">
        <v>739</v>
      </c>
      <c r="B229" t="s">
        <v>420</v>
      </c>
      <c r="C229" t="s">
        <v>32</v>
      </c>
      <c r="D229" t="s">
        <v>33</v>
      </c>
      <c r="E229">
        <v>29567.25</v>
      </c>
      <c r="F229">
        <v>2661.05</v>
      </c>
      <c r="G229">
        <v>2661.05</v>
      </c>
      <c r="H229">
        <v>34889.35</v>
      </c>
      <c r="I229" t="s">
        <v>610</v>
      </c>
    </row>
    <row r="230" spans="1:9" x14ac:dyDescent="0.2">
      <c r="A230" t="s">
        <v>740</v>
      </c>
      <c r="B230" t="s">
        <v>275</v>
      </c>
      <c r="C230" t="s">
        <v>24</v>
      </c>
      <c r="D230" t="s">
        <v>25</v>
      </c>
      <c r="E230">
        <v>26749.32</v>
      </c>
      <c r="F230">
        <v>2407.44</v>
      </c>
      <c r="G230">
        <v>2407.44</v>
      </c>
      <c r="H230">
        <v>31564.2</v>
      </c>
      <c r="I230" t="s">
        <v>610</v>
      </c>
    </row>
    <row r="231" spans="1:9" x14ac:dyDescent="0.2">
      <c r="A231" t="s">
        <v>741</v>
      </c>
      <c r="B231" t="s">
        <v>128</v>
      </c>
      <c r="C231" t="s">
        <v>11</v>
      </c>
      <c r="D231" t="s">
        <v>12</v>
      </c>
      <c r="E231">
        <v>47690.5</v>
      </c>
      <c r="F231">
        <v>4292.1400000000003</v>
      </c>
      <c r="G231">
        <v>4292.1400000000003</v>
      </c>
      <c r="H231">
        <v>56274.78</v>
      </c>
      <c r="I231" t="s">
        <v>610</v>
      </c>
    </row>
    <row r="232" spans="1:9" x14ac:dyDescent="0.2">
      <c r="A232" t="s">
        <v>742</v>
      </c>
      <c r="B232" t="s">
        <v>81</v>
      </c>
      <c r="C232" t="s">
        <v>16</v>
      </c>
      <c r="D232" t="s">
        <v>17</v>
      </c>
      <c r="E232">
        <v>1635.39</v>
      </c>
      <c r="F232">
        <v>147.19</v>
      </c>
      <c r="G232">
        <v>147.19</v>
      </c>
      <c r="H232">
        <v>1929.77</v>
      </c>
      <c r="I232" t="s">
        <v>610</v>
      </c>
    </row>
    <row r="233" spans="1:9" x14ac:dyDescent="0.2">
      <c r="A233" t="s">
        <v>743</v>
      </c>
      <c r="B233" t="s">
        <v>161</v>
      </c>
      <c r="C233" t="s">
        <v>16</v>
      </c>
      <c r="D233" t="s">
        <v>17</v>
      </c>
      <c r="E233">
        <v>27754.44</v>
      </c>
      <c r="F233">
        <v>2497.9</v>
      </c>
      <c r="G233">
        <v>2497.9</v>
      </c>
      <c r="H233">
        <v>32750.240000000002</v>
      </c>
      <c r="I233" t="s">
        <v>610</v>
      </c>
    </row>
    <row r="234" spans="1:9" x14ac:dyDescent="0.2">
      <c r="A234" t="s">
        <v>744</v>
      </c>
      <c r="B234" t="s">
        <v>73</v>
      </c>
      <c r="C234" t="s">
        <v>16</v>
      </c>
      <c r="D234" t="s">
        <v>17</v>
      </c>
      <c r="E234">
        <v>6133.62</v>
      </c>
      <c r="F234">
        <v>552.03</v>
      </c>
      <c r="G234">
        <v>552.03</v>
      </c>
      <c r="H234">
        <v>7237.68</v>
      </c>
      <c r="I234" t="s">
        <v>610</v>
      </c>
    </row>
    <row r="235" spans="1:9" x14ac:dyDescent="0.2">
      <c r="A235" t="s">
        <v>745</v>
      </c>
      <c r="B235" t="s">
        <v>287</v>
      </c>
      <c r="C235" t="s">
        <v>32</v>
      </c>
      <c r="D235" t="s">
        <v>33</v>
      </c>
      <c r="E235">
        <v>47490.03</v>
      </c>
      <c r="F235">
        <v>4274.1000000000004</v>
      </c>
      <c r="G235">
        <v>4274.1000000000004</v>
      </c>
      <c r="H235">
        <v>56038.23</v>
      </c>
      <c r="I235" t="s">
        <v>610</v>
      </c>
    </row>
    <row r="236" spans="1:9" x14ac:dyDescent="0.2">
      <c r="A236" t="s">
        <v>746</v>
      </c>
      <c r="B236" t="s">
        <v>188</v>
      </c>
      <c r="C236" t="s">
        <v>16</v>
      </c>
      <c r="D236" t="s">
        <v>17</v>
      </c>
      <c r="E236">
        <v>45878.46</v>
      </c>
      <c r="F236">
        <v>4129.0600000000004</v>
      </c>
      <c r="G236">
        <v>4129.0600000000004</v>
      </c>
      <c r="H236">
        <v>54136.58</v>
      </c>
      <c r="I236" t="s">
        <v>610</v>
      </c>
    </row>
    <row r="237" spans="1:9" x14ac:dyDescent="0.2">
      <c r="A237" t="s">
        <v>747</v>
      </c>
      <c r="B237" t="s">
        <v>165</v>
      </c>
      <c r="C237" t="s">
        <v>20</v>
      </c>
      <c r="D237" t="s">
        <v>21</v>
      </c>
      <c r="E237">
        <v>33557.879999999997</v>
      </c>
      <c r="F237">
        <v>3020.21</v>
      </c>
      <c r="G237">
        <v>3020.21</v>
      </c>
      <c r="H237">
        <v>39598.300000000003</v>
      </c>
      <c r="I237" t="s">
        <v>610</v>
      </c>
    </row>
    <row r="238" spans="1:9" x14ac:dyDescent="0.2">
      <c r="A238" t="s">
        <v>748</v>
      </c>
      <c r="B238" t="s">
        <v>548</v>
      </c>
      <c r="C238" t="s">
        <v>11</v>
      </c>
      <c r="D238" t="s">
        <v>12</v>
      </c>
      <c r="E238">
        <v>35483.51</v>
      </c>
      <c r="F238">
        <v>3193.52</v>
      </c>
      <c r="G238">
        <v>3193.52</v>
      </c>
      <c r="H238">
        <v>41870.550000000003</v>
      </c>
      <c r="I238" t="s">
        <v>610</v>
      </c>
    </row>
    <row r="239" spans="1:9" x14ac:dyDescent="0.2">
      <c r="A239" t="s">
        <v>749</v>
      </c>
      <c r="B239" t="s">
        <v>168</v>
      </c>
      <c r="C239" t="s">
        <v>32</v>
      </c>
      <c r="D239" t="s">
        <v>33</v>
      </c>
      <c r="E239">
        <v>40296.199999999997</v>
      </c>
      <c r="F239">
        <v>3626.66</v>
      </c>
      <c r="G239">
        <v>3626.66</v>
      </c>
      <c r="H239">
        <v>47549.52</v>
      </c>
      <c r="I239" t="s">
        <v>610</v>
      </c>
    </row>
    <row r="240" spans="1:9" x14ac:dyDescent="0.2">
      <c r="A240" t="s">
        <v>750</v>
      </c>
      <c r="B240" t="s">
        <v>429</v>
      </c>
      <c r="C240" t="s">
        <v>20</v>
      </c>
      <c r="D240" t="s">
        <v>21</v>
      </c>
      <c r="E240">
        <v>20957.87</v>
      </c>
      <c r="F240">
        <v>1886.21</v>
      </c>
      <c r="G240">
        <v>1886.21</v>
      </c>
      <c r="H240">
        <v>24730.29</v>
      </c>
      <c r="I240" t="s">
        <v>610</v>
      </c>
    </row>
    <row r="241" spans="1:9" x14ac:dyDescent="0.2">
      <c r="A241" t="s">
        <v>751</v>
      </c>
      <c r="B241" t="s">
        <v>83</v>
      </c>
      <c r="C241" t="s">
        <v>11</v>
      </c>
      <c r="D241" t="s">
        <v>12</v>
      </c>
      <c r="E241">
        <v>28710.31</v>
      </c>
      <c r="F241">
        <v>2583.9299999999998</v>
      </c>
      <c r="G241">
        <v>2583.9299999999998</v>
      </c>
      <c r="H241">
        <v>33878.17</v>
      </c>
      <c r="I241" t="s">
        <v>610</v>
      </c>
    </row>
    <row r="242" spans="1:9" x14ac:dyDescent="0.2">
      <c r="A242" t="s">
        <v>752</v>
      </c>
      <c r="B242" t="s">
        <v>429</v>
      </c>
      <c r="C242" t="s">
        <v>16</v>
      </c>
      <c r="D242" t="s">
        <v>17</v>
      </c>
      <c r="E242">
        <v>3771.49</v>
      </c>
      <c r="F242">
        <v>339.43</v>
      </c>
      <c r="G242">
        <v>339.43</v>
      </c>
      <c r="H242">
        <v>4450.3500000000004</v>
      </c>
      <c r="I242" t="s">
        <v>610</v>
      </c>
    </row>
    <row r="243" spans="1:9" x14ac:dyDescent="0.2">
      <c r="A243" t="s">
        <v>753</v>
      </c>
      <c r="B243" t="s">
        <v>134</v>
      </c>
      <c r="C243" t="s">
        <v>32</v>
      </c>
      <c r="D243" t="s">
        <v>33</v>
      </c>
      <c r="E243">
        <v>6987.7</v>
      </c>
      <c r="F243">
        <v>628.89</v>
      </c>
      <c r="G243">
        <v>628.89</v>
      </c>
      <c r="H243">
        <v>8245.48</v>
      </c>
      <c r="I243" t="s">
        <v>610</v>
      </c>
    </row>
    <row r="244" spans="1:9" x14ac:dyDescent="0.2">
      <c r="A244" t="s">
        <v>754</v>
      </c>
      <c r="B244" t="s">
        <v>170</v>
      </c>
      <c r="C244" t="s">
        <v>11</v>
      </c>
      <c r="D244" t="s">
        <v>12</v>
      </c>
      <c r="E244">
        <v>25838.02</v>
      </c>
      <c r="F244">
        <v>2325.42</v>
      </c>
      <c r="G244">
        <v>2325.42</v>
      </c>
      <c r="H244">
        <v>30488.86</v>
      </c>
      <c r="I244" t="s">
        <v>610</v>
      </c>
    </row>
    <row r="245" spans="1:9" x14ac:dyDescent="0.2">
      <c r="A245" t="s">
        <v>755</v>
      </c>
      <c r="B245" t="s">
        <v>83</v>
      </c>
      <c r="C245" t="s">
        <v>20</v>
      </c>
      <c r="D245" t="s">
        <v>21</v>
      </c>
      <c r="E245">
        <v>24751.43</v>
      </c>
      <c r="F245">
        <v>2227.63</v>
      </c>
      <c r="G245">
        <v>2227.63</v>
      </c>
      <c r="H245">
        <v>29206.69</v>
      </c>
      <c r="I245" t="s">
        <v>610</v>
      </c>
    </row>
    <row r="246" spans="1:9" x14ac:dyDescent="0.2">
      <c r="A246" t="s">
        <v>756</v>
      </c>
      <c r="B246" t="s">
        <v>116</v>
      </c>
      <c r="C246" t="s">
        <v>32</v>
      </c>
      <c r="D246" t="s">
        <v>33</v>
      </c>
      <c r="E246">
        <v>40924.43</v>
      </c>
      <c r="F246">
        <v>3683.2</v>
      </c>
      <c r="G246">
        <v>3683.2</v>
      </c>
      <c r="H246">
        <v>48290.83</v>
      </c>
      <c r="I246" t="s">
        <v>610</v>
      </c>
    </row>
    <row r="247" spans="1:9" x14ac:dyDescent="0.2">
      <c r="A247" t="s">
        <v>757</v>
      </c>
      <c r="B247" t="s">
        <v>118</v>
      </c>
      <c r="C247" t="s">
        <v>20</v>
      </c>
      <c r="D247" t="s">
        <v>21</v>
      </c>
      <c r="E247">
        <v>6252.49</v>
      </c>
      <c r="F247">
        <v>562.72</v>
      </c>
      <c r="G247">
        <v>562.72</v>
      </c>
      <c r="H247">
        <v>7377.93</v>
      </c>
      <c r="I247" t="s">
        <v>610</v>
      </c>
    </row>
    <row r="248" spans="1:9" x14ac:dyDescent="0.2">
      <c r="A248" t="s">
        <v>758</v>
      </c>
      <c r="B248" t="s">
        <v>172</v>
      </c>
      <c r="C248" t="s">
        <v>16</v>
      </c>
      <c r="D248" t="s">
        <v>17</v>
      </c>
      <c r="E248">
        <v>9181.81</v>
      </c>
      <c r="F248">
        <v>826.36</v>
      </c>
      <c r="G248">
        <v>826.36</v>
      </c>
      <c r="H248">
        <v>10834.53</v>
      </c>
      <c r="I248" t="s">
        <v>610</v>
      </c>
    </row>
    <row r="249" spans="1:9" x14ac:dyDescent="0.2">
      <c r="A249" t="s">
        <v>759</v>
      </c>
      <c r="B249" t="s">
        <v>107</v>
      </c>
      <c r="C249" t="s">
        <v>20</v>
      </c>
      <c r="D249" t="s">
        <v>21</v>
      </c>
      <c r="E249">
        <v>10348.92</v>
      </c>
      <c r="F249">
        <v>931.4</v>
      </c>
      <c r="G249">
        <v>931.4</v>
      </c>
      <c r="H249">
        <v>12211.72</v>
      </c>
      <c r="I249" t="s">
        <v>610</v>
      </c>
    </row>
    <row r="250" spans="1:9" x14ac:dyDescent="0.2">
      <c r="A250" t="s">
        <v>760</v>
      </c>
      <c r="B250" t="s">
        <v>611</v>
      </c>
      <c r="C250" t="s">
        <v>20</v>
      </c>
      <c r="D250" t="s">
        <v>21</v>
      </c>
      <c r="E250">
        <v>6784.47</v>
      </c>
      <c r="F250">
        <v>610.6</v>
      </c>
      <c r="G250">
        <v>610.6</v>
      </c>
      <c r="H250">
        <v>8005.67</v>
      </c>
      <c r="I250" t="s">
        <v>610</v>
      </c>
    </row>
    <row r="251" spans="1:9" x14ac:dyDescent="0.2">
      <c r="A251" t="s">
        <v>761</v>
      </c>
      <c r="B251" t="s">
        <v>54</v>
      </c>
      <c r="C251" t="s">
        <v>24</v>
      </c>
      <c r="D251" t="s">
        <v>25</v>
      </c>
      <c r="E251">
        <v>17403.41</v>
      </c>
      <c r="F251">
        <v>1566.31</v>
      </c>
      <c r="G251">
        <v>1566.31</v>
      </c>
      <c r="H251">
        <v>20536.03</v>
      </c>
      <c r="I251" t="s">
        <v>610</v>
      </c>
    </row>
    <row r="252" spans="1:9" x14ac:dyDescent="0.2">
      <c r="A252" t="s">
        <v>762</v>
      </c>
      <c r="B252" t="s">
        <v>212</v>
      </c>
      <c r="C252" t="s">
        <v>20</v>
      </c>
      <c r="D252" t="s">
        <v>21</v>
      </c>
      <c r="E252">
        <v>33709.35</v>
      </c>
      <c r="F252">
        <v>3033.84</v>
      </c>
      <c r="G252">
        <v>3033.84</v>
      </c>
      <c r="H252">
        <v>39777.03</v>
      </c>
      <c r="I252" t="s">
        <v>610</v>
      </c>
    </row>
    <row r="253" spans="1:9" x14ac:dyDescent="0.2">
      <c r="A253" t="s">
        <v>763</v>
      </c>
      <c r="B253" t="s">
        <v>87</v>
      </c>
      <c r="C253" t="s">
        <v>24</v>
      </c>
      <c r="D253" t="s">
        <v>25</v>
      </c>
      <c r="E253">
        <v>47140.36</v>
      </c>
      <c r="F253">
        <v>4242.63</v>
      </c>
      <c r="G253">
        <v>4242.63</v>
      </c>
      <c r="H253">
        <v>55625.62</v>
      </c>
      <c r="I253" t="s">
        <v>610</v>
      </c>
    </row>
    <row r="254" spans="1:9" x14ac:dyDescent="0.2">
      <c r="A254" t="s">
        <v>764</v>
      </c>
      <c r="B254" t="s">
        <v>19</v>
      </c>
      <c r="C254" t="s">
        <v>24</v>
      </c>
      <c r="D254" t="s">
        <v>25</v>
      </c>
      <c r="E254">
        <v>43573.48</v>
      </c>
      <c r="F254">
        <v>3921.61</v>
      </c>
      <c r="G254">
        <v>3921.61</v>
      </c>
      <c r="H254">
        <v>51416.7</v>
      </c>
      <c r="I254" t="s">
        <v>610</v>
      </c>
    </row>
    <row r="255" spans="1:9" x14ac:dyDescent="0.2">
      <c r="A255" t="s">
        <v>765</v>
      </c>
      <c r="B255" t="s">
        <v>121</v>
      </c>
      <c r="C255" t="s">
        <v>20</v>
      </c>
      <c r="D255" t="s">
        <v>21</v>
      </c>
      <c r="E255">
        <v>44370.63</v>
      </c>
      <c r="F255">
        <v>3993.36</v>
      </c>
      <c r="G255">
        <v>3993.36</v>
      </c>
      <c r="H255">
        <v>52357.35</v>
      </c>
      <c r="I255" t="s">
        <v>610</v>
      </c>
    </row>
    <row r="256" spans="1:9" x14ac:dyDescent="0.2">
      <c r="A256" t="s">
        <v>766</v>
      </c>
      <c r="B256" t="s">
        <v>174</v>
      </c>
      <c r="C256" t="s">
        <v>11</v>
      </c>
      <c r="D256" t="s">
        <v>12</v>
      </c>
      <c r="E256">
        <v>8234.09</v>
      </c>
      <c r="F256">
        <v>741.07</v>
      </c>
      <c r="G256">
        <v>741.07</v>
      </c>
      <c r="H256">
        <v>9716.23</v>
      </c>
      <c r="I256" t="s">
        <v>610</v>
      </c>
    </row>
    <row r="257" spans="1:9" x14ac:dyDescent="0.2">
      <c r="A257" t="s">
        <v>767</v>
      </c>
      <c r="B257" t="s">
        <v>60</v>
      </c>
      <c r="C257" t="s">
        <v>32</v>
      </c>
      <c r="D257" t="s">
        <v>33</v>
      </c>
      <c r="E257">
        <v>8514.58</v>
      </c>
      <c r="F257">
        <v>766.31</v>
      </c>
      <c r="G257">
        <v>766.31</v>
      </c>
      <c r="H257">
        <v>10047.200000000001</v>
      </c>
      <c r="I257" t="s">
        <v>610</v>
      </c>
    </row>
    <row r="258" spans="1:9" x14ac:dyDescent="0.2">
      <c r="A258" t="s">
        <v>768</v>
      </c>
      <c r="B258" t="s">
        <v>51</v>
      </c>
      <c r="C258" t="s">
        <v>32</v>
      </c>
      <c r="D258" t="s">
        <v>33</v>
      </c>
      <c r="E258">
        <v>36009.839999999997</v>
      </c>
      <c r="F258">
        <v>3240.89</v>
      </c>
      <c r="G258">
        <v>3240.89</v>
      </c>
      <c r="H258">
        <v>42491.62</v>
      </c>
      <c r="I258" t="s">
        <v>610</v>
      </c>
    </row>
    <row r="259" spans="1:9" x14ac:dyDescent="0.2">
      <c r="A259" t="s">
        <v>769</v>
      </c>
      <c r="B259" t="s">
        <v>165</v>
      </c>
      <c r="C259" t="s">
        <v>11</v>
      </c>
      <c r="D259" t="s">
        <v>12</v>
      </c>
      <c r="E259">
        <v>15581.97</v>
      </c>
      <c r="F259">
        <v>1402.38</v>
      </c>
      <c r="G259">
        <v>1402.38</v>
      </c>
      <c r="H259">
        <v>18386.73</v>
      </c>
      <c r="I259" t="s">
        <v>610</v>
      </c>
    </row>
    <row r="260" spans="1:9" x14ac:dyDescent="0.2">
      <c r="A260" t="s">
        <v>770</v>
      </c>
      <c r="B260" t="s">
        <v>172</v>
      </c>
      <c r="C260" t="s">
        <v>16</v>
      </c>
      <c r="D260" t="s">
        <v>17</v>
      </c>
      <c r="E260">
        <v>38641.83</v>
      </c>
      <c r="F260">
        <v>3477.76</v>
      </c>
      <c r="G260">
        <v>3477.76</v>
      </c>
      <c r="H260">
        <v>45597.35</v>
      </c>
      <c r="I260" t="s">
        <v>610</v>
      </c>
    </row>
    <row r="261" spans="1:9" x14ac:dyDescent="0.2">
      <c r="A261" t="s">
        <v>771</v>
      </c>
      <c r="B261" t="s">
        <v>38</v>
      </c>
      <c r="C261" t="s">
        <v>11</v>
      </c>
      <c r="D261" t="s">
        <v>12</v>
      </c>
      <c r="E261">
        <v>33727.760000000002</v>
      </c>
      <c r="F261">
        <v>3035.5</v>
      </c>
      <c r="G261">
        <v>3035.5</v>
      </c>
      <c r="H261">
        <v>39798.76</v>
      </c>
      <c r="I261" t="s">
        <v>610</v>
      </c>
    </row>
    <row r="262" spans="1:9" x14ac:dyDescent="0.2">
      <c r="A262" t="s">
        <v>772</v>
      </c>
      <c r="B262" t="s">
        <v>116</v>
      </c>
      <c r="C262" t="s">
        <v>20</v>
      </c>
      <c r="D262" t="s">
        <v>21</v>
      </c>
      <c r="E262">
        <v>30704.7</v>
      </c>
      <c r="F262">
        <v>2763.42</v>
      </c>
      <c r="G262">
        <v>2763.42</v>
      </c>
      <c r="H262">
        <v>36231.54</v>
      </c>
      <c r="I262" t="s">
        <v>610</v>
      </c>
    </row>
    <row r="263" spans="1:9" x14ac:dyDescent="0.2">
      <c r="A263" t="s">
        <v>773</v>
      </c>
      <c r="B263" t="s">
        <v>31</v>
      </c>
      <c r="C263" t="s">
        <v>24</v>
      </c>
      <c r="D263" t="s">
        <v>25</v>
      </c>
      <c r="E263">
        <v>46147.39</v>
      </c>
      <c r="F263">
        <v>4153.2700000000004</v>
      </c>
      <c r="G263">
        <v>4153.2700000000004</v>
      </c>
      <c r="H263">
        <v>54453.93</v>
      </c>
      <c r="I263" t="s">
        <v>610</v>
      </c>
    </row>
    <row r="264" spans="1:9" x14ac:dyDescent="0.2">
      <c r="A264" t="s">
        <v>774</v>
      </c>
      <c r="B264" t="s">
        <v>105</v>
      </c>
      <c r="C264" t="s">
        <v>11</v>
      </c>
      <c r="D264" t="s">
        <v>12</v>
      </c>
      <c r="E264">
        <v>26569.49</v>
      </c>
      <c r="F264">
        <v>2391.25</v>
      </c>
      <c r="G264">
        <v>2391.25</v>
      </c>
      <c r="H264">
        <v>31351.99</v>
      </c>
      <c r="I264" t="s">
        <v>610</v>
      </c>
    </row>
    <row r="265" spans="1:9" x14ac:dyDescent="0.2">
      <c r="A265" t="s">
        <v>775</v>
      </c>
      <c r="B265" t="s">
        <v>258</v>
      </c>
      <c r="C265" t="s">
        <v>11</v>
      </c>
      <c r="D265" t="s">
        <v>12</v>
      </c>
      <c r="E265">
        <v>5243.35</v>
      </c>
      <c r="F265">
        <v>471.9</v>
      </c>
      <c r="G265">
        <v>471.9</v>
      </c>
      <c r="H265">
        <v>6187.15</v>
      </c>
      <c r="I265" t="s">
        <v>610</v>
      </c>
    </row>
    <row r="266" spans="1:9" x14ac:dyDescent="0.2">
      <c r="A266" t="s">
        <v>776</v>
      </c>
      <c r="B266" t="s">
        <v>152</v>
      </c>
      <c r="C266" t="s">
        <v>24</v>
      </c>
      <c r="D266" t="s">
        <v>25</v>
      </c>
      <c r="E266">
        <v>11395.87</v>
      </c>
      <c r="F266">
        <v>1025.6300000000001</v>
      </c>
      <c r="G266">
        <v>1025.6300000000001</v>
      </c>
      <c r="H266">
        <v>13447.13</v>
      </c>
      <c r="I266" t="s">
        <v>610</v>
      </c>
    </row>
    <row r="267" spans="1:9" x14ac:dyDescent="0.2">
      <c r="A267" t="s">
        <v>777</v>
      </c>
      <c r="B267" t="s">
        <v>31</v>
      </c>
      <c r="C267" t="s">
        <v>32</v>
      </c>
      <c r="D267" t="s">
        <v>33</v>
      </c>
      <c r="E267">
        <v>10508.19</v>
      </c>
      <c r="F267">
        <v>945.74</v>
      </c>
      <c r="G267">
        <v>945.74</v>
      </c>
      <c r="H267">
        <v>12399.67</v>
      </c>
      <c r="I267" t="s">
        <v>610</v>
      </c>
    </row>
    <row r="268" spans="1:9" x14ac:dyDescent="0.2">
      <c r="A268" t="s">
        <v>778</v>
      </c>
      <c r="B268" t="s">
        <v>91</v>
      </c>
      <c r="C268" t="s">
        <v>24</v>
      </c>
      <c r="D268" t="s">
        <v>25</v>
      </c>
      <c r="E268">
        <v>1623.77</v>
      </c>
      <c r="F268">
        <v>146.13999999999999</v>
      </c>
      <c r="G268">
        <v>146.13999999999999</v>
      </c>
      <c r="H268">
        <v>1916.05</v>
      </c>
      <c r="I268" t="s">
        <v>610</v>
      </c>
    </row>
    <row r="269" spans="1:9" x14ac:dyDescent="0.2">
      <c r="A269" t="s">
        <v>779</v>
      </c>
      <c r="B269" t="s">
        <v>176</v>
      </c>
      <c r="C269" t="s">
        <v>20</v>
      </c>
      <c r="D269" t="s">
        <v>21</v>
      </c>
      <c r="E269">
        <v>2331.94</v>
      </c>
      <c r="F269">
        <v>209.87</v>
      </c>
      <c r="G269">
        <v>209.87</v>
      </c>
      <c r="H269">
        <v>2751.68</v>
      </c>
      <c r="I269" t="s">
        <v>610</v>
      </c>
    </row>
    <row r="270" spans="1:9" x14ac:dyDescent="0.2">
      <c r="A270" t="s">
        <v>780</v>
      </c>
      <c r="B270" t="s">
        <v>273</v>
      </c>
      <c r="C270" t="s">
        <v>20</v>
      </c>
      <c r="D270" t="s">
        <v>21</v>
      </c>
      <c r="E270">
        <v>48770.98</v>
      </c>
      <c r="F270">
        <v>4389.3900000000003</v>
      </c>
      <c r="G270">
        <v>4389.3900000000003</v>
      </c>
      <c r="H270">
        <v>57549.760000000002</v>
      </c>
      <c r="I270" t="s">
        <v>610</v>
      </c>
    </row>
    <row r="271" spans="1:9" x14ac:dyDescent="0.2">
      <c r="A271" t="s">
        <v>781</v>
      </c>
      <c r="B271" t="s">
        <v>174</v>
      </c>
      <c r="C271" t="s">
        <v>20</v>
      </c>
      <c r="D271" t="s">
        <v>21</v>
      </c>
      <c r="E271">
        <v>3457.03</v>
      </c>
      <c r="F271">
        <v>311.13</v>
      </c>
      <c r="G271">
        <v>311.13</v>
      </c>
      <c r="H271">
        <v>4079.29</v>
      </c>
      <c r="I271" t="s">
        <v>610</v>
      </c>
    </row>
    <row r="272" spans="1:9" x14ac:dyDescent="0.2">
      <c r="A272" t="s">
        <v>782</v>
      </c>
      <c r="B272" t="s">
        <v>471</v>
      </c>
      <c r="C272" t="s">
        <v>16</v>
      </c>
      <c r="D272" t="s">
        <v>17</v>
      </c>
      <c r="E272">
        <v>26618.43</v>
      </c>
      <c r="F272">
        <v>2395.66</v>
      </c>
      <c r="G272">
        <v>2395.66</v>
      </c>
      <c r="H272">
        <v>31409.75</v>
      </c>
      <c r="I272" t="s">
        <v>610</v>
      </c>
    </row>
    <row r="273" spans="1:9" x14ac:dyDescent="0.2">
      <c r="A273" t="s">
        <v>783</v>
      </c>
      <c r="B273" t="s">
        <v>260</v>
      </c>
      <c r="C273" t="s">
        <v>20</v>
      </c>
      <c r="D273" t="s">
        <v>21</v>
      </c>
      <c r="E273">
        <v>2847.19</v>
      </c>
      <c r="F273">
        <v>256.25</v>
      </c>
      <c r="G273">
        <v>256.25</v>
      </c>
      <c r="H273">
        <v>3359.69</v>
      </c>
      <c r="I273" t="s">
        <v>610</v>
      </c>
    </row>
    <row r="274" spans="1:9" x14ac:dyDescent="0.2">
      <c r="A274" t="s">
        <v>784</v>
      </c>
      <c r="B274" t="s">
        <v>73</v>
      </c>
      <c r="C274" t="s">
        <v>20</v>
      </c>
      <c r="D274" t="s">
        <v>21</v>
      </c>
      <c r="E274">
        <v>17550.39</v>
      </c>
      <c r="F274">
        <v>1579.54</v>
      </c>
      <c r="G274">
        <v>1579.54</v>
      </c>
      <c r="H274">
        <v>20709.47</v>
      </c>
      <c r="I274" t="s">
        <v>610</v>
      </c>
    </row>
    <row r="275" spans="1:9" x14ac:dyDescent="0.2">
      <c r="A275" t="s">
        <v>785</v>
      </c>
      <c r="B275" t="s">
        <v>65</v>
      </c>
      <c r="C275" t="s">
        <v>32</v>
      </c>
      <c r="D275" t="s">
        <v>33</v>
      </c>
      <c r="E275">
        <v>23918.23</v>
      </c>
      <c r="F275">
        <v>2152.64</v>
      </c>
      <c r="G275">
        <v>2152.64</v>
      </c>
      <c r="H275">
        <v>28223.51</v>
      </c>
      <c r="I275" t="s">
        <v>610</v>
      </c>
    </row>
    <row r="276" spans="1:9" x14ac:dyDescent="0.2">
      <c r="A276" t="s">
        <v>786</v>
      </c>
      <c r="B276" t="s">
        <v>338</v>
      </c>
      <c r="C276" t="s">
        <v>32</v>
      </c>
      <c r="D276" t="s">
        <v>33</v>
      </c>
      <c r="E276">
        <v>46027.33</v>
      </c>
      <c r="F276">
        <v>4142.46</v>
      </c>
      <c r="G276">
        <v>4142.46</v>
      </c>
      <c r="H276">
        <v>54312.25</v>
      </c>
      <c r="I276" t="s">
        <v>610</v>
      </c>
    </row>
    <row r="277" spans="1:9" x14ac:dyDescent="0.2">
      <c r="A277" t="s">
        <v>787</v>
      </c>
      <c r="B277" t="s">
        <v>205</v>
      </c>
      <c r="C277" t="s">
        <v>20</v>
      </c>
      <c r="D277" t="s">
        <v>21</v>
      </c>
      <c r="E277">
        <v>3294.69</v>
      </c>
      <c r="F277">
        <v>296.52</v>
      </c>
      <c r="G277">
        <v>296.52</v>
      </c>
      <c r="H277">
        <v>3887.73</v>
      </c>
      <c r="I277" t="s">
        <v>610</v>
      </c>
    </row>
    <row r="278" spans="1:9" x14ac:dyDescent="0.2">
      <c r="A278" t="s">
        <v>788</v>
      </c>
      <c r="B278" t="s">
        <v>31</v>
      </c>
      <c r="C278" t="s">
        <v>20</v>
      </c>
      <c r="D278" t="s">
        <v>21</v>
      </c>
      <c r="E278">
        <v>23924.77</v>
      </c>
      <c r="F278">
        <v>2153.23</v>
      </c>
      <c r="G278">
        <v>2153.23</v>
      </c>
      <c r="H278">
        <v>28231.23</v>
      </c>
      <c r="I278" t="s">
        <v>610</v>
      </c>
    </row>
    <row r="279" spans="1:9" x14ac:dyDescent="0.2">
      <c r="A279" t="s">
        <v>789</v>
      </c>
      <c r="B279" t="s">
        <v>47</v>
      </c>
      <c r="C279" t="s">
        <v>11</v>
      </c>
      <c r="D279" t="s">
        <v>12</v>
      </c>
      <c r="E279">
        <v>28252.75</v>
      </c>
      <c r="F279">
        <v>2542.75</v>
      </c>
      <c r="G279">
        <v>2542.75</v>
      </c>
      <c r="H279">
        <v>33338.25</v>
      </c>
      <c r="I279" t="s">
        <v>610</v>
      </c>
    </row>
    <row r="280" spans="1:9" x14ac:dyDescent="0.2">
      <c r="A280" t="s">
        <v>790</v>
      </c>
      <c r="B280" t="s">
        <v>124</v>
      </c>
      <c r="C280" t="s">
        <v>24</v>
      </c>
      <c r="D280" t="s">
        <v>25</v>
      </c>
      <c r="E280">
        <v>8771.91</v>
      </c>
      <c r="F280">
        <v>789.47</v>
      </c>
      <c r="G280">
        <v>789.47</v>
      </c>
      <c r="H280">
        <v>10350.85</v>
      </c>
      <c r="I280" t="s">
        <v>610</v>
      </c>
    </row>
    <row r="281" spans="1:9" x14ac:dyDescent="0.2">
      <c r="A281" t="s">
        <v>791</v>
      </c>
      <c r="B281" t="s">
        <v>157</v>
      </c>
      <c r="C281" t="s">
        <v>11</v>
      </c>
      <c r="D281" t="s">
        <v>12</v>
      </c>
      <c r="E281">
        <v>25827.52</v>
      </c>
      <c r="F281">
        <v>2324.48</v>
      </c>
      <c r="G281">
        <v>2324.48</v>
      </c>
      <c r="H281">
        <v>30476.48</v>
      </c>
      <c r="I281" t="s">
        <v>610</v>
      </c>
    </row>
    <row r="282" spans="1:9" x14ac:dyDescent="0.2">
      <c r="A282" t="s">
        <v>792</v>
      </c>
      <c r="B282" t="s">
        <v>146</v>
      </c>
      <c r="C282" t="s">
        <v>11</v>
      </c>
      <c r="D282" t="s">
        <v>12</v>
      </c>
      <c r="E282">
        <v>16784.86</v>
      </c>
      <c r="F282">
        <v>1510.64</v>
      </c>
      <c r="G282">
        <v>1510.64</v>
      </c>
      <c r="H282">
        <v>19806.14</v>
      </c>
      <c r="I282" t="s">
        <v>610</v>
      </c>
    </row>
    <row r="283" spans="1:9" x14ac:dyDescent="0.2">
      <c r="A283" t="s">
        <v>793</v>
      </c>
      <c r="B283" t="s">
        <v>10</v>
      </c>
      <c r="C283" t="s">
        <v>24</v>
      </c>
      <c r="D283" t="s">
        <v>25</v>
      </c>
      <c r="E283">
        <v>22006.959999999999</v>
      </c>
      <c r="F283">
        <v>1980.63</v>
      </c>
      <c r="G283">
        <v>1980.63</v>
      </c>
      <c r="H283">
        <v>25968.22</v>
      </c>
      <c r="I283" t="s">
        <v>610</v>
      </c>
    </row>
    <row r="284" spans="1:9" x14ac:dyDescent="0.2">
      <c r="A284" t="s">
        <v>794</v>
      </c>
      <c r="B284" t="s">
        <v>77</v>
      </c>
      <c r="C284" t="s">
        <v>32</v>
      </c>
      <c r="D284" t="s">
        <v>33</v>
      </c>
      <c r="E284">
        <v>14158.67</v>
      </c>
      <c r="F284">
        <v>1274.28</v>
      </c>
      <c r="G284">
        <v>1274.28</v>
      </c>
      <c r="H284">
        <v>16707.23</v>
      </c>
      <c r="I284" t="s">
        <v>610</v>
      </c>
    </row>
    <row r="285" spans="1:9" x14ac:dyDescent="0.2">
      <c r="A285" t="s">
        <v>795</v>
      </c>
      <c r="B285" t="s">
        <v>58</v>
      </c>
      <c r="C285" t="s">
        <v>20</v>
      </c>
      <c r="D285" t="s">
        <v>21</v>
      </c>
      <c r="E285">
        <v>49608.45</v>
      </c>
      <c r="F285">
        <v>4464.76</v>
      </c>
      <c r="G285">
        <v>4464.76</v>
      </c>
      <c r="H285">
        <v>58537.97</v>
      </c>
      <c r="I285" t="s">
        <v>610</v>
      </c>
    </row>
    <row r="286" spans="1:9" x14ac:dyDescent="0.2">
      <c r="A286" t="s">
        <v>796</v>
      </c>
      <c r="B286" t="s">
        <v>60</v>
      </c>
      <c r="C286" t="s">
        <v>24</v>
      </c>
      <c r="D286" t="s">
        <v>25</v>
      </c>
      <c r="E286">
        <v>28238.41</v>
      </c>
      <c r="F286">
        <v>2541.46</v>
      </c>
      <c r="G286">
        <v>2541.46</v>
      </c>
      <c r="H286">
        <v>33321.33</v>
      </c>
      <c r="I286" t="s">
        <v>610</v>
      </c>
    </row>
    <row r="287" spans="1:9" x14ac:dyDescent="0.2">
      <c r="A287" t="s">
        <v>797</v>
      </c>
      <c r="B287" t="s">
        <v>471</v>
      </c>
      <c r="C287" t="s">
        <v>11</v>
      </c>
      <c r="D287" t="s">
        <v>12</v>
      </c>
      <c r="E287">
        <v>14429.4</v>
      </c>
      <c r="F287">
        <v>1298.6500000000001</v>
      </c>
      <c r="G287">
        <v>1298.6500000000001</v>
      </c>
      <c r="H287">
        <v>17026.7</v>
      </c>
      <c r="I287" t="s">
        <v>610</v>
      </c>
    </row>
    <row r="288" spans="1:9" x14ac:dyDescent="0.2">
      <c r="A288" t="s">
        <v>798</v>
      </c>
      <c r="B288" t="s">
        <v>121</v>
      </c>
      <c r="C288" t="s">
        <v>11</v>
      </c>
      <c r="D288" t="s">
        <v>12</v>
      </c>
      <c r="E288">
        <v>48185.05</v>
      </c>
      <c r="F288">
        <v>4336.6499999999996</v>
      </c>
      <c r="G288">
        <v>4336.6499999999996</v>
      </c>
      <c r="H288">
        <v>56858.35</v>
      </c>
      <c r="I288" t="s">
        <v>610</v>
      </c>
    </row>
    <row r="289" spans="1:9" x14ac:dyDescent="0.2">
      <c r="A289" t="s">
        <v>799</v>
      </c>
      <c r="B289" t="s">
        <v>118</v>
      </c>
      <c r="C289" t="s">
        <v>20</v>
      </c>
      <c r="D289" t="s">
        <v>21</v>
      </c>
      <c r="E289">
        <v>44047.15</v>
      </c>
      <c r="F289">
        <v>3964.24</v>
      </c>
      <c r="G289">
        <v>3964.24</v>
      </c>
      <c r="H289">
        <v>51975.63</v>
      </c>
      <c r="I289" t="s">
        <v>610</v>
      </c>
    </row>
    <row r="290" spans="1:9" x14ac:dyDescent="0.2">
      <c r="A290" t="s">
        <v>800</v>
      </c>
      <c r="B290" t="s">
        <v>100</v>
      </c>
      <c r="C290" t="s">
        <v>11</v>
      </c>
      <c r="D290" t="s">
        <v>12</v>
      </c>
      <c r="E290">
        <v>3789.61</v>
      </c>
      <c r="F290">
        <v>341.06</v>
      </c>
      <c r="G290">
        <v>341.06</v>
      </c>
      <c r="H290">
        <v>4471.7299999999996</v>
      </c>
      <c r="I290" t="s">
        <v>610</v>
      </c>
    </row>
    <row r="291" spans="1:9" x14ac:dyDescent="0.2">
      <c r="A291" t="s">
        <v>801</v>
      </c>
      <c r="B291" t="s">
        <v>258</v>
      </c>
      <c r="C291" t="s">
        <v>24</v>
      </c>
      <c r="D291" t="s">
        <v>25</v>
      </c>
      <c r="E291">
        <v>42933.31</v>
      </c>
      <c r="F291">
        <v>3864</v>
      </c>
      <c r="G291">
        <v>3864</v>
      </c>
      <c r="H291">
        <v>50661.31</v>
      </c>
      <c r="I291" t="s">
        <v>610</v>
      </c>
    </row>
    <row r="292" spans="1:9" x14ac:dyDescent="0.2">
      <c r="A292" t="s">
        <v>802</v>
      </c>
      <c r="B292" t="s">
        <v>114</v>
      </c>
      <c r="C292" t="s">
        <v>20</v>
      </c>
      <c r="D292" t="s">
        <v>21</v>
      </c>
      <c r="E292">
        <v>31928.07</v>
      </c>
      <c r="F292">
        <v>2873.53</v>
      </c>
      <c r="G292">
        <v>2873.53</v>
      </c>
      <c r="H292">
        <v>37675.129999999997</v>
      </c>
      <c r="I292" t="s">
        <v>610</v>
      </c>
    </row>
    <row r="293" spans="1:9" x14ac:dyDescent="0.2">
      <c r="A293" t="s">
        <v>803</v>
      </c>
      <c r="B293" t="s">
        <v>238</v>
      </c>
      <c r="C293" t="s">
        <v>32</v>
      </c>
      <c r="D293" t="s">
        <v>33</v>
      </c>
      <c r="E293">
        <v>8488.2000000000007</v>
      </c>
      <c r="F293">
        <v>763.94</v>
      </c>
      <c r="G293">
        <v>763.94</v>
      </c>
      <c r="H293">
        <v>10016.08</v>
      </c>
      <c r="I293" t="s">
        <v>610</v>
      </c>
    </row>
    <row r="294" spans="1:9" x14ac:dyDescent="0.2">
      <c r="A294" t="s">
        <v>804</v>
      </c>
      <c r="B294" t="s">
        <v>77</v>
      </c>
      <c r="C294" t="s">
        <v>11</v>
      </c>
      <c r="D294" t="s">
        <v>12</v>
      </c>
      <c r="E294">
        <v>13648.98</v>
      </c>
      <c r="F294">
        <v>1228.4100000000001</v>
      </c>
      <c r="G294">
        <v>1228.4100000000001</v>
      </c>
      <c r="H294">
        <v>16105.8</v>
      </c>
      <c r="I294" t="s">
        <v>610</v>
      </c>
    </row>
    <row r="295" spans="1:9" x14ac:dyDescent="0.2">
      <c r="A295" t="s">
        <v>805</v>
      </c>
      <c r="B295" t="s">
        <v>47</v>
      </c>
      <c r="C295" t="s">
        <v>16</v>
      </c>
      <c r="D295" t="s">
        <v>17</v>
      </c>
      <c r="E295">
        <v>48150.32</v>
      </c>
      <c r="F295">
        <v>4333.53</v>
      </c>
      <c r="G295">
        <v>4333.53</v>
      </c>
      <c r="H295">
        <v>56817.38</v>
      </c>
      <c r="I295" t="s">
        <v>610</v>
      </c>
    </row>
    <row r="296" spans="1:9" x14ac:dyDescent="0.2">
      <c r="A296" t="s">
        <v>806</v>
      </c>
      <c r="B296" t="s">
        <v>185</v>
      </c>
      <c r="C296" t="s">
        <v>11</v>
      </c>
      <c r="D296" t="s">
        <v>12</v>
      </c>
      <c r="E296">
        <v>7356.61</v>
      </c>
      <c r="F296">
        <v>662.09</v>
      </c>
      <c r="G296">
        <v>662.09</v>
      </c>
      <c r="H296">
        <v>8680.7900000000009</v>
      </c>
      <c r="I296" t="s">
        <v>610</v>
      </c>
    </row>
    <row r="297" spans="1:9" x14ac:dyDescent="0.2">
      <c r="A297" t="s">
        <v>807</v>
      </c>
      <c r="B297" t="s">
        <v>155</v>
      </c>
      <c r="C297" t="s">
        <v>32</v>
      </c>
      <c r="D297" t="s">
        <v>33</v>
      </c>
      <c r="E297">
        <v>11465.14</v>
      </c>
      <c r="F297">
        <v>1031.8599999999999</v>
      </c>
      <c r="G297">
        <v>1031.8599999999999</v>
      </c>
      <c r="H297">
        <v>13528.86</v>
      </c>
      <c r="I297" t="s">
        <v>610</v>
      </c>
    </row>
    <row r="298" spans="1:9" x14ac:dyDescent="0.2">
      <c r="A298" t="s">
        <v>808</v>
      </c>
      <c r="B298" t="s">
        <v>68</v>
      </c>
      <c r="C298" t="s">
        <v>11</v>
      </c>
      <c r="D298" t="s">
        <v>12</v>
      </c>
      <c r="E298">
        <v>8109.2</v>
      </c>
      <c r="F298">
        <v>729.83</v>
      </c>
      <c r="G298">
        <v>729.83</v>
      </c>
      <c r="H298">
        <v>9568.86</v>
      </c>
      <c r="I298" t="s">
        <v>610</v>
      </c>
    </row>
    <row r="299" spans="1:9" x14ac:dyDescent="0.2">
      <c r="A299" t="s">
        <v>809</v>
      </c>
      <c r="B299" t="s">
        <v>215</v>
      </c>
      <c r="C299" t="s">
        <v>16</v>
      </c>
      <c r="D299" t="s">
        <v>17</v>
      </c>
      <c r="E299">
        <v>46196.6</v>
      </c>
      <c r="F299">
        <v>4157.6899999999996</v>
      </c>
      <c r="G299">
        <v>4157.6899999999996</v>
      </c>
      <c r="H299">
        <v>54511.98</v>
      </c>
      <c r="I299" t="s">
        <v>610</v>
      </c>
    </row>
    <row r="300" spans="1:9" x14ac:dyDescent="0.2">
      <c r="A300" t="s">
        <v>810</v>
      </c>
      <c r="B300" t="s">
        <v>77</v>
      </c>
      <c r="C300" t="s">
        <v>32</v>
      </c>
      <c r="D300" t="s">
        <v>33</v>
      </c>
      <c r="E300">
        <v>43092.68</v>
      </c>
      <c r="F300">
        <v>3878.34</v>
      </c>
      <c r="G300">
        <v>3878.34</v>
      </c>
      <c r="H300">
        <v>50849.36</v>
      </c>
      <c r="I300" t="s">
        <v>610</v>
      </c>
    </row>
    <row r="301" spans="1:9" x14ac:dyDescent="0.2">
      <c r="A301" t="s">
        <v>811</v>
      </c>
      <c r="B301" t="s">
        <v>132</v>
      </c>
      <c r="C301" t="s">
        <v>16</v>
      </c>
      <c r="D301" t="s">
        <v>17</v>
      </c>
      <c r="E301">
        <v>3967.81</v>
      </c>
      <c r="F301">
        <v>357.1</v>
      </c>
      <c r="G301">
        <v>357.1</v>
      </c>
      <c r="H301">
        <v>4682.01</v>
      </c>
      <c r="I301" t="s">
        <v>610</v>
      </c>
    </row>
    <row r="302" spans="1:9" x14ac:dyDescent="0.2">
      <c r="A302" t="s">
        <v>812</v>
      </c>
      <c r="B302" t="s">
        <v>130</v>
      </c>
      <c r="C302" t="s">
        <v>11</v>
      </c>
      <c r="D302" t="s">
        <v>12</v>
      </c>
      <c r="E302">
        <v>35335.72</v>
      </c>
      <c r="F302">
        <v>3180.21</v>
      </c>
      <c r="G302">
        <v>3180.21</v>
      </c>
      <c r="H302">
        <v>41696.14</v>
      </c>
      <c r="I302" t="s">
        <v>610</v>
      </c>
    </row>
    <row r="303" spans="1:9" x14ac:dyDescent="0.2">
      <c r="A303" t="s">
        <v>813</v>
      </c>
      <c r="B303" t="s">
        <v>109</v>
      </c>
      <c r="C303" t="s">
        <v>32</v>
      </c>
      <c r="D303" t="s">
        <v>33</v>
      </c>
      <c r="E303">
        <v>41326.620000000003</v>
      </c>
      <c r="F303">
        <v>3719.4</v>
      </c>
      <c r="G303">
        <v>3719.4</v>
      </c>
      <c r="H303">
        <v>48765.42</v>
      </c>
      <c r="I303" t="s">
        <v>610</v>
      </c>
    </row>
    <row r="304" spans="1:9" x14ac:dyDescent="0.2">
      <c r="A304" t="s">
        <v>814</v>
      </c>
      <c r="B304" t="s">
        <v>105</v>
      </c>
      <c r="C304" t="s">
        <v>20</v>
      </c>
      <c r="D304" t="s">
        <v>21</v>
      </c>
      <c r="E304">
        <v>30163.65</v>
      </c>
      <c r="F304">
        <v>2714.73</v>
      </c>
      <c r="G304">
        <v>2714.73</v>
      </c>
      <c r="H304">
        <v>35593.11</v>
      </c>
      <c r="I304" t="s">
        <v>610</v>
      </c>
    </row>
    <row r="305" spans="1:9" x14ac:dyDescent="0.2">
      <c r="A305" t="s">
        <v>815</v>
      </c>
      <c r="B305" t="s">
        <v>611</v>
      </c>
      <c r="C305" t="s">
        <v>20</v>
      </c>
      <c r="D305" t="s">
        <v>21</v>
      </c>
      <c r="E305">
        <v>36179.11</v>
      </c>
      <c r="F305">
        <v>3256.12</v>
      </c>
      <c r="G305">
        <v>3256.12</v>
      </c>
      <c r="H305">
        <v>42691.35</v>
      </c>
      <c r="I305" t="s">
        <v>610</v>
      </c>
    </row>
    <row r="306" spans="1:9" x14ac:dyDescent="0.2">
      <c r="A306" t="s">
        <v>816</v>
      </c>
      <c r="B306" t="s">
        <v>19</v>
      </c>
      <c r="C306" t="s">
        <v>16</v>
      </c>
      <c r="D306" t="s">
        <v>17</v>
      </c>
      <c r="E306">
        <v>32724.35</v>
      </c>
      <c r="F306">
        <v>2945.19</v>
      </c>
      <c r="G306">
        <v>2945.19</v>
      </c>
      <c r="H306">
        <v>38614.730000000003</v>
      </c>
      <c r="I306" t="s">
        <v>610</v>
      </c>
    </row>
    <row r="307" spans="1:9" x14ac:dyDescent="0.2">
      <c r="A307" t="s">
        <v>817</v>
      </c>
      <c r="B307" t="s">
        <v>71</v>
      </c>
      <c r="C307" t="s">
        <v>16</v>
      </c>
      <c r="D307" t="s">
        <v>17</v>
      </c>
      <c r="E307">
        <v>13303.56</v>
      </c>
      <c r="F307">
        <v>1197.32</v>
      </c>
      <c r="G307">
        <v>1197.32</v>
      </c>
      <c r="H307">
        <v>15698.2</v>
      </c>
      <c r="I307" t="s">
        <v>610</v>
      </c>
    </row>
    <row r="308" spans="1:9" x14ac:dyDescent="0.2">
      <c r="A308" t="s">
        <v>818</v>
      </c>
      <c r="B308" t="s">
        <v>165</v>
      </c>
      <c r="C308" t="s">
        <v>16</v>
      </c>
      <c r="D308" t="s">
        <v>17</v>
      </c>
      <c r="E308">
        <v>17585.27</v>
      </c>
      <c r="F308">
        <v>1582.67</v>
      </c>
      <c r="G308">
        <v>1582.67</v>
      </c>
      <c r="H308">
        <v>20750.61</v>
      </c>
      <c r="I308" t="s">
        <v>610</v>
      </c>
    </row>
    <row r="309" spans="1:9" x14ac:dyDescent="0.2">
      <c r="A309" t="s">
        <v>819</v>
      </c>
      <c r="B309" t="s">
        <v>212</v>
      </c>
      <c r="C309" t="s">
        <v>11</v>
      </c>
      <c r="D309" t="s">
        <v>12</v>
      </c>
      <c r="E309">
        <v>37788.15</v>
      </c>
      <c r="F309">
        <v>3400.93</v>
      </c>
      <c r="G309">
        <v>3400.93</v>
      </c>
      <c r="H309">
        <v>44590.01</v>
      </c>
      <c r="I309" t="s">
        <v>610</v>
      </c>
    </row>
    <row r="310" spans="1:9" x14ac:dyDescent="0.2">
      <c r="A310" t="s">
        <v>820</v>
      </c>
      <c r="B310" t="s">
        <v>420</v>
      </c>
      <c r="C310" t="s">
        <v>20</v>
      </c>
      <c r="D310" t="s">
        <v>21</v>
      </c>
      <c r="E310">
        <v>41136.22</v>
      </c>
      <c r="F310">
        <v>3702.26</v>
      </c>
      <c r="G310">
        <v>3702.26</v>
      </c>
      <c r="H310">
        <v>48540.74</v>
      </c>
      <c r="I310" t="s">
        <v>610</v>
      </c>
    </row>
    <row r="311" spans="1:9" x14ac:dyDescent="0.2">
      <c r="A311" t="s">
        <v>821</v>
      </c>
      <c r="B311" t="s">
        <v>29</v>
      </c>
      <c r="C311" t="s">
        <v>24</v>
      </c>
      <c r="D311" t="s">
        <v>25</v>
      </c>
      <c r="E311">
        <v>48426.080000000002</v>
      </c>
      <c r="F311">
        <v>4358.3500000000004</v>
      </c>
      <c r="G311">
        <v>4358.3500000000004</v>
      </c>
      <c r="H311">
        <v>57142.78</v>
      </c>
      <c r="I311" t="s">
        <v>610</v>
      </c>
    </row>
    <row r="312" spans="1:9" x14ac:dyDescent="0.2">
      <c r="A312" t="s">
        <v>822</v>
      </c>
      <c r="B312" t="s">
        <v>311</v>
      </c>
      <c r="C312" t="s">
        <v>20</v>
      </c>
      <c r="D312" t="s">
        <v>21</v>
      </c>
      <c r="E312">
        <v>42169.74</v>
      </c>
      <c r="F312">
        <v>3795.28</v>
      </c>
      <c r="G312">
        <v>3795.28</v>
      </c>
      <c r="H312">
        <v>49760.3</v>
      </c>
      <c r="I312" t="s">
        <v>610</v>
      </c>
    </row>
    <row r="313" spans="1:9" x14ac:dyDescent="0.2">
      <c r="A313" t="s">
        <v>823</v>
      </c>
      <c r="B313" t="s">
        <v>238</v>
      </c>
      <c r="C313" t="s">
        <v>20</v>
      </c>
      <c r="D313" t="s">
        <v>21</v>
      </c>
      <c r="E313">
        <v>36844.269999999997</v>
      </c>
      <c r="F313">
        <v>3315.98</v>
      </c>
      <c r="G313">
        <v>3315.98</v>
      </c>
      <c r="H313">
        <v>43476.23</v>
      </c>
      <c r="I313" t="s">
        <v>610</v>
      </c>
    </row>
    <row r="314" spans="1:9" x14ac:dyDescent="0.2">
      <c r="A314" t="s">
        <v>824</v>
      </c>
      <c r="B314" t="s">
        <v>157</v>
      </c>
      <c r="C314" t="s">
        <v>11</v>
      </c>
      <c r="D314" t="s">
        <v>12</v>
      </c>
      <c r="E314">
        <v>40488.720000000001</v>
      </c>
      <c r="F314">
        <v>3643.98</v>
      </c>
      <c r="G314">
        <v>3643.98</v>
      </c>
      <c r="H314">
        <v>47776.68</v>
      </c>
      <c r="I314" t="s">
        <v>610</v>
      </c>
    </row>
    <row r="315" spans="1:9" x14ac:dyDescent="0.2">
      <c r="A315" t="s">
        <v>825</v>
      </c>
      <c r="B315" t="s">
        <v>31</v>
      </c>
      <c r="C315" t="s">
        <v>32</v>
      </c>
      <c r="D315" t="s">
        <v>33</v>
      </c>
      <c r="E315">
        <v>17250.009999999998</v>
      </c>
      <c r="F315">
        <v>1552.5</v>
      </c>
      <c r="G315">
        <v>1552.5</v>
      </c>
      <c r="H315">
        <v>20355.009999999998</v>
      </c>
      <c r="I315" t="s">
        <v>610</v>
      </c>
    </row>
    <row r="316" spans="1:9" x14ac:dyDescent="0.2">
      <c r="A316" t="s">
        <v>826</v>
      </c>
      <c r="B316" t="s">
        <v>174</v>
      </c>
      <c r="C316" t="s">
        <v>16</v>
      </c>
      <c r="D316" t="s">
        <v>17</v>
      </c>
      <c r="E316">
        <v>22684.7</v>
      </c>
      <c r="F316">
        <v>2041.62</v>
      </c>
      <c r="G316">
        <v>2041.62</v>
      </c>
      <c r="H316">
        <v>26767.94</v>
      </c>
      <c r="I316" t="s">
        <v>610</v>
      </c>
    </row>
    <row r="317" spans="1:9" x14ac:dyDescent="0.2">
      <c r="A317" t="s">
        <v>827</v>
      </c>
      <c r="B317" t="s">
        <v>130</v>
      </c>
      <c r="C317" t="s">
        <v>16</v>
      </c>
      <c r="D317" t="s">
        <v>17</v>
      </c>
      <c r="E317">
        <v>13694.52</v>
      </c>
      <c r="F317">
        <v>1232.51</v>
      </c>
      <c r="G317">
        <v>1232.51</v>
      </c>
      <c r="H317">
        <v>16159.54</v>
      </c>
      <c r="I317" t="s">
        <v>610</v>
      </c>
    </row>
    <row r="318" spans="1:9" x14ac:dyDescent="0.2">
      <c r="A318" t="s">
        <v>828</v>
      </c>
      <c r="B318" t="s">
        <v>134</v>
      </c>
      <c r="C318" t="s">
        <v>32</v>
      </c>
      <c r="D318" t="s">
        <v>33</v>
      </c>
      <c r="E318">
        <v>28805.91</v>
      </c>
      <c r="F318">
        <v>2592.5300000000002</v>
      </c>
      <c r="G318">
        <v>2592.5300000000002</v>
      </c>
      <c r="H318">
        <v>33990.97</v>
      </c>
      <c r="I318" t="s">
        <v>610</v>
      </c>
    </row>
    <row r="319" spans="1:9" x14ac:dyDescent="0.2">
      <c r="A319" t="s">
        <v>829</v>
      </c>
      <c r="B319" t="s">
        <v>63</v>
      </c>
      <c r="C319" t="s">
        <v>16</v>
      </c>
      <c r="D319" t="s">
        <v>17</v>
      </c>
      <c r="E319">
        <v>7111.04</v>
      </c>
      <c r="F319">
        <v>639.99</v>
      </c>
      <c r="G319">
        <v>639.99</v>
      </c>
      <c r="H319">
        <v>8391.02</v>
      </c>
      <c r="I319" t="s">
        <v>610</v>
      </c>
    </row>
    <row r="320" spans="1:9" x14ac:dyDescent="0.2">
      <c r="A320" t="s">
        <v>830</v>
      </c>
      <c r="B320" t="s">
        <v>170</v>
      </c>
      <c r="C320" t="s">
        <v>32</v>
      </c>
      <c r="D320" t="s">
        <v>33</v>
      </c>
      <c r="E320">
        <v>20151.849999999999</v>
      </c>
      <c r="F320">
        <v>1813.67</v>
      </c>
      <c r="G320">
        <v>1813.67</v>
      </c>
      <c r="H320">
        <v>23779.19</v>
      </c>
      <c r="I320" t="s">
        <v>610</v>
      </c>
    </row>
    <row r="321" spans="1:9" x14ac:dyDescent="0.2">
      <c r="A321" t="s">
        <v>831</v>
      </c>
      <c r="B321" t="s">
        <v>292</v>
      </c>
      <c r="C321" t="s">
        <v>16</v>
      </c>
      <c r="D321" t="s">
        <v>17</v>
      </c>
      <c r="E321">
        <v>18412.86</v>
      </c>
      <c r="F321">
        <v>1657.16</v>
      </c>
      <c r="G321">
        <v>1657.16</v>
      </c>
      <c r="H321">
        <v>21727.18</v>
      </c>
      <c r="I321" t="s">
        <v>610</v>
      </c>
    </row>
    <row r="322" spans="1:9" x14ac:dyDescent="0.2">
      <c r="A322" t="s">
        <v>832</v>
      </c>
      <c r="B322" t="s">
        <v>109</v>
      </c>
      <c r="C322" t="s">
        <v>16</v>
      </c>
      <c r="D322" t="s">
        <v>17</v>
      </c>
      <c r="E322">
        <v>40194.92</v>
      </c>
      <c r="F322">
        <v>3617.54</v>
      </c>
      <c r="G322">
        <v>3617.54</v>
      </c>
      <c r="H322">
        <v>47430</v>
      </c>
      <c r="I322" t="s">
        <v>610</v>
      </c>
    </row>
    <row r="323" spans="1:9" x14ac:dyDescent="0.2">
      <c r="A323" t="s">
        <v>833</v>
      </c>
      <c r="B323" t="s">
        <v>65</v>
      </c>
      <c r="C323" t="s">
        <v>20</v>
      </c>
      <c r="D323" t="s">
        <v>21</v>
      </c>
      <c r="E323">
        <v>29034.58</v>
      </c>
      <c r="F323">
        <v>2613.11</v>
      </c>
      <c r="G323">
        <v>2613.11</v>
      </c>
      <c r="H323">
        <v>34260.800000000003</v>
      </c>
      <c r="I323" t="s">
        <v>610</v>
      </c>
    </row>
    <row r="324" spans="1:9" x14ac:dyDescent="0.2">
      <c r="A324" t="s">
        <v>834</v>
      </c>
      <c r="B324" t="s">
        <v>63</v>
      </c>
      <c r="C324" t="s">
        <v>32</v>
      </c>
      <c r="D324" t="s">
        <v>33</v>
      </c>
      <c r="E324">
        <v>8802.5400000000009</v>
      </c>
      <c r="F324">
        <v>792.23</v>
      </c>
      <c r="G324">
        <v>792.23</v>
      </c>
      <c r="H324">
        <v>10387</v>
      </c>
      <c r="I324" t="s">
        <v>610</v>
      </c>
    </row>
    <row r="325" spans="1:9" x14ac:dyDescent="0.2">
      <c r="A325" t="s">
        <v>835</v>
      </c>
      <c r="B325" t="s">
        <v>188</v>
      </c>
      <c r="C325" t="s">
        <v>11</v>
      </c>
      <c r="D325" t="s">
        <v>12</v>
      </c>
      <c r="E325">
        <v>34270.129999999997</v>
      </c>
      <c r="F325">
        <v>3084.31</v>
      </c>
      <c r="G325">
        <v>3084.31</v>
      </c>
      <c r="H325">
        <v>40438.75</v>
      </c>
      <c r="I325" t="s">
        <v>610</v>
      </c>
    </row>
    <row r="326" spans="1:9" x14ac:dyDescent="0.2">
      <c r="A326" t="s">
        <v>836</v>
      </c>
      <c r="B326" t="s">
        <v>42</v>
      </c>
      <c r="C326" t="s">
        <v>32</v>
      </c>
      <c r="D326" t="s">
        <v>33</v>
      </c>
      <c r="E326">
        <v>19905.18</v>
      </c>
      <c r="F326">
        <v>1791.47</v>
      </c>
      <c r="G326">
        <v>1791.47</v>
      </c>
      <c r="H326">
        <v>23488.12</v>
      </c>
      <c r="I326" t="s">
        <v>610</v>
      </c>
    </row>
    <row r="327" spans="1:9" x14ac:dyDescent="0.2">
      <c r="A327" t="s">
        <v>837</v>
      </c>
      <c r="B327" t="s">
        <v>31</v>
      </c>
      <c r="C327" t="s">
        <v>11</v>
      </c>
      <c r="D327" t="s">
        <v>12</v>
      </c>
      <c r="E327">
        <v>42462.38</v>
      </c>
      <c r="F327">
        <v>3821.61</v>
      </c>
      <c r="G327">
        <v>3821.61</v>
      </c>
      <c r="H327">
        <v>50105.599999999999</v>
      </c>
      <c r="I327" t="s">
        <v>610</v>
      </c>
    </row>
    <row r="328" spans="1:9" x14ac:dyDescent="0.2">
      <c r="A328" t="s">
        <v>838</v>
      </c>
      <c r="B328" t="s">
        <v>611</v>
      </c>
      <c r="C328" t="s">
        <v>11</v>
      </c>
      <c r="D328" t="s">
        <v>12</v>
      </c>
      <c r="E328">
        <v>13408.97</v>
      </c>
      <c r="F328">
        <v>1206.81</v>
      </c>
      <c r="G328">
        <v>1206.81</v>
      </c>
      <c r="H328">
        <v>15822.59</v>
      </c>
      <c r="I328" t="s">
        <v>610</v>
      </c>
    </row>
    <row r="329" spans="1:9" x14ac:dyDescent="0.2">
      <c r="A329" t="s">
        <v>839</v>
      </c>
      <c r="B329" t="s">
        <v>172</v>
      </c>
      <c r="C329" t="s">
        <v>20</v>
      </c>
      <c r="D329" t="s">
        <v>21</v>
      </c>
      <c r="E329">
        <v>49941.73</v>
      </c>
      <c r="F329">
        <v>4494.76</v>
      </c>
      <c r="G329">
        <v>4494.76</v>
      </c>
      <c r="H329">
        <v>58931.25</v>
      </c>
      <c r="I329" t="s">
        <v>610</v>
      </c>
    </row>
    <row r="330" spans="1:9" x14ac:dyDescent="0.2">
      <c r="A330" t="s">
        <v>840</v>
      </c>
      <c r="B330" t="s">
        <v>420</v>
      </c>
      <c r="C330" t="s">
        <v>24</v>
      </c>
      <c r="D330" t="s">
        <v>25</v>
      </c>
      <c r="E330">
        <v>49452.67</v>
      </c>
      <c r="F330">
        <v>4450.74</v>
      </c>
      <c r="G330">
        <v>4450.74</v>
      </c>
      <c r="H330">
        <v>58354.15</v>
      </c>
      <c r="I330" t="s">
        <v>610</v>
      </c>
    </row>
    <row r="331" spans="1:9" x14ac:dyDescent="0.2">
      <c r="A331" t="s">
        <v>841</v>
      </c>
      <c r="B331" t="s">
        <v>420</v>
      </c>
      <c r="C331" t="s">
        <v>20</v>
      </c>
      <c r="D331" t="s">
        <v>21</v>
      </c>
      <c r="E331">
        <v>34915.65</v>
      </c>
      <c r="F331">
        <v>3142.41</v>
      </c>
      <c r="G331">
        <v>3142.41</v>
      </c>
      <c r="H331">
        <v>41200.47</v>
      </c>
      <c r="I331" t="s">
        <v>610</v>
      </c>
    </row>
    <row r="332" spans="1:9" x14ac:dyDescent="0.2">
      <c r="A332" t="s">
        <v>842</v>
      </c>
      <c r="B332" t="s">
        <v>471</v>
      </c>
      <c r="C332" t="s">
        <v>32</v>
      </c>
      <c r="D332" t="s">
        <v>33</v>
      </c>
      <c r="E332">
        <v>28423.31</v>
      </c>
      <c r="F332">
        <v>2558.1</v>
      </c>
      <c r="G332">
        <v>2558.1</v>
      </c>
      <c r="H332">
        <v>33539.51</v>
      </c>
      <c r="I332" t="s">
        <v>610</v>
      </c>
    </row>
    <row r="333" spans="1:9" x14ac:dyDescent="0.2">
      <c r="A333" t="s">
        <v>843</v>
      </c>
      <c r="B333" t="s">
        <v>287</v>
      </c>
      <c r="C333" t="s">
        <v>16</v>
      </c>
      <c r="D333" t="s">
        <v>17</v>
      </c>
      <c r="E333">
        <v>18357.27</v>
      </c>
      <c r="F333">
        <v>1652.15</v>
      </c>
      <c r="G333">
        <v>1652.15</v>
      </c>
      <c r="H333">
        <v>21661.57</v>
      </c>
      <c r="I333" t="s">
        <v>610</v>
      </c>
    </row>
    <row r="334" spans="1:9" x14ac:dyDescent="0.2">
      <c r="A334" t="s">
        <v>844</v>
      </c>
      <c r="B334" t="s">
        <v>155</v>
      </c>
      <c r="C334" t="s">
        <v>11</v>
      </c>
      <c r="D334" t="s">
        <v>12</v>
      </c>
      <c r="E334">
        <v>37579.83</v>
      </c>
      <c r="F334">
        <v>3382.18</v>
      </c>
      <c r="G334">
        <v>3382.18</v>
      </c>
      <c r="H334">
        <v>44344.19</v>
      </c>
      <c r="I334" t="s">
        <v>610</v>
      </c>
    </row>
    <row r="335" spans="1:9" x14ac:dyDescent="0.2">
      <c r="A335" t="s">
        <v>845</v>
      </c>
      <c r="B335" t="s">
        <v>273</v>
      </c>
      <c r="C335" t="s">
        <v>24</v>
      </c>
      <c r="D335" t="s">
        <v>25</v>
      </c>
      <c r="E335">
        <v>17301.59</v>
      </c>
      <c r="F335">
        <v>1557.14</v>
      </c>
      <c r="G335">
        <v>1557.14</v>
      </c>
      <c r="H335">
        <v>20415.87</v>
      </c>
      <c r="I335" t="s">
        <v>610</v>
      </c>
    </row>
    <row r="336" spans="1:9" x14ac:dyDescent="0.2">
      <c r="A336" t="s">
        <v>846</v>
      </c>
      <c r="B336" t="s">
        <v>140</v>
      </c>
      <c r="C336" t="s">
        <v>24</v>
      </c>
      <c r="D336" t="s">
        <v>25</v>
      </c>
      <c r="E336">
        <v>7932.01</v>
      </c>
      <c r="F336">
        <v>713.88</v>
      </c>
      <c r="G336">
        <v>713.88</v>
      </c>
      <c r="H336">
        <v>9359.77</v>
      </c>
      <c r="I336" t="s">
        <v>610</v>
      </c>
    </row>
    <row r="337" spans="1:9" x14ac:dyDescent="0.2">
      <c r="A337" t="s">
        <v>847</v>
      </c>
      <c r="B337" t="s">
        <v>47</v>
      </c>
      <c r="C337" t="s">
        <v>32</v>
      </c>
      <c r="D337" t="s">
        <v>33</v>
      </c>
      <c r="E337">
        <v>2866.9</v>
      </c>
      <c r="F337">
        <v>258.02</v>
      </c>
      <c r="G337">
        <v>258.02</v>
      </c>
      <c r="H337">
        <v>3382.94</v>
      </c>
      <c r="I337" t="s">
        <v>610</v>
      </c>
    </row>
    <row r="338" spans="1:9" x14ac:dyDescent="0.2">
      <c r="A338" t="s">
        <v>848</v>
      </c>
      <c r="B338" t="s">
        <v>56</v>
      </c>
      <c r="C338" t="s">
        <v>32</v>
      </c>
      <c r="D338" t="s">
        <v>33</v>
      </c>
      <c r="E338">
        <v>40458.449999999997</v>
      </c>
      <c r="F338">
        <v>3641.26</v>
      </c>
      <c r="G338">
        <v>3641.26</v>
      </c>
      <c r="H338">
        <v>47740.97</v>
      </c>
      <c r="I338" t="s">
        <v>610</v>
      </c>
    </row>
    <row r="339" spans="1:9" x14ac:dyDescent="0.2">
      <c r="A339" t="s">
        <v>849</v>
      </c>
      <c r="B339" t="s">
        <v>128</v>
      </c>
      <c r="C339" t="s">
        <v>11</v>
      </c>
      <c r="D339" t="s">
        <v>12</v>
      </c>
      <c r="E339">
        <v>43576.09</v>
      </c>
      <c r="F339">
        <v>3921.85</v>
      </c>
      <c r="G339">
        <v>3921.85</v>
      </c>
      <c r="H339">
        <v>51419.79</v>
      </c>
      <c r="I339" t="s">
        <v>610</v>
      </c>
    </row>
    <row r="340" spans="1:9" x14ac:dyDescent="0.2">
      <c r="A340" t="s">
        <v>850</v>
      </c>
      <c r="B340" t="s">
        <v>71</v>
      </c>
      <c r="C340" t="s">
        <v>20</v>
      </c>
      <c r="D340" t="s">
        <v>21</v>
      </c>
      <c r="E340">
        <v>35192.949999999997</v>
      </c>
      <c r="F340">
        <v>3167.37</v>
      </c>
      <c r="G340">
        <v>3167.37</v>
      </c>
      <c r="H340">
        <v>41527.69</v>
      </c>
      <c r="I340" t="s">
        <v>610</v>
      </c>
    </row>
    <row r="341" spans="1:9" x14ac:dyDescent="0.2">
      <c r="A341" t="s">
        <v>851</v>
      </c>
      <c r="B341" t="s">
        <v>192</v>
      </c>
      <c r="C341" t="s">
        <v>16</v>
      </c>
      <c r="D341" t="s">
        <v>17</v>
      </c>
      <c r="E341">
        <v>1416.77</v>
      </c>
      <c r="F341">
        <v>127.51</v>
      </c>
      <c r="G341">
        <v>127.51</v>
      </c>
      <c r="H341">
        <v>1671.79</v>
      </c>
      <c r="I341" t="s">
        <v>610</v>
      </c>
    </row>
    <row r="342" spans="1:9" x14ac:dyDescent="0.2">
      <c r="A342" t="s">
        <v>852</v>
      </c>
      <c r="B342" t="s">
        <v>212</v>
      </c>
      <c r="C342" t="s">
        <v>16</v>
      </c>
      <c r="D342" t="s">
        <v>17</v>
      </c>
      <c r="E342">
        <v>39056.339999999997</v>
      </c>
      <c r="F342">
        <v>3515.07</v>
      </c>
      <c r="G342">
        <v>3515.07</v>
      </c>
      <c r="H342">
        <v>46086.48</v>
      </c>
      <c r="I342" t="s">
        <v>610</v>
      </c>
    </row>
    <row r="343" spans="1:9" x14ac:dyDescent="0.2">
      <c r="A343" t="s">
        <v>853</v>
      </c>
      <c r="B343" t="s">
        <v>338</v>
      </c>
      <c r="C343" t="s">
        <v>24</v>
      </c>
      <c r="D343" t="s">
        <v>25</v>
      </c>
      <c r="E343">
        <v>4756.8599999999997</v>
      </c>
      <c r="F343">
        <v>428.12</v>
      </c>
      <c r="G343">
        <v>428.12</v>
      </c>
      <c r="H343">
        <v>5613.1</v>
      </c>
      <c r="I343" t="s">
        <v>610</v>
      </c>
    </row>
    <row r="344" spans="1:9" x14ac:dyDescent="0.2">
      <c r="A344" t="s">
        <v>854</v>
      </c>
      <c r="B344" t="s">
        <v>311</v>
      </c>
      <c r="C344" t="s">
        <v>32</v>
      </c>
      <c r="D344" t="s">
        <v>33</v>
      </c>
      <c r="E344">
        <v>18375.88</v>
      </c>
      <c r="F344">
        <v>1653.83</v>
      </c>
      <c r="G344">
        <v>1653.83</v>
      </c>
      <c r="H344">
        <v>21683.54</v>
      </c>
      <c r="I344" t="s">
        <v>610</v>
      </c>
    </row>
    <row r="345" spans="1:9" x14ac:dyDescent="0.2">
      <c r="A345" t="s">
        <v>855</v>
      </c>
      <c r="B345" t="s">
        <v>212</v>
      </c>
      <c r="C345" t="s">
        <v>20</v>
      </c>
      <c r="D345" t="s">
        <v>21</v>
      </c>
      <c r="E345">
        <v>14645.85</v>
      </c>
      <c r="F345">
        <v>1318.13</v>
      </c>
      <c r="G345">
        <v>1318.13</v>
      </c>
      <c r="H345">
        <v>17282.11</v>
      </c>
      <c r="I345" t="s">
        <v>610</v>
      </c>
    </row>
    <row r="346" spans="1:9" x14ac:dyDescent="0.2">
      <c r="A346" t="s">
        <v>856</v>
      </c>
      <c r="B346" t="s">
        <v>287</v>
      </c>
      <c r="C346" t="s">
        <v>16</v>
      </c>
      <c r="D346" t="s">
        <v>17</v>
      </c>
      <c r="E346">
        <v>39246.03</v>
      </c>
      <c r="F346">
        <v>3532.14</v>
      </c>
      <c r="G346">
        <v>3532.14</v>
      </c>
      <c r="H346">
        <v>46310.31</v>
      </c>
      <c r="I346" t="s">
        <v>610</v>
      </c>
    </row>
    <row r="347" spans="1:9" x14ac:dyDescent="0.2">
      <c r="A347" t="s">
        <v>857</v>
      </c>
      <c r="B347" t="s">
        <v>132</v>
      </c>
      <c r="C347" t="s">
        <v>20</v>
      </c>
      <c r="D347" t="s">
        <v>21</v>
      </c>
      <c r="E347">
        <v>34893.82</v>
      </c>
      <c r="F347">
        <v>3140.44</v>
      </c>
      <c r="G347">
        <v>3140.44</v>
      </c>
      <c r="H347">
        <v>41174.699999999997</v>
      </c>
      <c r="I347" t="s">
        <v>610</v>
      </c>
    </row>
    <row r="348" spans="1:9" x14ac:dyDescent="0.2">
      <c r="A348" t="s">
        <v>858</v>
      </c>
      <c r="B348" t="s">
        <v>132</v>
      </c>
      <c r="C348" t="s">
        <v>16</v>
      </c>
      <c r="D348" t="s">
        <v>17</v>
      </c>
      <c r="E348">
        <v>48711.99</v>
      </c>
      <c r="F348">
        <v>4384.08</v>
      </c>
      <c r="G348">
        <v>4384.08</v>
      </c>
      <c r="H348">
        <v>57480.15</v>
      </c>
      <c r="I348" t="s">
        <v>610</v>
      </c>
    </row>
    <row r="349" spans="1:9" x14ac:dyDescent="0.2">
      <c r="A349" t="s">
        <v>859</v>
      </c>
      <c r="B349" t="s">
        <v>155</v>
      </c>
      <c r="C349" t="s">
        <v>20</v>
      </c>
      <c r="D349" t="s">
        <v>21</v>
      </c>
      <c r="E349">
        <v>39338.160000000003</v>
      </c>
      <c r="F349">
        <v>3540.43</v>
      </c>
      <c r="G349">
        <v>3540.43</v>
      </c>
      <c r="H349">
        <v>46419.02</v>
      </c>
      <c r="I349" t="s">
        <v>610</v>
      </c>
    </row>
    <row r="350" spans="1:9" x14ac:dyDescent="0.2">
      <c r="A350" t="s">
        <v>860</v>
      </c>
      <c r="B350" t="s">
        <v>118</v>
      </c>
      <c r="C350" t="s">
        <v>24</v>
      </c>
      <c r="D350" t="s">
        <v>25</v>
      </c>
      <c r="E350">
        <v>12625.4</v>
      </c>
      <c r="F350">
        <v>1136.29</v>
      </c>
      <c r="G350">
        <v>1136.29</v>
      </c>
      <c r="H350">
        <v>14897.98</v>
      </c>
      <c r="I350" t="s">
        <v>610</v>
      </c>
    </row>
    <row r="351" spans="1:9" x14ac:dyDescent="0.2">
      <c r="A351" t="s">
        <v>861</v>
      </c>
      <c r="B351" t="s">
        <v>68</v>
      </c>
      <c r="C351" t="s">
        <v>16</v>
      </c>
      <c r="D351" t="s">
        <v>17</v>
      </c>
      <c r="E351">
        <v>25415.56</v>
      </c>
      <c r="F351">
        <v>2287.4</v>
      </c>
      <c r="G351">
        <v>2287.4</v>
      </c>
      <c r="H351">
        <v>29990.36</v>
      </c>
      <c r="I351" t="s">
        <v>610</v>
      </c>
    </row>
    <row r="352" spans="1:9" x14ac:dyDescent="0.2">
      <c r="A352" t="s">
        <v>862</v>
      </c>
      <c r="B352" t="s">
        <v>83</v>
      </c>
      <c r="C352" t="s">
        <v>24</v>
      </c>
      <c r="D352" t="s">
        <v>25</v>
      </c>
      <c r="E352">
        <v>6939.01</v>
      </c>
      <c r="F352">
        <v>624.51</v>
      </c>
      <c r="G352">
        <v>624.51</v>
      </c>
      <c r="H352">
        <v>8188.03</v>
      </c>
      <c r="I352" t="s">
        <v>610</v>
      </c>
    </row>
    <row r="353" spans="1:9" x14ac:dyDescent="0.2">
      <c r="A353" t="s">
        <v>863</v>
      </c>
      <c r="B353" t="s">
        <v>258</v>
      </c>
      <c r="C353" t="s">
        <v>24</v>
      </c>
      <c r="D353" t="s">
        <v>25</v>
      </c>
      <c r="E353">
        <v>18967.04</v>
      </c>
      <c r="F353">
        <v>1707.03</v>
      </c>
      <c r="G353">
        <v>1707.03</v>
      </c>
      <c r="H353">
        <v>22381.1</v>
      </c>
      <c r="I353" t="s">
        <v>610</v>
      </c>
    </row>
    <row r="354" spans="1:9" x14ac:dyDescent="0.2">
      <c r="A354" t="s">
        <v>864</v>
      </c>
      <c r="B354" t="s">
        <v>212</v>
      </c>
      <c r="C354" t="s">
        <v>20</v>
      </c>
      <c r="D354" t="s">
        <v>21</v>
      </c>
      <c r="E354">
        <v>35327.72</v>
      </c>
      <c r="F354">
        <v>3179.49</v>
      </c>
      <c r="G354">
        <v>3179.49</v>
      </c>
      <c r="H354">
        <v>41686.699999999997</v>
      </c>
      <c r="I354" t="s">
        <v>610</v>
      </c>
    </row>
    <row r="355" spans="1:9" x14ac:dyDescent="0.2">
      <c r="A355" t="s">
        <v>865</v>
      </c>
      <c r="B355" t="s">
        <v>174</v>
      </c>
      <c r="C355" t="s">
        <v>24</v>
      </c>
      <c r="D355" t="s">
        <v>25</v>
      </c>
      <c r="E355">
        <v>23718.78</v>
      </c>
      <c r="F355">
        <v>2134.69</v>
      </c>
      <c r="G355">
        <v>2134.69</v>
      </c>
      <c r="H355">
        <v>27988.16</v>
      </c>
      <c r="I355" t="s">
        <v>610</v>
      </c>
    </row>
    <row r="356" spans="1:9" x14ac:dyDescent="0.2">
      <c r="A356" t="s">
        <v>866</v>
      </c>
      <c r="B356" t="s">
        <v>185</v>
      </c>
      <c r="C356" t="s">
        <v>20</v>
      </c>
      <c r="D356" t="s">
        <v>21</v>
      </c>
      <c r="E356">
        <v>17249.93</v>
      </c>
      <c r="F356">
        <v>1552.49</v>
      </c>
      <c r="G356">
        <v>1552.49</v>
      </c>
      <c r="H356">
        <v>20354.91</v>
      </c>
      <c r="I356" t="s">
        <v>610</v>
      </c>
    </row>
    <row r="357" spans="1:9" x14ac:dyDescent="0.2">
      <c r="A357" t="s">
        <v>867</v>
      </c>
      <c r="B357" t="s">
        <v>65</v>
      </c>
      <c r="C357" t="s">
        <v>11</v>
      </c>
      <c r="D357" t="s">
        <v>12</v>
      </c>
      <c r="E357">
        <v>24709.23</v>
      </c>
      <c r="F357">
        <v>2223.83</v>
      </c>
      <c r="G357">
        <v>2223.83</v>
      </c>
      <c r="H357">
        <v>29156.89</v>
      </c>
      <c r="I357" t="s">
        <v>610</v>
      </c>
    </row>
    <row r="358" spans="1:9" x14ac:dyDescent="0.2">
      <c r="A358" t="s">
        <v>868</v>
      </c>
      <c r="B358" t="s">
        <v>40</v>
      </c>
      <c r="C358" t="s">
        <v>11</v>
      </c>
      <c r="D358" t="s">
        <v>12</v>
      </c>
      <c r="E358">
        <v>45622.83</v>
      </c>
      <c r="F358">
        <v>4106.05</v>
      </c>
      <c r="G358">
        <v>4106.05</v>
      </c>
      <c r="H358">
        <v>53834.93</v>
      </c>
      <c r="I358" t="s">
        <v>610</v>
      </c>
    </row>
    <row r="359" spans="1:9" x14ac:dyDescent="0.2">
      <c r="A359" t="s">
        <v>869</v>
      </c>
      <c r="B359" t="s">
        <v>287</v>
      </c>
      <c r="C359" t="s">
        <v>24</v>
      </c>
      <c r="D359" t="s">
        <v>25</v>
      </c>
      <c r="E359">
        <v>25796.01</v>
      </c>
      <c r="F359">
        <v>2321.64</v>
      </c>
      <c r="G359">
        <v>2321.64</v>
      </c>
      <c r="H359">
        <v>30439.29</v>
      </c>
      <c r="I359" t="s">
        <v>610</v>
      </c>
    </row>
    <row r="360" spans="1:9" x14ac:dyDescent="0.2">
      <c r="A360" t="s">
        <v>870</v>
      </c>
      <c r="B360" t="s">
        <v>100</v>
      </c>
      <c r="C360" t="s">
        <v>20</v>
      </c>
      <c r="D360" t="s">
        <v>21</v>
      </c>
      <c r="E360">
        <v>21695.54</v>
      </c>
      <c r="F360">
        <v>1952.6</v>
      </c>
      <c r="G360">
        <v>1952.6</v>
      </c>
      <c r="H360">
        <v>25600.74</v>
      </c>
      <c r="I360" t="s">
        <v>610</v>
      </c>
    </row>
    <row r="361" spans="1:9" x14ac:dyDescent="0.2">
      <c r="A361" t="s">
        <v>871</v>
      </c>
      <c r="B361" t="s">
        <v>292</v>
      </c>
      <c r="C361" t="s">
        <v>16</v>
      </c>
      <c r="D361" t="s">
        <v>17</v>
      </c>
      <c r="E361">
        <v>9066.16</v>
      </c>
      <c r="F361">
        <v>815.95</v>
      </c>
      <c r="G361">
        <v>815.95</v>
      </c>
      <c r="H361">
        <v>10698.06</v>
      </c>
      <c r="I361" t="s">
        <v>610</v>
      </c>
    </row>
    <row r="362" spans="1:9" x14ac:dyDescent="0.2">
      <c r="A362" t="s">
        <v>872</v>
      </c>
      <c r="B362" t="s">
        <v>10</v>
      </c>
      <c r="C362" t="s">
        <v>16</v>
      </c>
      <c r="D362" t="s">
        <v>17</v>
      </c>
      <c r="E362">
        <v>35315.29</v>
      </c>
      <c r="F362">
        <v>3178.38</v>
      </c>
      <c r="G362">
        <v>3178.38</v>
      </c>
      <c r="H362">
        <v>41672.050000000003</v>
      </c>
      <c r="I362" t="s">
        <v>610</v>
      </c>
    </row>
    <row r="363" spans="1:9" x14ac:dyDescent="0.2">
      <c r="A363" t="s">
        <v>873</v>
      </c>
      <c r="B363" t="s">
        <v>116</v>
      </c>
      <c r="C363" t="s">
        <v>24</v>
      </c>
      <c r="D363" t="s">
        <v>25</v>
      </c>
      <c r="E363">
        <v>14839.83</v>
      </c>
      <c r="F363">
        <v>1335.58</v>
      </c>
      <c r="G363">
        <v>1335.58</v>
      </c>
      <c r="H363">
        <v>17510.990000000002</v>
      </c>
      <c r="I363" t="s">
        <v>610</v>
      </c>
    </row>
    <row r="364" spans="1:9" x14ac:dyDescent="0.2">
      <c r="A364" t="s">
        <v>874</v>
      </c>
      <c r="B364" t="s">
        <v>27</v>
      </c>
      <c r="C364" t="s">
        <v>11</v>
      </c>
      <c r="D364" t="s">
        <v>12</v>
      </c>
      <c r="E364">
        <v>40599.67</v>
      </c>
      <c r="F364">
        <v>3653.97</v>
      </c>
      <c r="G364">
        <v>3653.97</v>
      </c>
      <c r="H364">
        <v>47907.61</v>
      </c>
      <c r="I364" t="s">
        <v>610</v>
      </c>
    </row>
    <row r="365" spans="1:9" x14ac:dyDescent="0.2">
      <c r="A365" t="s">
        <v>875</v>
      </c>
      <c r="B365" t="s">
        <v>121</v>
      </c>
      <c r="C365" t="s">
        <v>32</v>
      </c>
      <c r="D365" t="s">
        <v>33</v>
      </c>
      <c r="E365">
        <v>17426.22</v>
      </c>
      <c r="F365">
        <v>1568.36</v>
      </c>
      <c r="G365">
        <v>1568.36</v>
      </c>
      <c r="H365">
        <v>20562.939999999999</v>
      </c>
      <c r="I365" t="s">
        <v>610</v>
      </c>
    </row>
    <row r="366" spans="1:9" x14ac:dyDescent="0.2">
      <c r="A366" t="s">
        <v>876</v>
      </c>
      <c r="B366" t="s">
        <v>390</v>
      </c>
      <c r="C366" t="s">
        <v>24</v>
      </c>
      <c r="D366" t="s">
        <v>25</v>
      </c>
      <c r="E366">
        <v>24770.82</v>
      </c>
      <c r="F366">
        <v>2229.37</v>
      </c>
      <c r="G366">
        <v>2229.37</v>
      </c>
      <c r="H366">
        <v>29229.56</v>
      </c>
      <c r="I366" t="s">
        <v>610</v>
      </c>
    </row>
    <row r="367" spans="1:9" x14ac:dyDescent="0.2">
      <c r="A367" t="s">
        <v>877</v>
      </c>
      <c r="B367" t="s">
        <v>75</v>
      </c>
      <c r="C367" t="s">
        <v>20</v>
      </c>
      <c r="D367" t="s">
        <v>21</v>
      </c>
      <c r="E367">
        <v>15199</v>
      </c>
      <c r="F367">
        <v>1367.91</v>
      </c>
      <c r="G367">
        <v>1367.91</v>
      </c>
      <c r="H367">
        <v>17934.82</v>
      </c>
      <c r="I367" t="s">
        <v>610</v>
      </c>
    </row>
    <row r="368" spans="1:9" x14ac:dyDescent="0.2">
      <c r="A368" t="s">
        <v>878</v>
      </c>
      <c r="B368" t="s">
        <v>128</v>
      </c>
      <c r="C368" t="s">
        <v>16</v>
      </c>
      <c r="D368" t="s">
        <v>17</v>
      </c>
      <c r="E368">
        <v>31513.13</v>
      </c>
      <c r="F368">
        <v>2836.18</v>
      </c>
      <c r="G368">
        <v>2836.18</v>
      </c>
      <c r="H368">
        <v>37185.49</v>
      </c>
      <c r="I368" t="s">
        <v>610</v>
      </c>
    </row>
    <row r="369" spans="1:9" x14ac:dyDescent="0.2">
      <c r="A369" t="s">
        <v>879</v>
      </c>
      <c r="B369" t="s">
        <v>159</v>
      </c>
      <c r="C369" t="s">
        <v>11</v>
      </c>
      <c r="D369" t="s">
        <v>12</v>
      </c>
      <c r="E369">
        <v>26683.3</v>
      </c>
      <c r="F369">
        <v>2401.5</v>
      </c>
      <c r="G369">
        <v>2401.5</v>
      </c>
      <c r="H369">
        <v>31486.3</v>
      </c>
      <c r="I369" t="s">
        <v>610</v>
      </c>
    </row>
    <row r="370" spans="1:9" x14ac:dyDescent="0.2">
      <c r="A370" t="s">
        <v>880</v>
      </c>
      <c r="B370" t="s">
        <v>174</v>
      </c>
      <c r="C370" t="s">
        <v>24</v>
      </c>
      <c r="D370" t="s">
        <v>25</v>
      </c>
      <c r="E370">
        <v>32798.01</v>
      </c>
      <c r="F370">
        <v>2951.82</v>
      </c>
      <c r="G370">
        <v>2951.82</v>
      </c>
      <c r="H370">
        <v>38701.65</v>
      </c>
      <c r="I370" t="s">
        <v>610</v>
      </c>
    </row>
    <row r="371" spans="1:9" x14ac:dyDescent="0.2">
      <c r="A371" t="s">
        <v>881</v>
      </c>
      <c r="B371" t="s">
        <v>165</v>
      </c>
      <c r="C371" t="s">
        <v>24</v>
      </c>
      <c r="D371" t="s">
        <v>25</v>
      </c>
      <c r="E371">
        <v>33741.019999999997</v>
      </c>
      <c r="F371">
        <v>3036.69</v>
      </c>
      <c r="G371">
        <v>3036.69</v>
      </c>
      <c r="H371">
        <v>39814.400000000001</v>
      </c>
      <c r="I371" t="s">
        <v>610</v>
      </c>
    </row>
    <row r="372" spans="1:9" x14ac:dyDescent="0.2">
      <c r="A372" t="s">
        <v>882</v>
      </c>
      <c r="B372" t="s">
        <v>130</v>
      </c>
      <c r="C372" t="s">
        <v>24</v>
      </c>
      <c r="D372" t="s">
        <v>25</v>
      </c>
      <c r="E372">
        <v>18476.330000000002</v>
      </c>
      <c r="F372">
        <v>1662.87</v>
      </c>
      <c r="G372">
        <v>1662.87</v>
      </c>
      <c r="H372">
        <v>21802.07</v>
      </c>
      <c r="I372" t="s">
        <v>610</v>
      </c>
    </row>
    <row r="373" spans="1:9" x14ac:dyDescent="0.2">
      <c r="A373" t="s">
        <v>883</v>
      </c>
      <c r="B373" t="s">
        <v>42</v>
      </c>
      <c r="C373" t="s">
        <v>20</v>
      </c>
      <c r="D373" t="s">
        <v>21</v>
      </c>
      <c r="E373">
        <v>9938.24</v>
      </c>
      <c r="F373">
        <v>894.44</v>
      </c>
      <c r="G373">
        <v>894.44</v>
      </c>
      <c r="H373">
        <v>11727.12</v>
      </c>
      <c r="I373" t="s">
        <v>610</v>
      </c>
    </row>
    <row r="374" spans="1:9" x14ac:dyDescent="0.2">
      <c r="A374" t="s">
        <v>884</v>
      </c>
      <c r="B374" t="s">
        <v>140</v>
      </c>
      <c r="C374" t="s">
        <v>16</v>
      </c>
      <c r="D374" t="s">
        <v>17</v>
      </c>
      <c r="E374">
        <v>41064.839999999997</v>
      </c>
      <c r="F374">
        <v>3695.84</v>
      </c>
      <c r="G374">
        <v>3695.84</v>
      </c>
      <c r="H374">
        <v>48456.52</v>
      </c>
      <c r="I374" t="s">
        <v>610</v>
      </c>
    </row>
    <row r="375" spans="1:9" x14ac:dyDescent="0.2">
      <c r="A375" t="s">
        <v>885</v>
      </c>
      <c r="B375" t="s">
        <v>19</v>
      </c>
      <c r="C375" t="s">
        <v>20</v>
      </c>
      <c r="D375" t="s">
        <v>21</v>
      </c>
      <c r="E375">
        <v>34284.36</v>
      </c>
      <c r="F375">
        <v>3085.59</v>
      </c>
      <c r="G375">
        <v>3085.59</v>
      </c>
      <c r="H375">
        <v>40455.54</v>
      </c>
      <c r="I375" t="s">
        <v>610</v>
      </c>
    </row>
    <row r="376" spans="1:9" x14ac:dyDescent="0.2">
      <c r="A376" t="s">
        <v>886</v>
      </c>
      <c r="B376" t="s">
        <v>159</v>
      </c>
      <c r="C376" t="s">
        <v>16</v>
      </c>
      <c r="D376" t="s">
        <v>17</v>
      </c>
      <c r="E376">
        <v>20161.95</v>
      </c>
      <c r="F376">
        <v>1814.58</v>
      </c>
      <c r="G376">
        <v>1814.58</v>
      </c>
      <c r="H376">
        <v>23791.11</v>
      </c>
      <c r="I376" t="s">
        <v>610</v>
      </c>
    </row>
    <row r="377" spans="1:9" x14ac:dyDescent="0.2">
      <c r="A377" t="s">
        <v>887</v>
      </c>
      <c r="B377" t="s">
        <v>176</v>
      </c>
      <c r="C377" t="s">
        <v>11</v>
      </c>
      <c r="D377" t="s">
        <v>12</v>
      </c>
      <c r="E377">
        <v>19973.330000000002</v>
      </c>
      <c r="F377">
        <v>1797.6</v>
      </c>
      <c r="G377">
        <v>1797.6</v>
      </c>
      <c r="H377">
        <v>23568.53</v>
      </c>
      <c r="I377" t="s">
        <v>610</v>
      </c>
    </row>
    <row r="378" spans="1:9" x14ac:dyDescent="0.2">
      <c r="A378" t="s">
        <v>888</v>
      </c>
      <c r="B378" t="s">
        <v>109</v>
      </c>
      <c r="C378" t="s">
        <v>16</v>
      </c>
      <c r="D378" t="s">
        <v>17</v>
      </c>
      <c r="E378">
        <v>23987.82</v>
      </c>
      <c r="F378">
        <v>2158.9</v>
      </c>
      <c r="G378">
        <v>2158.9</v>
      </c>
      <c r="H378">
        <v>28305.62</v>
      </c>
      <c r="I378" t="s">
        <v>610</v>
      </c>
    </row>
    <row r="379" spans="1:9" x14ac:dyDescent="0.2">
      <c r="A379" t="s">
        <v>889</v>
      </c>
      <c r="B379" t="s">
        <v>31</v>
      </c>
      <c r="C379" t="s">
        <v>24</v>
      </c>
      <c r="D379" t="s">
        <v>25</v>
      </c>
      <c r="E379">
        <v>19630.3</v>
      </c>
      <c r="F379">
        <v>1766.73</v>
      </c>
      <c r="G379">
        <v>1766.73</v>
      </c>
      <c r="H379">
        <v>23163.759999999998</v>
      </c>
      <c r="I379" t="s">
        <v>610</v>
      </c>
    </row>
    <row r="380" spans="1:9" x14ac:dyDescent="0.2">
      <c r="A380" t="s">
        <v>890</v>
      </c>
      <c r="B380" t="s">
        <v>146</v>
      </c>
      <c r="C380" t="s">
        <v>11</v>
      </c>
      <c r="D380" t="s">
        <v>12</v>
      </c>
      <c r="E380">
        <v>3343.83</v>
      </c>
      <c r="F380">
        <v>300.94</v>
      </c>
      <c r="G380">
        <v>300.94</v>
      </c>
      <c r="H380">
        <v>3945.71</v>
      </c>
      <c r="I380" t="s">
        <v>610</v>
      </c>
    </row>
    <row r="381" spans="1:9" x14ac:dyDescent="0.2">
      <c r="A381" t="s">
        <v>891</v>
      </c>
      <c r="B381" t="s">
        <v>27</v>
      </c>
      <c r="C381" t="s">
        <v>24</v>
      </c>
      <c r="D381" t="s">
        <v>25</v>
      </c>
      <c r="E381">
        <v>25139.599999999999</v>
      </c>
      <c r="F381">
        <v>2262.56</v>
      </c>
      <c r="G381">
        <v>2262.56</v>
      </c>
      <c r="H381">
        <v>29664.720000000001</v>
      </c>
      <c r="I381" t="s">
        <v>610</v>
      </c>
    </row>
    <row r="382" spans="1:9" x14ac:dyDescent="0.2">
      <c r="A382" t="s">
        <v>892</v>
      </c>
      <c r="B382" t="s">
        <v>268</v>
      </c>
      <c r="C382" t="s">
        <v>11</v>
      </c>
      <c r="D382" t="s">
        <v>12</v>
      </c>
      <c r="E382">
        <v>41385.699999999997</v>
      </c>
      <c r="F382">
        <v>3724.71</v>
      </c>
      <c r="G382">
        <v>3724.71</v>
      </c>
      <c r="H382">
        <v>48835.12</v>
      </c>
      <c r="I382" t="s">
        <v>610</v>
      </c>
    </row>
    <row r="383" spans="1:9" x14ac:dyDescent="0.2">
      <c r="A383" t="s">
        <v>893</v>
      </c>
      <c r="B383" t="s">
        <v>165</v>
      </c>
      <c r="C383" t="s">
        <v>20</v>
      </c>
      <c r="D383" t="s">
        <v>21</v>
      </c>
      <c r="E383">
        <v>38278.26</v>
      </c>
      <c r="F383">
        <v>3445.04</v>
      </c>
      <c r="G383">
        <v>3445.04</v>
      </c>
      <c r="H383">
        <v>45168.34</v>
      </c>
      <c r="I383" t="s">
        <v>610</v>
      </c>
    </row>
    <row r="384" spans="1:9" x14ac:dyDescent="0.2">
      <c r="A384" t="s">
        <v>894</v>
      </c>
      <c r="B384" t="s">
        <v>118</v>
      </c>
      <c r="C384" t="s">
        <v>11</v>
      </c>
      <c r="D384" t="s">
        <v>12</v>
      </c>
      <c r="E384">
        <v>40208.99</v>
      </c>
      <c r="F384">
        <v>3618.81</v>
      </c>
      <c r="G384">
        <v>3618.81</v>
      </c>
      <c r="H384">
        <v>47446.61</v>
      </c>
      <c r="I384" t="s">
        <v>610</v>
      </c>
    </row>
    <row r="385" spans="1:9" x14ac:dyDescent="0.2">
      <c r="A385" t="s">
        <v>895</v>
      </c>
      <c r="B385" t="s">
        <v>103</v>
      </c>
      <c r="C385" t="s">
        <v>16</v>
      </c>
      <c r="D385" t="s">
        <v>17</v>
      </c>
      <c r="E385">
        <v>48323.040000000001</v>
      </c>
      <c r="F385">
        <v>4349.07</v>
      </c>
      <c r="G385">
        <v>4349.07</v>
      </c>
      <c r="H385">
        <v>57021.18</v>
      </c>
      <c r="I385" t="s">
        <v>610</v>
      </c>
    </row>
    <row r="386" spans="1:9" x14ac:dyDescent="0.2">
      <c r="A386" t="s">
        <v>896</v>
      </c>
      <c r="B386" t="s">
        <v>73</v>
      </c>
      <c r="C386" t="s">
        <v>20</v>
      </c>
      <c r="D386" t="s">
        <v>21</v>
      </c>
      <c r="E386">
        <v>12523.43</v>
      </c>
      <c r="F386">
        <v>1127.1099999999999</v>
      </c>
      <c r="G386">
        <v>1127.1099999999999</v>
      </c>
      <c r="H386">
        <v>14777.65</v>
      </c>
      <c r="I386" t="s">
        <v>610</v>
      </c>
    </row>
    <row r="387" spans="1:9" x14ac:dyDescent="0.2">
      <c r="A387" t="s">
        <v>897</v>
      </c>
      <c r="B387" t="s">
        <v>58</v>
      </c>
      <c r="C387" t="s">
        <v>16</v>
      </c>
      <c r="D387" t="s">
        <v>17</v>
      </c>
      <c r="E387">
        <v>5843.35</v>
      </c>
      <c r="F387">
        <v>525.9</v>
      </c>
      <c r="G387">
        <v>525.9</v>
      </c>
      <c r="H387">
        <v>6895.15</v>
      </c>
      <c r="I387" t="s">
        <v>610</v>
      </c>
    </row>
    <row r="388" spans="1:9" x14ac:dyDescent="0.2">
      <c r="A388" t="s">
        <v>898</v>
      </c>
      <c r="B388" t="s">
        <v>116</v>
      </c>
      <c r="C388" t="s">
        <v>24</v>
      </c>
      <c r="D388" t="s">
        <v>25</v>
      </c>
      <c r="E388">
        <v>8670.34</v>
      </c>
      <c r="F388">
        <v>780.33</v>
      </c>
      <c r="G388">
        <v>780.33</v>
      </c>
      <c r="H388">
        <v>10231</v>
      </c>
      <c r="I388" t="s">
        <v>610</v>
      </c>
    </row>
    <row r="389" spans="1:9" x14ac:dyDescent="0.2">
      <c r="A389" t="s">
        <v>899</v>
      </c>
      <c r="B389" t="s">
        <v>45</v>
      </c>
      <c r="C389" t="s">
        <v>16</v>
      </c>
      <c r="D389" t="s">
        <v>17</v>
      </c>
      <c r="E389">
        <v>1187.3</v>
      </c>
      <c r="F389">
        <v>106.86</v>
      </c>
      <c r="G389">
        <v>106.86</v>
      </c>
      <c r="H389">
        <v>1401.02</v>
      </c>
      <c r="I389" t="s">
        <v>610</v>
      </c>
    </row>
    <row r="390" spans="1:9" x14ac:dyDescent="0.2">
      <c r="A390" t="s">
        <v>900</v>
      </c>
      <c r="B390" t="s">
        <v>68</v>
      </c>
      <c r="C390" t="s">
        <v>16</v>
      </c>
      <c r="D390" t="s">
        <v>17</v>
      </c>
      <c r="E390">
        <v>15537.02</v>
      </c>
      <c r="F390">
        <v>1398.33</v>
      </c>
      <c r="G390">
        <v>1398.33</v>
      </c>
      <c r="H390">
        <v>18333.68</v>
      </c>
      <c r="I390" t="s">
        <v>610</v>
      </c>
    </row>
    <row r="391" spans="1:9" x14ac:dyDescent="0.2">
      <c r="A391" t="s">
        <v>901</v>
      </c>
      <c r="B391" t="s">
        <v>10</v>
      </c>
      <c r="C391" t="s">
        <v>32</v>
      </c>
      <c r="D391" t="s">
        <v>33</v>
      </c>
      <c r="E391">
        <v>29432.09</v>
      </c>
      <c r="F391">
        <v>2648.89</v>
      </c>
      <c r="G391">
        <v>2648.89</v>
      </c>
      <c r="H391">
        <v>34729.870000000003</v>
      </c>
      <c r="I391" t="s">
        <v>610</v>
      </c>
    </row>
    <row r="392" spans="1:9" x14ac:dyDescent="0.2">
      <c r="A392" t="s">
        <v>902</v>
      </c>
      <c r="B392" t="s">
        <v>611</v>
      </c>
      <c r="C392" t="s">
        <v>32</v>
      </c>
      <c r="D392" t="s">
        <v>33</v>
      </c>
      <c r="E392">
        <v>27651.91</v>
      </c>
      <c r="F392">
        <v>2488.67</v>
      </c>
      <c r="G392">
        <v>2488.67</v>
      </c>
      <c r="H392">
        <v>32629.25</v>
      </c>
      <c r="I392" t="s">
        <v>610</v>
      </c>
    </row>
    <row r="393" spans="1:9" x14ac:dyDescent="0.2">
      <c r="A393" t="s">
        <v>903</v>
      </c>
      <c r="B393" t="s">
        <v>100</v>
      </c>
      <c r="C393" t="s">
        <v>20</v>
      </c>
      <c r="D393" t="s">
        <v>21</v>
      </c>
      <c r="E393">
        <v>38578</v>
      </c>
      <c r="F393">
        <v>3472.02</v>
      </c>
      <c r="G393">
        <v>3472.02</v>
      </c>
      <c r="H393">
        <v>45522.04</v>
      </c>
      <c r="I393" t="s">
        <v>610</v>
      </c>
    </row>
    <row r="394" spans="1:9" x14ac:dyDescent="0.2">
      <c r="A394" t="s">
        <v>904</v>
      </c>
      <c r="B394" t="s">
        <v>68</v>
      </c>
      <c r="C394" t="s">
        <v>20</v>
      </c>
      <c r="D394" t="s">
        <v>21</v>
      </c>
      <c r="E394">
        <v>2988.56</v>
      </c>
      <c r="F394">
        <v>268.97000000000003</v>
      </c>
      <c r="G394">
        <v>268.97000000000003</v>
      </c>
      <c r="H394">
        <v>3526.5</v>
      </c>
      <c r="I394" t="s">
        <v>610</v>
      </c>
    </row>
    <row r="395" spans="1:9" x14ac:dyDescent="0.2">
      <c r="A395" t="s">
        <v>905</v>
      </c>
      <c r="B395" t="s">
        <v>10</v>
      </c>
      <c r="C395" t="s">
        <v>32</v>
      </c>
      <c r="D395" t="s">
        <v>33</v>
      </c>
      <c r="E395">
        <v>25672.52</v>
      </c>
      <c r="F395">
        <v>2310.5300000000002</v>
      </c>
      <c r="G395">
        <v>2310.5300000000002</v>
      </c>
      <c r="H395">
        <v>30293.58</v>
      </c>
      <c r="I395" t="s">
        <v>610</v>
      </c>
    </row>
    <row r="396" spans="1:9" x14ac:dyDescent="0.2">
      <c r="A396" t="s">
        <v>906</v>
      </c>
      <c r="B396" t="s">
        <v>60</v>
      </c>
      <c r="C396" t="s">
        <v>16</v>
      </c>
      <c r="D396" t="s">
        <v>17</v>
      </c>
      <c r="E396">
        <v>48402.76</v>
      </c>
      <c r="F396">
        <v>4356.25</v>
      </c>
      <c r="G396">
        <v>4356.25</v>
      </c>
      <c r="H396">
        <v>57115.26</v>
      </c>
      <c r="I396" t="s">
        <v>610</v>
      </c>
    </row>
    <row r="397" spans="1:9" x14ac:dyDescent="0.2">
      <c r="A397" t="s">
        <v>907</v>
      </c>
      <c r="B397" t="s">
        <v>83</v>
      </c>
      <c r="C397" t="s">
        <v>32</v>
      </c>
      <c r="D397" t="s">
        <v>33</v>
      </c>
      <c r="E397">
        <v>48114.559999999998</v>
      </c>
      <c r="F397">
        <v>4330.3100000000004</v>
      </c>
      <c r="G397">
        <v>4330.3100000000004</v>
      </c>
      <c r="H397">
        <v>56775.18</v>
      </c>
      <c r="I397" t="s">
        <v>610</v>
      </c>
    </row>
    <row r="398" spans="1:9" x14ac:dyDescent="0.2">
      <c r="A398" t="s">
        <v>908</v>
      </c>
      <c r="B398" t="s">
        <v>58</v>
      </c>
      <c r="C398" t="s">
        <v>24</v>
      </c>
      <c r="D398" t="s">
        <v>25</v>
      </c>
      <c r="E398">
        <v>20040.52</v>
      </c>
      <c r="F398">
        <v>1803.65</v>
      </c>
      <c r="G398">
        <v>1803.65</v>
      </c>
      <c r="H398">
        <v>23647.82</v>
      </c>
      <c r="I398" t="s">
        <v>610</v>
      </c>
    </row>
    <row r="399" spans="1:9" x14ac:dyDescent="0.2">
      <c r="A399" t="s">
        <v>909</v>
      </c>
      <c r="B399" t="s">
        <v>93</v>
      </c>
      <c r="C399" t="s">
        <v>32</v>
      </c>
      <c r="D399" t="s">
        <v>33</v>
      </c>
      <c r="E399">
        <v>45288.4</v>
      </c>
      <c r="F399">
        <v>4075.96</v>
      </c>
      <c r="G399">
        <v>4075.96</v>
      </c>
      <c r="H399">
        <v>53440.32</v>
      </c>
      <c r="I399" t="s">
        <v>610</v>
      </c>
    </row>
    <row r="400" spans="1:9" x14ac:dyDescent="0.2">
      <c r="A400" t="s">
        <v>910</v>
      </c>
      <c r="B400" t="s">
        <v>128</v>
      </c>
      <c r="C400" t="s">
        <v>32</v>
      </c>
      <c r="D400" t="s">
        <v>33</v>
      </c>
      <c r="E400">
        <v>48052.91</v>
      </c>
      <c r="F400">
        <v>4324.76</v>
      </c>
      <c r="G400">
        <v>4324.76</v>
      </c>
      <c r="H400">
        <v>56702.43</v>
      </c>
      <c r="I400" t="s">
        <v>610</v>
      </c>
    </row>
    <row r="401" spans="1:9" x14ac:dyDescent="0.2">
      <c r="A401" t="s">
        <v>911</v>
      </c>
      <c r="B401" t="s">
        <v>195</v>
      </c>
      <c r="C401" t="s">
        <v>24</v>
      </c>
      <c r="D401" t="s">
        <v>25</v>
      </c>
      <c r="E401">
        <v>11562.9</v>
      </c>
      <c r="F401">
        <v>1040.6600000000001</v>
      </c>
      <c r="G401">
        <v>1040.6600000000001</v>
      </c>
      <c r="H401">
        <v>13644.22</v>
      </c>
      <c r="I401" t="s">
        <v>610</v>
      </c>
    </row>
    <row r="402" spans="1:9" x14ac:dyDescent="0.2">
      <c r="A402" t="s">
        <v>912</v>
      </c>
      <c r="B402" t="s">
        <v>49</v>
      </c>
      <c r="C402" t="s">
        <v>24</v>
      </c>
      <c r="D402" t="s">
        <v>25</v>
      </c>
      <c r="E402">
        <v>46816.65</v>
      </c>
      <c r="F402">
        <v>4213.5</v>
      </c>
      <c r="G402">
        <v>4213.5</v>
      </c>
      <c r="H402">
        <v>55243.65</v>
      </c>
      <c r="I402" t="s">
        <v>610</v>
      </c>
    </row>
    <row r="403" spans="1:9" x14ac:dyDescent="0.2">
      <c r="A403" t="s">
        <v>913</v>
      </c>
      <c r="B403" t="s">
        <v>38</v>
      </c>
      <c r="C403" t="s">
        <v>20</v>
      </c>
      <c r="D403" t="s">
        <v>21</v>
      </c>
      <c r="E403">
        <v>17679.53</v>
      </c>
      <c r="F403">
        <v>1591.16</v>
      </c>
      <c r="G403">
        <v>1591.16</v>
      </c>
      <c r="H403">
        <v>20861.849999999999</v>
      </c>
      <c r="I403" t="s">
        <v>610</v>
      </c>
    </row>
    <row r="404" spans="1:9" x14ac:dyDescent="0.2">
      <c r="A404" t="s">
        <v>914</v>
      </c>
      <c r="B404" t="s">
        <v>260</v>
      </c>
      <c r="C404" t="s">
        <v>24</v>
      </c>
      <c r="D404" t="s">
        <v>25</v>
      </c>
      <c r="E404">
        <v>43452.44</v>
      </c>
      <c r="F404">
        <v>3910.72</v>
      </c>
      <c r="G404">
        <v>3910.72</v>
      </c>
      <c r="H404">
        <v>51273.88</v>
      </c>
      <c r="I404" t="s">
        <v>610</v>
      </c>
    </row>
    <row r="405" spans="1:9" x14ac:dyDescent="0.2">
      <c r="A405" t="s">
        <v>915</v>
      </c>
      <c r="B405" t="s">
        <v>161</v>
      </c>
      <c r="C405" t="s">
        <v>24</v>
      </c>
      <c r="D405" t="s">
        <v>25</v>
      </c>
      <c r="E405">
        <v>4010.04</v>
      </c>
      <c r="F405">
        <v>360.9</v>
      </c>
      <c r="G405">
        <v>360.9</v>
      </c>
      <c r="H405">
        <v>4731.84</v>
      </c>
      <c r="I405" t="s">
        <v>610</v>
      </c>
    </row>
    <row r="406" spans="1:9" x14ac:dyDescent="0.2">
      <c r="A406" t="s">
        <v>916</v>
      </c>
      <c r="B406" t="s">
        <v>140</v>
      </c>
      <c r="C406" t="s">
        <v>16</v>
      </c>
      <c r="D406" t="s">
        <v>17</v>
      </c>
      <c r="E406">
        <v>25998.06</v>
      </c>
      <c r="F406">
        <v>2339.83</v>
      </c>
      <c r="G406">
        <v>2339.83</v>
      </c>
      <c r="H406">
        <v>30677.72</v>
      </c>
      <c r="I406" t="s">
        <v>610</v>
      </c>
    </row>
    <row r="407" spans="1:9" x14ac:dyDescent="0.2">
      <c r="A407" t="s">
        <v>917</v>
      </c>
      <c r="B407" t="s">
        <v>170</v>
      </c>
      <c r="C407" t="s">
        <v>24</v>
      </c>
      <c r="D407" t="s">
        <v>25</v>
      </c>
      <c r="E407">
        <v>47904.82</v>
      </c>
      <c r="F407">
        <v>4311.43</v>
      </c>
      <c r="G407">
        <v>4311.43</v>
      </c>
      <c r="H407">
        <v>56527.68</v>
      </c>
      <c r="I407" t="s">
        <v>610</v>
      </c>
    </row>
    <row r="408" spans="1:9" x14ac:dyDescent="0.2">
      <c r="A408" t="s">
        <v>918</v>
      </c>
      <c r="B408" t="s">
        <v>287</v>
      </c>
      <c r="C408" t="s">
        <v>20</v>
      </c>
      <c r="D408" t="s">
        <v>21</v>
      </c>
      <c r="E408">
        <v>34858</v>
      </c>
      <c r="F408">
        <v>3137.22</v>
      </c>
      <c r="G408">
        <v>3137.22</v>
      </c>
      <c r="H408">
        <v>41132.44</v>
      </c>
      <c r="I408" t="s">
        <v>610</v>
      </c>
    </row>
    <row r="409" spans="1:9" x14ac:dyDescent="0.2">
      <c r="A409" t="s">
        <v>919</v>
      </c>
      <c r="B409" t="s">
        <v>71</v>
      </c>
      <c r="C409" t="s">
        <v>11</v>
      </c>
      <c r="D409" t="s">
        <v>12</v>
      </c>
      <c r="E409">
        <v>9508.69</v>
      </c>
      <c r="F409">
        <v>855.78</v>
      </c>
      <c r="G409">
        <v>855.78</v>
      </c>
      <c r="H409">
        <v>11220.25</v>
      </c>
      <c r="I409" t="s">
        <v>610</v>
      </c>
    </row>
    <row r="410" spans="1:9" x14ac:dyDescent="0.2">
      <c r="A410" t="s">
        <v>920</v>
      </c>
      <c r="B410" t="s">
        <v>252</v>
      </c>
      <c r="C410" t="s">
        <v>24</v>
      </c>
      <c r="D410" t="s">
        <v>25</v>
      </c>
      <c r="E410">
        <v>14980.88</v>
      </c>
      <c r="F410">
        <v>1348.28</v>
      </c>
      <c r="G410">
        <v>1348.28</v>
      </c>
      <c r="H410">
        <v>17677.439999999999</v>
      </c>
      <c r="I410" t="s">
        <v>610</v>
      </c>
    </row>
    <row r="411" spans="1:9" x14ac:dyDescent="0.2">
      <c r="A411" t="s">
        <v>921</v>
      </c>
      <c r="B411" t="s">
        <v>29</v>
      </c>
      <c r="C411" t="s">
        <v>20</v>
      </c>
      <c r="D411" t="s">
        <v>21</v>
      </c>
      <c r="E411">
        <v>45111.16</v>
      </c>
      <c r="F411">
        <v>4060</v>
      </c>
      <c r="G411">
        <v>4060</v>
      </c>
      <c r="H411">
        <v>53231.16</v>
      </c>
      <c r="I411" t="s">
        <v>610</v>
      </c>
    </row>
    <row r="412" spans="1:9" x14ac:dyDescent="0.2">
      <c r="A412" t="s">
        <v>922</v>
      </c>
      <c r="B412" t="s">
        <v>155</v>
      </c>
      <c r="C412" t="s">
        <v>11</v>
      </c>
      <c r="D412" t="s">
        <v>12</v>
      </c>
      <c r="E412">
        <v>9184.32</v>
      </c>
      <c r="F412">
        <v>826.59</v>
      </c>
      <c r="G412">
        <v>826.59</v>
      </c>
      <c r="H412">
        <v>10837.5</v>
      </c>
      <c r="I412" t="s">
        <v>610</v>
      </c>
    </row>
    <row r="413" spans="1:9" x14ac:dyDescent="0.2">
      <c r="A413" t="s">
        <v>923</v>
      </c>
      <c r="B413" t="s">
        <v>31</v>
      </c>
      <c r="C413" t="s">
        <v>11</v>
      </c>
      <c r="D413" t="s">
        <v>12</v>
      </c>
      <c r="E413">
        <v>4985.6499999999996</v>
      </c>
      <c r="F413">
        <v>448.71</v>
      </c>
      <c r="G413">
        <v>448.71</v>
      </c>
      <c r="H413">
        <v>5883.07</v>
      </c>
      <c r="I413" t="s">
        <v>610</v>
      </c>
    </row>
    <row r="414" spans="1:9" x14ac:dyDescent="0.2">
      <c r="A414" t="s">
        <v>924</v>
      </c>
      <c r="B414" t="s">
        <v>195</v>
      </c>
      <c r="C414" t="s">
        <v>11</v>
      </c>
      <c r="D414" t="s">
        <v>12</v>
      </c>
      <c r="E414">
        <v>41285.03</v>
      </c>
      <c r="F414">
        <v>3715.65</v>
      </c>
      <c r="G414">
        <v>3715.65</v>
      </c>
      <c r="H414">
        <v>48716.33</v>
      </c>
      <c r="I414" t="s">
        <v>610</v>
      </c>
    </row>
    <row r="415" spans="1:9" x14ac:dyDescent="0.2">
      <c r="A415" t="s">
        <v>925</v>
      </c>
      <c r="B415" t="s">
        <v>155</v>
      </c>
      <c r="C415" t="s">
        <v>11</v>
      </c>
      <c r="D415" t="s">
        <v>12</v>
      </c>
      <c r="E415">
        <v>1928.67</v>
      </c>
      <c r="F415">
        <v>173.58</v>
      </c>
      <c r="G415">
        <v>173.58</v>
      </c>
      <c r="H415">
        <v>2275.83</v>
      </c>
      <c r="I415" t="s">
        <v>610</v>
      </c>
    </row>
    <row r="416" spans="1:9" x14ac:dyDescent="0.2">
      <c r="A416" t="s">
        <v>926</v>
      </c>
      <c r="B416" t="s">
        <v>27</v>
      </c>
      <c r="C416" t="s">
        <v>20</v>
      </c>
      <c r="D416" t="s">
        <v>21</v>
      </c>
      <c r="E416">
        <v>3819.2</v>
      </c>
      <c r="F416">
        <v>343.73</v>
      </c>
      <c r="G416">
        <v>343.73</v>
      </c>
      <c r="H416">
        <v>4506.66</v>
      </c>
      <c r="I416" t="s">
        <v>610</v>
      </c>
    </row>
    <row r="417" spans="1:9" x14ac:dyDescent="0.2">
      <c r="A417" t="s">
        <v>927</v>
      </c>
      <c r="B417" t="s">
        <v>97</v>
      </c>
      <c r="C417" t="s">
        <v>11</v>
      </c>
      <c r="D417" t="s">
        <v>12</v>
      </c>
      <c r="E417">
        <v>17300.53</v>
      </c>
      <c r="F417">
        <v>1557.05</v>
      </c>
      <c r="G417">
        <v>1557.05</v>
      </c>
      <c r="H417">
        <v>20414.63</v>
      </c>
      <c r="I417" t="s">
        <v>610</v>
      </c>
    </row>
    <row r="418" spans="1:9" x14ac:dyDescent="0.2">
      <c r="A418" t="s">
        <v>928</v>
      </c>
      <c r="B418" t="s">
        <v>31</v>
      </c>
      <c r="C418" t="s">
        <v>16</v>
      </c>
      <c r="D418" t="s">
        <v>17</v>
      </c>
      <c r="E418">
        <v>32124.95</v>
      </c>
      <c r="F418">
        <v>2891.25</v>
      </c>
      <c r="G418">
        <v>2891.25</v>
      </c>
      <c r="H418">
        <v>37907.449999999997</v>
      </c>
      <c r="I418" t="s">
        <v>610</v>
      </c>
    </row>
    <row r="419" spans="1:9" x14ac:dyDescent="0.2">
      <c r="A419" t="s">
        <v>929</v>
      </c>
      <c r="B419" t="s">
        <v>285</v>
      </c>
      <c r="C419" t="s">
        <v>11</v>
      </c>
      <c r="D419" t="s">
        <v>12</v>
      </c>
      <c r="E419">
        <v>31593.57</v>
      </c>
      <c r="F419">
        <v>2843.42</v>
      </c>
      <c r="G419">
        <v>2843.42</v>
      </c>
      <c r="H419">
        <v>37280.410000000003</v>
      </c>
      <c r="I419" t="s">
        <v>610</v>
      </c>
    </row>
    <row r="420" spans="1:9" x14ac:dyDescent="0.2">
      <c r="A420" t="s">
        <v>930</v>
      </c>
      <c r="B420" t="s">
        <v>42</v>
      </c>
      <c r="C420" t="s">
        <v>16</v>
      </c>
      <c r="D420" t="s">
        <v>17</v>
      </c>
      <c r="E420">
        <v>38131.85</v>
      </c>
      <c r="F420">
        <v>3431.87</v>
      </c>
      <c r="G420">
        <v>3431.87</v>
      </c>
      <c r="H420">
        <v>44995.59</v>
      </c>
      <c r="I420" t="s">
        <v>610</v>
      </c>
    </row>
    <row r="421" spans="1:9" x14ac:dyDescent="0.2">
      <c r="A421" t="s">
        <v>931</v>
      </c>
      <c r="B421" t="s">
        <v>146</v>
      </c>
      <c r="C421" t="s">
        <v>32</v>
      </c>
      <c r="D421" t="s">
        <v>33</v>
      </c>
      <c r="E421">
        <v>36652.720000000001</v>
      </c>
      <c r="F421">
        <v>3298.74</v>
      </c>
      <c r="G421">
        <v>3298.74</v>
      </c>
      <c r="H421">
        <v>43250.2</v>
      </c>
      <c r="I421" t="s">
        <v>610</v>
      </c>
    </row>
    <row r="422" spans="1:9" x14ac:dyDescent="0.2">
      <c r="A422" t="s">
        <v>932</v>
      </c>
      <c r="B422" t="s">
        <v>77</v>
      </c>
      <c r="C422" t="s">
        <v>16</v>
      </c>
      <c r="D422" t="s">
        <v>17</v>
      </c>
      <c r="E422">
        <v>11882.59</v>
      </c>
      <c r="F422">
        <v>1069.43</v>
      </c>
      <c r="G422">
        <v>1069.43</v>
      </c>
      <c r="H422">
        <v>14021.45</v>
      </c>
      <c r="I422" t="s">
        <v>610</v>
      </c>
    </row>
    <row r="423" spans="1:9" x14ac:dyDescent="0.2">
      <c r="A423" t="s">
        <v>933</v>
      </c>
      <c r="B423" t="s">
        <v>71</v>
      </c>
      <c r="C423" t="s">
        <v>20</v>
      </c>
      <c r="D423" t="s">
        <v>21</v>
      </c>
      <c r="E423">
        <v>35967.410000000003</v>
      </c>
      <c r="F423">
        <v>3237.07</v>
      </c>
      <c r="G423">
        <v>3237.07</v>
      </c>
      <c r="H423">
        <v>42441.55</v>
      </c>
      <c r="I423" t="s">
        <v>610</v>
      </c>
    </row>
    <row r="424" spans="1:9" x14ac:dyDescent="0.2">
      <c r="A424" t="s">
        <v>934</v>
      </c>
      <c r="B424" t="s">
        <v>188</v>
      </c>
      <c r="C424" t="s">
        <v>16</v>
      </c>
      <c r="D424" t="s">
        <v>17</v>
      </c>
      <c r="E424">
        <v>20282.09</v>
      </c>
      <c r="F424">
        <v>1825.39</v>
      </c>
      <c r="G424">
        <v>1825.39</v>
      </c>
      <c r="H424">
        <v>23932.87</v>
      </c>
      <c r="I424" t="s">
        <v>610</v>
      </c>
    </row>
    <row r="425" spans="1:9" x14ac:dyDescent="0.2">
      <c r="A425" t="s">
        <v>935</v>
      </c>
      <c r="B425" t="s">
        <v>27</v>
      </c>
      <c r="C425" t="s">
        <v>32</v>
      </c>
      <c r="D425" t="s">
        <v>33</v>
      </c>
      <c r="E425">
        <v>1527.06</v>
      </c>
      <c r="F425">
        <v>137.44</v>
      </c>
      <c r="G425">
        <v>137.44</v>
      </c>
      <c r="H425">
        <v>1801.94</v>
      </c>
      <c r="I425" t="s">
        <v>610</v>
      </c>
    </row>
    <row r="426" spans="1:9" x14ac:dyDescent="0.2">
      <c r="A426" t="s">
        <v>936</v>
      </c>
      <c r="B426" t="s">
        <v>176</v>
      </c>
      <c r="C426" t="s">
        <v>16</v>
      </c>
      <c r="D426" t="s">
        <v>17</v>
      </c>
      <c r="E426">
        <v>21380.639999999999</v>
      </c>
      <c r="F426">
        <v>1924.26</v>
      </c>
      <c r="G426">
        <v>1924.26</v>
      </c>
      <c r="H426">
        <v>25229.16</v>
      </c>
      <c r="I426" t="s">
        <v>610</v>
      </c>
    </row>
    <row r="427" spans="1:9" x14ac:dyDescent="0.2">
      <c r="A427" t="s">
        <v>937</v>
      </c>
      <c r="B427" t="s">
        <v>97</v>
      </c>
      <c r="C427" t="s">
        <v>16</v>
      </c>
      <c r="D427" t="s">
        <v>17</v>
      </c>
      <c r="E427">
        <v>22362.55</v>
      </c>
      <c r="F427">
        <v>2012.63</v>
      </c>
      <c r="G427">
        <v>2012.63</v>
      </c>
      <c r="H427">
        <v>26387.81</v>
      </c>
      <c r="I427" t="s">
        <v>610</v>
      </c>
    </row>
    <row r="428" spans="1:9" x14ac:dyDescent="0.2">
      <c r="A428" t="s">
        <v>938</v>
      </c>
      <c r="B428" t="s">
        <v>150</v>
      </c>
      <c r="C428" t="s">
        <v>11</v>
      </c>
      <c r="D428" t="s">
        <v>12</v>
      </c>
      <c r="E428">
        <v>9963.94</v>
      </c>
      <c r="F428">
        <v>896.75</v>
      </c>
      <c r="G428">
        <v>896.75</v>
      </c>
      <c r="H428">
        <v>11757.44</v>
      </c>
      <c r="I428" t="s">
        <v>610</v>
      </c>
    </row>
    <row r="429" spans="1:9" x14ac:dyDescent="0.2">
      <c r="A429" t="s">
        <v>939</v>
      </c>
      <c r="B429" t="s">
        <v>77</v>
      </c>
      <c r="C429" t="s">
        <v>24</v>
      </c>
      <c r="D429" t="s">
        <v>25</v>
      </c>
      <c r="E429">
        <v>41173.769999999997</v>
      </c>
      <c r="F429">
        <v>3705.64</v>
      </c>
      <c r="G429">
        <v>3705.64</v>
      </c>
      <c r="H429">
        <v>48585.05</v>
      </c>
      <c r="I429" t="s">
        <v>610</v>
      </c>
    </row>
    <row r="430" spans="1:9" x14ac:dyDescent="0.2">
      <c r="A430" t="s">
        <v>940</v>
      </c>
      <c r="B430" t="s">
        <v>311</v>
      </c>
      <c r="C430" t="s">
        <v>24</v>
      </c>
      <c r="D430" t="s">
        <v>25</v>
      </c>
      <c r="E430">
        <v>7969.74</v>
      </c>
      <c r="F430">
        <v>717.28</v>
      </c>
      <c r="G430">
        <v>717.28</v>
      </c>
      <c r="H430">
        <v>9404.2999999999993</v>
      </c>
      <c r="I430" t="s">
        <v>610</v>
      </c>
    </row>
    <row r="431" spans="1:9" x14ac:dyDescent="0.2">
      <c r="A431" t="s">
        <v>941</v>
      </c>
      <c r="B431" t="s">
        <v>118</v>
      </c>
      <c r="C431" t="s">
        <v>16</v>
      </c>
      <c r="D431" t="s">
        <v>17</v>
      </c>
      <c r="E431">
        <v>12078.59</v>
      </c>
      <c r="F431">
        <v>1087.07</v>
      </c>
      <c r="G431">
        <v>1087.07</v>
      </c>
      <c r="H431">
        <v>14252.73</v>
      </c>
      <c r="I431" t="s">
        <v>610</v>
      </c>
    </row>
    <row r="432" spans="1:9" x14ac:dyDescent="0.2">
      <c r="A432" t="s">
        <v>942</v>
      </c>
      <c r="B432" t="s">
        <v>71</v>
      </c>
      <c r="C432" t="s">
        <v>11</v>
      </c>
      <c r="D432" t="s">
        <v>12</v>
      </c>
      <c r="E432">
        <v>4595.75</v>
      </c>
      <c r="F432">
        <v>413.62</v>
      </c>
      <c r="G432">
        <v>413.62</v>
      </c>
      <c r="H432">
        <v>5422.99</v>
      </c>
      <c r="I432" t="s">
        <v>610</v>
      </c>
    </row>
    <row r="433" spans="1:9" x14ac:dyDescent="0.2">
      <c r="A433" t="s">
        <v>943</v>
      </c>
      <c r="B433" t="s">
        <v>128</v>
      </c>
      <c r="C433" t="s">
        <v>32</v>
      </c>
      <c r="D433" t="s">
        <v>33</v>
      </c>
      <c r="E433">
        <v>1744.68</v>
      </c>
      <c r="F433">
        <v>157.02000000000001</v>
      </c>
      <c r="G433">
        <v>157.02000000000001</v>
      </c>
      <c r="H433">
        <v>2058.7199999999998</v>
      </c>
      <c r="I433" t="s">
        <v>610</v>
      </c>
    </row>
    <row r="434" spans="1:9" x14ac:dyDescent="0.2">
      <c r="A434" t="s">
        <v>944</v>
      </c>
      <c r="B434" t="s">
        <v>192</v>
      </c>
      <c r="C434" t="s">
        <v>11</v>
      </c>
      <c r="D434" t="s">
        <v>12</v>
      </c>
      <c r="E434">
        <v>29276.89</v>
      </c>
      <c r="F434">
        <v>2634.92</v>
      </c>
      <c r="G434">
        <v>2634.92</v>
      </c>
      <c r="H434">
        <v>34546.730000000003</v>
      </c>
      <c r="I434" t="s">
        <v>610</v>
      </c>
    </row>
    <row r="435" spans="1:9" x14ac:dyDescent="0.2">
      <c r="A435" t="s">
        <v>945</v>
      </c>
      <c r="B435" t="s">
        <v>150</v>
      </c>
      <c r="C435" t="s">
        <v>32</v>
      </c>
      <c r="D435" t="s">
        <v>33</v>
      </c>
      <c r="E435">
        <v>7567.91</v>
      </c>
      <c r="F435">
        <v>681.11</v>
      </c>
      <c r="G435">
        <v>681.11</v>
      </c>
      <c r="H435">
        <v>8930.1299999999992</v>
      </c>
      <c r="I435" t="s">
        <v>610</v>
      </c>
    </row>
    <row r="436" spans="1:9" x14ac:dyDescent="0.2">
      <c r="A436" t="s">
        <v>946</v>
      </c>
      <c r="B436" t="s">
        <v>311</v>
      </c>
      <c r="C436" t="s">
        <v>32</v>
      </c>
      <c r="D436" t="s">
        <v>33</v>
      </c>
      <c r="E436">
        <v>6999.62</v>
      </c>
      <c r="F436">
        <v>629.97</v>
      </c>
      <c r="G436">
        <v>629.97</v>
      </c>
      <c r="H436">
        <v>8259.56</v>
      </c>
      <c r="I436" t="s">
        <v>610</v>
      </c>
    </row>
    <row r="437" spans="1:9" x14ac:dyDescent="0.2">
      <c r="A437" t="s">
        <v>947</v>
      </c>
      <c r="B437" t="s">
        <v>27</v>
      </c>
      <c r="C437" t="s">
        <v>32</v>
      </c>
      <c r="D437" t="s">
        <v>33</v>
      </c>
      <c r="E437">
        <v>16934.29</v>
      </c>
      <c r="F437">
        <v>1524.09</v>
      </c>
      <c r="G437">
        <v>1524.09</v>
      </c>
      <c r="H437">
        <v>19982.47</v>
      </c>
      <c r="I437" t="s">
        <v>610</v>
      </c>
    </row>
    <row r="438" spans="1:9" x14ac:dyDescent="0.2">
      <c r="A438" t="s">
        <v>948</v>
      </c>
      <c r="B438" t="s">
        <v>471</v>
      </c>
      <c r="C438" t="s">
        <v>20</v>
      </c>
      <c r="D438" t="s">
        <v>21</v>
      </c>
      <c r="E438">
        <v>21697.67</v>
      </c>
      <c r="F438">
        <v>1952.79</v>
      </c>
      <c r="G438">
        <v>1952.79</v>
      </c>
      <c r="H438">
        <v>25603.25</v>
      </c>
      <c r="I438" t="s">
        <v>610</v>
      </c>
    </row>
    <row r="439" spans="1:9" x14ac:dyDescent="0.2">
      <c r="A439" t="s">
        <v>949</v>
      </c>
      <c r="B439" t="s">
        <v>91</v>
      </c>
      <c r="C439" t="s">
        <v>32</v>
      </c>
      <c r="D439" t="s">
        <v>33</v>
      </c>
      <c r="E439">
        <v>11049.77</v>
      </c>
      <c r="F439">
        <v>994.48</v>
      </c>
      <c r="G439">
        <v>994.48</v>
      </c>
      <c r="H439">
        <v>13038.73</v>
      </c>
      <c r="I439" t="s">
        <v>610</v>
      </c>
    </row>
    <row r="440" spans="1:9" x14ac:dyDescent="0.2">
      <c r="A440" t="s">
        <v>950</v>
      </c>
      <c r="B440" t="s">
        <v>192</v>
      </c>
      <c r="C440" t="s">
        <v>24</v>
      </c>
      <c r="D440" t="s">
        <v>25</v>
      </c>
      <c r="E440">
        <v>11885.92</v>
      </c>
      <c r="F440">
        <v>1069.73</v>
      </c>
      <c r="G440">
        <v>1069.73</v>
      </c>
      <c r="H440">
        <v>14025.38</v>
      </c>
      <c r="I440" t="s">
        <v>610</v>
      </c>
    </row>
    <row r="441" spans="1:9" x14ac:dyDescent="0.2">
      <c r="A441" t="s">
        <v>951</v>
      </c>
      <c r="B441" t="s">
        <v>15</v>
      </c>
      <c r="C441" t="s">
        <v>32</v>
      </c>
      <c r="D441" t="s">
        <v>33</v>
      </c>
      <c r="E441">
        <v>1156.97</v>
      </c>
      <c r="F441">
        <v>104.13</v>
      </c>
      <c r="G441">
        <v>104.13</v>
      </c>
      <c r="H441">
        <v>1365.23</v>
      </c>
      <c r="I441" t="s">
        <v>610</v>
      </c>
    </row>
    <row r="442" spans="1:9" x14ac:dyDescent="0.2">
      <c r="A442" t="s">
        <v>952</v>
      </c>
      <c r="B442" t="s">
        <v>130</v>
      </c>
      <c r="C442" t="s">
        <v>16</v>
      </c>
      <c r="D442" t="s">
        <v>17</v>
      </c>
      <c r="E442">
        <v>33088.559999999998</v>
      </c>
      <c r="F442">
        <v>2977.97</v>
      </c>
      <c r="G442">
        <v>2977.97</v>
      </c>
      <c r="H442">
        <v>39044.5</v>
      </c>
      <c r="I442" t="s">
        <v>610</v>
      </c>
    </row>
    <row r="443" spans="1:9" x14ac:dyDescent="0.2">
      <c r="A443" t="s">
        <v>953</v>
      </c>
      <c r="B443" t="s">
        <v>258</v>
      </c>
      <c r="C443" t="s">
        <v>20</v>
      </c>
      <c r="D443" t="s">
        <v>21</v>
      </c>
      <c r="E443">
        <v>18582.990000000002</v>
      </c>
      <c r="F443">
        <v>1672.47</v>
      </c>
      <c r="G443">
        <v>1672.47</v>
      </c>
      <c r="H443">
        <v>21927.93</v>
      </c>
      <c r="I443" t="s">
        <v>610</v>
      </c>
    </row>
    <row r="444" spans="1:9" x14ac:dyDescent="0.2">
      <c r="A444" t="s">
        <v>954</v>
      </c>
      <c r="B444" t="s">
        <v>93</v>
      </c>
      <c r="C444" t="s">
        <v>32</v>
      </c>
      <c r="D444" t="s">
        <v>33</v>
      </c>
      <c r="E444">
        <v>44397.57</v>
      </c>
      <c r="F444">
        <v>3995.78</v>
      </c>
      <c r="G444">
        <v>3995.78</v>
      </c>
      <c r="H444">
        <v>52389.13</v>
      </c>
      <c r="I444" t="s">
        <v>610</v>
      </c>
    </row>
    <row r="445" spans="1:9" x14ac:dyDescent="0.2">
      <c r="A445" t="s">
        <v>955</v>
      </c>
      <c r="B445" t="s">
        <v>390</v>
      </c>
      <c r="C445" t="s">
        <v>24</v>
      </c>
      <c r="D445" t="s">
        <v>25</v>
      </c>
      <c r="E445">
        <v>46227.86</v>
      </c>
      <c r="F445">
        <v>4160.51</v>
      </c>
      <c r="G445">
        <v>4160.51</v>
      </c>
      <c r="H445">
        <v>54548.88</v>
      </c>
      <c r="I445" t="s">
        <v>610</v>
      </c>
    </row>
    <row r="446" spans="1:9" x14ac:dyDescent="0.2">
      <c r="A446" t="s">
        <v>956</v>
      </c>
      <c r="B446" t="s">
        <v>170</v>
      </c>
      <c r="C446" t="s">
        <v>16</v>
      </c>
      <c r="D446" t="s">
        <v>17</v>
      </c>
      <c r="E446">
        <v>25300.37</v>
      </c>
      <c r="F446">
        <v>2277.0300000000002</v>
      </c>
      <c r="G446">
        <v>2277.0300000000002</v>
      </c>
      <c r="H446">
        <v>29854.43</v>
      </c>
      <c r="I446" t="s">
        <v>610</v>
      </c>
    </row>
    <row r="447" spans="1:9" x14ac:dyDescent="0.2">
      <c r="A447" t="s">
        <v>957</v>
      </c>
      <c r="B447" t="s">
        <v>285</v>
      </c>
      <c r="C447" t="s">
        <v>11</v>
      </c>
      <c r="D447" t="s">
        <v>12</v>
      </c>
      <c r="E447">
        <v>38175.47</v>
      </c>
      <c r="F447">
        <v>3435.79</v>
      </c>
      <c r="G447">
        <v>3435.79</v>
      </c>
      <c r="H447">
        <v>45047.05</v>
      </c>
      <c r="I447" t="s">
        <v>610</v>
      </c>
    </row>
    <row r="448" spans="1:9" x14ac:dyDescent="0.2">
      <c r="A448" t="s">
        <v>958</v>
      </c>
      <c r="B448" t="s">
        <v>278</v>
      </c>
      <c r="C448" t="s">
        <v>32</v>
      </c>
      <c r="D448" t="s">
        <v>33</v>
      </c>
      <c r="E448">
        <v>14124.93</v>
      </c>
      <c r="F448">
        <v>1271.24</v>
      </c>
      <c r="G448">
        <v>1271.24</v>
      </c>
      <c r="H448">
        <v>16667.41</v>
      </c>
      <c r="I448" t="s">
        <v>610</v>
      </c>
    </row>
    <row r="449" spans="1:9" x14ac:dyDescent="0.2">
      <c r="A449" t="s">
        <v>959</v>
      </c>
      <c r="B449" t="s">
        <v>285</v>
      </c>
      <c r="C449" t="s">
        <v>11</v>
      </c>
      <c r="D449" t="s">
        <v>12</v>
      </c>
      <c r="E449">
        <v>13911.44</v>
      </c>
      <c r="F449">
        <v>1252.03</v>
      </c>
      <c r="G449">
        <v>1252.03</v>
      </c>
      <c r="H449">
        <v>16415.5</v>
      </c>
      <c r="I449" t="s">
        <v>610</v>
      </c>
    </row>
    <row r="450" spans="1:9" x14ac:dyDescent="0.2">
      <c r="A450" t="s">
        <v>960</v>
      </c>
      <c r="B450" t="s">
        <v>51</v>
      </c>
      <c r="C450" t="s">
        <v>11</v>
      </c>
      <c r="D450" t="s">
        <v>12</v>
      </c>
      <c r="E450">
        <v>2707.6</v>
      </c>
      <c r="F450">
        <v>243.68</v>
      </c>
      <c r="G450">
        <v>243.68</v>
      </c>
      <c r="H450">
        <v>3194.96</v>
      </c>
      <c r="I450" t="s">
        <v>610</v>
      </c>
    </row>
    <row r="451" spans="1:9" x14ac:dyDescent="0.2">
      <c r="A451" t="s">
        <v>961</v>
      </c>
      <c r="B451" t="s">
        <v>146</v>
      </c>
      <c r="C451" t="s">
        <v>16</v>
      </c>
      <c r="D451" t="s">
        <v>17</v>
      </c>
      <c r="E451">
        <v>4692.82</v>
      </c>
      <c r="F451">
        <v>422.35</v>
      </c>
      <c r="G451">
        <v>422.35</v>
      </c>
      <c r="H451">
        <v>5537.52</v>
      </c>
      <c r="I451" t="s">
        <v>610</v>
      </c>
    </row>
    <row r="452" spans="1:9" x14ac:dyDescent="0.2">
      <c r="A452" t="s">
        <v>962</v>
      </c>
      <c r="B452" t="s">
        <v>58</v>
      </c>
      <c r="C452" t="s">
        <v>32</v>
      </c>
      <c r="D452" t="s">
        <v>33</v>
      </c>
      <c r="E452">
        <v>31293.65</v>
      </c>
      <c r="F452">
        <v>2816.43</v>
      </c>
      <c r="G452">
        <v>2816.43</v>
      </c>
      <c r="H452">
        <v>36926.51</v>
      </c>
      <c r="I452" t="s">
        <v>610</v>
      </c>
    </row>
    <row r="453" spans="1:9" x14ac:dyDescent="0.2">
      <c r="A453" t="s">
        <v>963</v>
      </c>
      <c r="B453" t="s">
        <v>420</v>
      </c>
      <c r="C453" t="s">
        <v>32</v>
      </c>
      <c r="D453" t="s">
        <v>33</v>
      </c>
      <c r="E453">
        <v>25602.03</v>
      </c>
      <c r="F453">
        <v>2304.1799999999998</v>
      </c>
      <c r="G453">
        <v>2304.1799999999998</v>
      </c>
      <c r="H453">
        <v>30210.39</v>
      </c>
      <c r="I453" t="s">
        <v>610</v>
      </c>
    </row>
    <row r="454" spans="1:9" x14ac:dyDescent="0.2">
      <c r="A454" t="s">
        <v>964</v>
      </c>
      <c r="B454" t="s">
        <v>68</v>
      </c>
      <c r="C454" t="s">
        <v>16</v>
      </c>
      <c r="D454" t="s">
        <v>17</v>
      </c>
      <c r="E454">
        <v>28038.93</v>
      </c>
      <c r="F454">
        <v>2523.5</v>
      </c>
      <c r="G454">
        <v>2523.5</v>
      </c>
      <c r="H454">
        <v>33085.93</v>
      </c>
      <c r="I454" t="s">
        <v>610</v>
      </c>
    </row>
    <row r="455" spans="1:9" x14ac:dyDescent="0.2">
      <c r="A455" t="s">
        <v>965</v>
      </c>
      <c r="B455" t="s">
        <v>19</v>
      </c>
      <c r="C455" t="s">
        <v>32</v>
      </c>
      <c r="D455" t="s">
        <v>33</v>
      </c>
      <c r="E455">
        <v>21714.880000000001</v>
      </c>
      <c r="F455">
        <v>1954.34</v>
      </c>
      <c r="G455">
        <v>1954.34</v>
      </c>
      <c r="H455">
        <v>25623.56</v>
      </c>
      <c r="I455" t="s">
        <v>610</v>
      </c>
    </row>
    <row r="456" spans="1:9" x14ac:dyDescent="0.2">
      <c r="A456" t="s">
        <v>966</v>
      </c>
      <c r="B456" t="s">
        <v>107</v>
      </c>
      <c r="C456" t="s">
        <v>16</v>
      </c>
      <c r="D456" t="s">
        <v>17</v>
      </c>
      <c r="E456">
        <v>3314.77</v>
      </c>
      <c r="F456">
        <v>298.33</v>
      </c>
      <c r="G456">
        <v>298.33</v>
      </c>
      <c r="H456">
        <v>3911.43</v>
      </c>
      <c r="I456" t="s">
        <v>610</v>
      </c>
    </row>
    <row r="457" spans="1:9" x14ac:dyDescent="0.2">
      <c r="A457" t="s">
        <v>967</v>
      </c>
      <c r="B457" t="s">
        <v>109</v>
      </c>
      <c r="C457" t="s">
        <v>32</v>
      </c>
      <c r="D457" t="s">
        <v>33</v>
      </c>
      <c r="E457">
        <v>47897.2</v>
      </c>
      <c r="F457">
        <v>4310.75</v>
      </c>
      <c r="G457">
        <v>4310.75</v>
      </c>
      <c r="H457">
        <v>56518.7</v>
      </c>
      <c r="I457" t="s">
        <v>610</v>
      </c>
    </row>
    <row r="458" spans="1:9" x14ac:dyDescent="0.2">
      <c r="A458" t="s">
        <v>968</v>
      </c>
      <c r="B458" t="s">
        <v>155</v>
      </c>
      <c r="C458" t="s">
        <v>11</v>
      </c>
      <c r="D458" t="s">
        <v>12</v>
      </c>
      <c r="E458">
        <v>15360.02</v>
      </c>
      <c r="F458">
        <v>1382.4</v>
      </c>
      <c r="G458">
        <v>1382.4</v>
      </c>
      <c r="H458">
        <v>18124.82</v>
      </c>
      <c r="I458" t="s">
        <v>610</v>
      </c>
    </row>
    <row r="459" spans="1:9" x14ac:dyDescent="0.2">
      <c r="A459" t="s">
        <v>969</v>
      </c>
      <c r="B459" t="s">
        <v>390</v>
      </c>
      <c r="C459" t="s">
        <v>11</v>
      </c>
      <c r="D459" t="s">
        <v>12</v>
      </c>
      <c r="E459">
        <v>18655.72</v>
      </c>
      <c r="F459">
        <v>1679.01</v>
      </c>
      <c r="G459">
        <v>1679.01</v>
      </c>
      <c r="H459">
        <v>22013.74</v>
      </c>
      <c r="I459" t="s">
        <v>610</v>
      </c>
    </row>
    <row r="460" spans="1:9" x14ac:dyDescent="0.2">
      <c r="A460" t="s">
        <v>970</v>
      </c>
      <c r="B460" t="s">
        <v>51</v>
      </c>
      <c r="C460" t="s">
        <v>16</v>
      </c>
      <c r="D460" t="s">
        <v>17</v>
      </c>
      <c r="E460">
        <v>5492.23</v>
      </c>
      <c r="F460">
        <v>494.3</v>
      </c>
      <c r="G460">
        <v>494.3</v>
      </c>
      <c r="H460">
        <v>6480.83</v>
      </c>
      <c r="I460" t="s">
        <v>610</v>
      </c>
    </row>
    <row r="461" spans="1:9" x14ac:dyDescent="0.2">
      <c r="A461" t="s">
        <v>971</v>
      </c>
      <c r="B461" t="s">
        <v>97</v>
      </c>
      <c r="C461" t="s">
        <v>16</v>
      </c>
      <c r="D461" t="s">
        <v>17</v>
      </c>
      <c r="E461">
        <v>25101.64</v>
      </c>
      <c r="F461">
        <v>2259.15</v>
      </c>
      <c r="G461">
        <v>2259.15</v>
      </c>
      <c r="H461">
        <v>29619.94</v>
      </c>
      <c r="I461" t="s">
        <v>610</v>
      </c>
    </row>
    <row r="462" spans="1:9" x14ac:dyDescent="0.2">
      <c r="A462" t="s">
        <v>972</v>
      </c>
      <c r="B462" t="s">
        <v>130</v>
      </c>
      <c r="C462" t="s">
        <v>16</v>
      </c>
      <c r="D462" t="s">
        <v>17</v>
      </c>
      <c r="E462">
        <v>33521.050000000003</v>
      </c>
      <c r="F462">
        <v>3016.89</v>
      </c>
      <c r="G462">
        <v>3016.89</v>
      </c>
      <c r="H462">
        <v>39554.83</v>
      </c>
      <c r="I462" t="s">
        <v>610</v>
      </c>
    </row>
    <row r="463" spans="1:9" x14ac:dyDescent="0.2">
      <c r="A463" t="s">
        <v>973</v>
      </c>
      <c r="B463" t="s">
        <v>273</v>
      </c>
      <c r="C463" t="s">
        <v>11</v>
      </c>
      <c r="D463" t="s">
        <v>12</v>
      </c>
      <c r="E463">
        <v>18775.400000000001</v>
      </c>
      <c r="F463">
        <v>1689.79</v>
      </c>
      <c r="G463">
        <v>1689.79</v>
      </c>
      <c r="H463">
        <v>22154.98</v>
      </c>
      <c r="I463" t="s">
        <v>610</v>
      </c>
    </row>
    <row r="464" spans="1:9" x14ac:dyDescent="0.2">
      <c r="A464" t="s">
        <v>974</v>
      </c>
      <c r="B464" t="s">
        <v>611</v>
      </c>
      <c r="C464" t="s">
        <v>32</v>
      </c>
      <c r="D464" t="s">
        <v>33</v>
      </c>
      <c r="E464">
        <v>25462</v>
      </c>
      <c r="F464">
        <v>2291.58</v>
      </c>
      <c r="G464">
        <v>2291.58</v>
      </c>
      <c r="H464">
        <v>30045.16</v>
      </c>
      <c r="I464" t="s">
        <v>610</v>
      </c>
    </row>
    <row r="465" spans="1:9" x14ac:dyDescent="0.2">
      <c r="A465" t="s">
        <v>975</v>
      </c>
      <c r="B465" t="s">
        <v>420</v>
      </c>
      <c r="C465" t="s">
        <v>32</v>
      </c>
      <c r="D465" t="s">
        <v>33</v>
      </c>
      <c r="E465">
        <v>39714.26</v>
      </c>
      <c r="F465">
        <v>3574.28</v>
      </c>
      <c r="G465">
        <v>3574.28</v>
      </c>
      <c r="H465">
        <v>46862.82</v>
      </c>
      <c r="I465" t="s">
        <v>610</v>
      </c>
    </row>
    <row r="466" spans="1:9" x14ac:dyDescent="0.2">
      <c r="A466" t="s">
        <v>976</v>
      </c>
      <c r="B466" t="s">
        <v>268</v>
      </c>
      <c r="C466" t="s">
        <v>16</v>
      </c>
      <c r="D466" t="s">
        <v>17</v>
      </c>
      <c r="E466">
        <v>45183.35</v>
      </c>
      <c r="F466">
        <v>4066.5</v>
      </c>
      <c r="G466">
        <v>4066.5</v>
      </c>
      <c r="H466">
        <v>53316.35</v>
      </c>
      <c r="I466" t="s">
        <v>610</v>
      </c>
    </row>
    <row r="467" spans="1:9" x14ac:dyDescent="0.2">
      <c r="A467" t="s">
        <v>977</v>
      </c>
      <c r="B467" t="s">
        <v>95</v>
      </c>
      <c r="C467" t="s">
        <v>24</v>
      </c>
      <c r="D467" t="s">
        <v>25</v>
      </c>
      <c r="E467">
        <v>45832.61</v>
      </c>
      <c r="F467">
        <v>4124.93</v>
      </c>
      <c r="G467">
        <v>4124.93</v>
      </c>
      <c r="H467">
        <v>54082.47</v>
      </c>
      <c r="I467" t="s">
        <v>610</v>
      </c>
    </row>
    <row r="468" spans="1:9" x14ac:dyDescent="0.2">
      <c r="A468" t="s">
        <v>978</v>
      </c>
      <c r="B468" t="s">
        <v>49</v>
      </c>
      <c r="C468" t="s">
        <v>32</v>
      </c>
      <c r="D468" t="s">
        <v>33</v>
      </c>
      <c r="E468">
        <v>25410.43</v>
      </c>
      <c r="F468">
        <v>2286.94</v>
      </c>
      <c r="G468">
        <v>2286.94</v>
      </c>
      <c r="H468">
        <v>29984.31</v>
      </c>
      <c r="I468" t="s">
        <v>610</v>
      </c>
    </row>
    <row r="469" spans="1:9" x14ac:dyDescent="0.2">
      <c r="A469" t="s">
        <v>979</v>
      </c>
      <c r="B469" t="s">
        <v>287</v>
      </c>
      <c r="C469" t="s">
        <v>16</v>
      </c>
      <c r="D469" t="s">
        <v>17</v>
      </c>
      <c r="E469">
        <v>24680</v>
      </c>
      <c r="F469">
        <v>2221.1999999999998</v>
      </c>
      <c r="G469">
        <v>2221.1999999999998</v>
      </c>
      <c r="H469">
        <v>29122.400000000001</v>
      </c>
      <c r="I469" t="s">
        <v>610</v>
      </c>
    </row>
    <row r="470" spans="1:9" x14ac:dyDescent="0.2">
      <c r="A470" t="s">
        <v>980</v>
      </c>
      <c r="B470" t="s">
        <v>273</v>
      </c>
      <c r="C470" t="s">
        <v>24</v>
      </c>
      <c r="D470" t="s">
        <v>25</v>
      </c>
      <c r="E470">
        <v>45079.33</v>
      </c>
      <c r="F470">
        <v>4057.14</v>
      </c>
      <c r="G470">
        <v>4057.14</v>
      </c>
      <c r="H470">
        <v>53193.61</v>
      </c>
      <c r="I470" t="s">
        <v>610</v>
      </c>
    </row>
    <row r="471" spans="1:9" x14ac:dyDescent="0.2">
      <c r="A471" t="s">
        <v>981</v>
      </c>
      <c r="B471" t="s">
        <v>63</v>
      </c>
      <c r="C471" t="s">
        <v>20</v>
      </c>
      <c r="D471" t="s">
        <v>21</v>
      </c>
      <c r="E471">
        <v>17413.77</v>
      </c>
      <c r="F471">
        <v>1567.24</v>
      </c>
      <c r="G471">
        <v>1567.24</v>
      </c>
      <c r="H471">
        <v>20548.25</v>
      </c>
      <c r="I471" t="s">
        <v>610</v>
      </c>
    </row>
    <row r="472" spans="1:9" x14ac:dyDescent="0.2">
      <c r="A472" t="s">
        <v>982</v>
      </c>
      <c r="B472" t="s">
        <v>140</v>
      </c>
      <c r="C472" t="s">
        <v>16</v>
      </c>
      <c r="D472" t="s">
        <v>17</v>
      </c>
      <c r="E472">
        <v>45991.4</v>
      </c>
      <c r="F472">
        <v>4139.2299999999996</v>
      </c>
      <c r="G472">
        <v>4139.2299999999996</v>
      </c>
      <c r="H472">
        <v>54269.86</v>
      </c>
      <c r="I472" t="s">
        <v>610</v>
      </c>
    </row>
    <row r="473" spans="1:9" x14ac:dyDescent="0.2">
      <c r="A473" t="s">
        <v>983</v>
      </c>
      <c r="B473" t="s">
        <v>10</v>
      </c>
      <c r="C473" t="s">
        <v>24</v>
      </c>
      <c r="D473" t="s">
        <v>25</v>
      </c>
      <c r="E473">
        <v>7812.27</v>
      </c>
      <c r="F473">
        <v>703.1</v>
      </c>
      <c r="G473">
        <v>703.1</v>
      </c>
      <c r="H473">
        <v>9218.4699999999993</v>
      </c>
      <c r="I473" t="s">
        <v>610</v>
      </c>
    </row>
    <row r="474" spans="1:9" x14ac:dyDescent="0.2">
      <c r="A474" t="s">
        <v>984</v>
      </c>
      <c r="B474" t="s">
        <v>146</v>
      </c>
      <c r="C474" t="s">
        <v>20</v>
      </c>
      <c r="D474" t="s">
        <v>21</v>
      </c>
      <c r="E474">
        <v>25385.95</v>
      </c>
      <c r="F474">
        <v>2284.7399999999998</v>
      </c>
      <c r="G474">
        <v>2284.7399999999998</v>
      </c>
      <c r="H474">
        <v>29955.43</v>
      </c>
      <c r="I474" t="s">
        <v>610</v>
      </c>
    </row>
    <row r="475" spans="1:9" x14ac:dyDescent="0.2">
      <c r="A475" t="s">
        <v>985</v>
      </c>
      <c r="B475" t="s">
        <v>107</v>
      </c>
      <c r="C475" t="s">
        <v>32</v>
      </c>
      <c r="D475" t="s">
        <v>33</v>
      </c>
      <c r="E475">
        <v>33830.25</v>
      </c>
      <c r="F475">
        <v>3044.72</v>
      </c>
      <c r="G475">
        <v>3044.72</v>
      </c>
      <c r="H475">
        <v>39919.69</v>
      </c>
      <c r="I475" t="s">
        <v>610</v>
      </c>
    </row>
    <row r="476" spans="1:9" x14ac:dyDescent="0.2">
      <c r="A476" t="s">
        <v>986</v>
      </c>
      <c r="B476" t="s">
        <v>313</v>
      </c>
      <c r="C476" t="s">
        <v>20</v>
      </c>
      <c r="D476" t="s">
        <v>21</v>
      </c>
      <c r="E476">
        <v>39723.129999999997</v>
      </c>
      <c r="F476">
        <v>3575.08</v>
      </c>
      <c r="G476">
        <v>3575.08</v>
      </c>
      <c r="H476">
        <v>46873.29</v>
      </c>
      <c r="I476" t="s">
        <v>610</v>
      </c>
    </row>
    <row r="477" spans="1:9" x14ac:dyDescent="0.2">
      <c r="A477" t="s">
        <v>987</v>
      </c>
      <c r="B477" t="s">
        <v>49</v>
      </c>
      <c r="C477" t="s">
        <v>16</v>
      </c>
      <c r="D477" t="s">
        <v>17</v>
      </c>
      <c r="E477">
        <v>3994.09</v>
      </c>
      <c r="F477">
        <v>359.47</v>
      </c>
      <c r="G477">
        <v>359.47</v>
      </c>
      <c r="H477">
        <v>4713.03</v>
      </c>
      <c r="I477" t="s">
        <v>610</v>
      </c>
    </row>
    <row r="478" spans="1:9" x14ac:dyDescent="0.2">
      <c r="A478" t="s">
        <v>988</v>
      </c>
      <c r="B478" t="s">
        <v>91</v>
      </c>
      <c r="C478" t="s">
        <v>24</v>
      </c>
      <c r="D478" t="s">
        <v>25</v>
      </c>
      <c r="E478">
        <v>15935.57</v>
      </c>
      <c r="F478">
        <v>1434.2</v>
      </c>
      <c r="G478">
        <v>1434.2</v>
      </c>
      <c r="H478">
        <v>18803.97</v>
      </c>
      <c r="I478" t="s">
        <v>610</v>
      </c>
    </row>
    <row r="479" spans="1:9" x14ac:dyDescent="0.2">
      <c r="A479" t="s">
        <v>989</v>
      </c>
      <c r="B479" t="s">
        <v>159</v>
      </c>
      <c r="C479" t="s">
        <v>32</v>
      </c>
      <c r="D479" t="s">
        <v>33</v>
      </c>
      <c r="E479">
        <v>27946.51</v>
      </c>
      <c r="F479">
        <v>2515.19</v>
      </c>
      <c r="G479">
        <v>2515.19</v>
      </c>
      <c r="H479">
        <v>32976.89</v>
      </c>
      <c r="I479" t="s">
        <v>610</v>
      </c>
    </row>
    <row r="480" spans="1:9" x14ac:dyDescent="0.2">
      <c r="A480" t="s">
        <v>990</v>
      </c>
      <c r="B480" t="s">
        <v>268</v>
      </c>
      <c r="C480" t="s">
        <v>24</v>
      </c>
      <c r="D480" t="s">
        <v>25</v>
      </c>
      <c r="E480">
        <v>1641.62</v>
      </c>
      <c r="F480">
        <v>147.75</v>
      </c>
      <c r="G480">
        <v>147.75</v>
      </c>
      <c r="H480">
        <v>1937.12</v>
      </c>
      <c r="I480" t="s">
        <v>610</v>
      </c>
    </row>
    <row r="481" spans="1:9" x14ac:dyDescent="0.2">
      <c r="A481" t="s">
        <v>991</v>
      </c>
      <c r="B481" t="s">
        <v>118</v>
      </c>
      <c r="C481" t="s">
        <v>32</v>
      </c>
      <c r="D481" t="s">
        <v>33</v>
      </c>
      <c r="E481">
        <v>47870.49</v>
      </c>
      <c r="F481">
        <v>4308.34</v>
      </c>
      <c r="G481">
        <v>4308.34</v>
      </c>
      <c r="H481">
        <v>56487.17</v>
      </c>
      <c r="I481" t="s">
        <v>610</v>
      </c>
    </row>
    <row r="482" spans="1:9" x14ac:dyDescent="0.2">
      <c r="A482" t="s">
        <v>992</v>
      </c>
      <c r="B482" t="s">
        <v>146</v>
      </c>
      <c r="C482" t="s">
        <v>32</v>
      </c>
      <c r="D482" t="s">
        <v>33</v>
      </c>
      <c r="E482">
        <v>18285.04</v>
      </c>
      <c r="F482">
        <v>1645.65</v>
      </c>
      <c r="G482">
        <v>1645.65</v>
      </c>
      <c r="H482">
        <v>21576.34</v>
      </c>
      <c r="I482" t="s">
        <v>610</v>
      </c>
    </row>
    <row r="483" spans="1:9" x14ac:dyDescent="0.2">
      <c r="A483" t="s">
        <v>993</v>
      </c>
      <c r="B483" t="s">
        <v>130</v>
      </c>
      <c r="C483" t="s">
        <v>32</v>
      </c>
      <c r="D483" t="s">
        <v>33</v>
      </c>
      <c r="E483">
        <v>1488.12</v>
      </c>
      <c r="F483">
        <v>133.93</v>
      </c>
      <c r="G483">
        <v>133.93</v>
      </c>
      <c r="H483">
        <v>1755.98</v>
      </c>
      <c r="I483" t="s">
        <v>610</v>
      </c>
    </row>
    <row r="484" spans="1:9" x14ac:dyDescent="0.2">
      <c r="A484" t="s">
        <v>994</v>
      </c>
      <c r="B484" t="s">
        <v>47</v>
      </c>
      <c r="C484" t="s">
        <v>20</v>
      </c>
      <c r="D484" t="s">
        <v>21</v>
      </c>
      <c r="E484">
        <v>37421.440000000002</v>
      </c>
      <c r="F484">
        <v>3367.93</v>
      </c>
      <c r="G484">
        <v>3367.93</v>
      </c>
      <c r="H484">
        <v>44157.3</v>
      </c>
      <c r="I484" t="s">
        <v>610</v>
      </c>
    </row>
    <row r="485" spans="1:9" x14ac:dyDescent="0.2">
      <c r="A485" t="s">
        <v>995</v>
      </c>
      <c r="B485" t="s">
        <v>132</v>
      </c>
      <c r="C485" t="s">
        <v>24</v>
      </c>
      <c r="D485" t="s">
        <v>25</v>
      </c>
      <c r="E485">
        <v>37535.269999999997</v>
      </c>
      <c r="F485">
        <v>3378.17</v>
      </c>
      <c r="G485">
        <v>3378.17</v>
      </c>
      <c r="H485">
        <v>44291.61</v>
      </c>
      <c r="I485" t="s">
        <v>610</v>
      </c>
    </row>
    <row r="486" spans="1:9" x14ac:dyDescent="0.2">
      <c r="A486" t="s">
        <v>996</v>
      </c>
      <c r="B486" t="s">
        <v>132</v>
      </c>
      <c r="C486" t="s">
        <v>20</v>
      </c>
      <c r="D486" t="s">
        <v>21</v>
      </c>
      <c r="E486">
        <v>46116.38</v>
      </c>
      <c r="F486">
        <v>4150.47</v>
      </c>
      <c r="G486">
        <v>4150.47</v>
      </c>
      <c r="H486">
        <v>54417.32</v>
      </c>
      <c r="I486" t="s">
        <v>610</v>
      </c>
    </row>
    <row r="487" spans="1:9" x14ac:dyDescent="0.2">
      <c r="A487" t="s">
        <v>997</v>
      </c>
      <c r="B487" t="s">
        <v>205</v>
      </c>
      <c r="C487" t="s">
        <v>11</v>
      </c>
      <c r="D487" t="s">
        <v>12</v>
      </c>
      <c r="E487">
        <v>36993.06</v>
      </c>
      <c r="F487">
        <v>3329.38</v>
      </c>
      <c r="G487">
        <v>3329.38</v>
      </c>
      <c r="H487">
        <v>43651.82</v>
      </c>
      <c r="I487" t="s">
        <v>610</v>
      </c>
    </row>
    <row r="488" spans="1:9" x14ac:dyDescent="0.2">
      <c r="A488" t="s">
        <v>998</v>
      </c>
      <c r="B488" t="s">
        <v>51</v>
      </c>
      <c r="C488" t="s">
        <v>20</v>
      </c>
      <c r="D488" t="s">
        <v>21</v>
      </c>
      <c r="E488">
        <v>40652.1</v>
      </c>
      <c r="F488">
        <v>3658.69</v>
      </c>
      <c r="G488">
        <v>3658.69</v>
      </c>
      <c r="H488">
        <v>47969.48</v>
      </c>
      <c r="I488" t="s">
        <v>610</v>
      </c>
    </row>
    <row r="489" spans="1:9" x14ac:dyDescent="0.2">
      <c r="A489" t="s">
        <v>999</v>
      </c>
      <c r="B489" t="s">
        <v>47</v>
      </c>
      <c r="C489" t="s">
        <v>20</v>
      </c>
      <c r="D489" t="s">
        <v>21</v>
      </c>
      <c r="E489">
        <v>8503.0499999999993</v>
      </c>
      <c r="F489">
        <v>765.27</v>
      </c>
      <c r="G489">
        <v>765.27</v>
      </c>
      <c r="H489">
        <v>10033.59</v>
      </c>
      <c r="I489" t="s">
        <v>610</v>
      </c>
    </row>
    <row r="490" spans="1:9" x14ac:dyDescent="0.2">
      <c r="A490" t="s">
        <v>1000</v>
      </c>
      <c r="B490" t="s">
        <v>63</v>
      </c>
      <c r="C490" t="s">
        <v>32</v>
      </c>
      <c r="D490" t="s">
        <v>33</v>
      </c>
      <c r="E490">
        <v>13442.25</v>
      </c>
      <c r="F490">
        <v>1209.8</v>
      </c>
      <c r="G490">
        <v>1209.8</v>
      </c>
      <c r="H490">
        <v>15861.85</v>
      </c>
      <c r="I490" t="s">
        <v>610</v>
      </c>
    </row>
    <row r="491" spans="1:9" x14ac:dyDescent="0.2">
      <c r="A491" t="s">
        <v>1001</v>
      </c>
      <c r="B491" t="s">
        <v>19</v>
      </c>
      <c r="C491" t="s">
        <v>16</v>
      </c>
      <c r="D491" t="s">
        <v>17</v>
      </c>
      <c r="E491">
        <v>42174.79</v>
      </c>
      <c r="F491">
        <v>3795.73</v>
      </c>
      <c r="G491">
        <v>3795.73</v>
      </c>
      <c r="H491">
        <v>49766.25</v>
      </c>
      <c r="I491" t="s">
        <v>610</v>
      </c>
    </row>
    <row r="492" spans="1:9" x14ac:dyDescent="0.2">
      <c r="A492" t="s">
        <v>1002</v>
      </c>
      <c r="B492" t="s">
        <v>107</v>
      </c>
      <c r="C492" t="s">
        <v>16</v>
      </c>
      <c r="D492" t="s">
        <v>17</v>
      </c>
      <c r="E492">
        <v>35242.559999999998</v>
      </c>
      <c r="F492">
        <v>3171.83</v>
      </c>
      <c r="G492">
        <v>3171.83</v>
      </c>
      <c r="H492">
        <v>41586.22</v>
      </c>
      <c r="I492" t="s">
        <v>610</v>
      </c>
    </row>
    <row r="493" spans="1:9" x14ac:dyDescent="0.2">
      <c r="A493" t="s">
        <v>1003</v>
      </c>
      <c r="B493" t="s">
        <v>258</v>
      </c>
      <c r="C493" t="s">
        <v>24</v>
      </c>
      <c r="D493" t="s">
        <v>25</v>
      </c>
      <c r="E493">
        <v>41666.57</v>
      </c>
      <c r="F493">
        <v>3749.99</v>
      </c>
      <c r="G493">
        <v>3749.99</v>
      </c>
      <c r="H493">
        <v>49166.55</v>
      </c>
      <c r="I493" t="s">
        <v>610</v>
      </c>
    </row>
    <row r="494" spans="1:9" x14ac:dyDescent="0.2">
      <c r="A494" t="s">
        <v>1004</v>
      </c>
      <c r="B494" t="s">
        <v>161</v>
      </c>
      <c r="C494" t="s">
        <v>24</v>
      </c>
      <c r="D494" t="s">
        <v>25</v>
      </c>
      <c r="E494">
        <v>5766.54</v>
      </c>
      <c r="F494">
        <v>518.99</v>
      </c>
      <c r="G494">
        <v>518.99</v>
      </c>
      <c r="H494">
        <v>6804.52</v>
      </c>
      <c r="I494" t="s">
        <v>610</v>
      </c>
    </row>
    <row r="495" spans="1:9" x14ac:dyDescent="0.2">
      <c r="A495" t="s">
        <v>1005</v>
      </c>
      <c r="B495" t="s">
        <v>87</v>
      </c>
      <c r="C495" t="s">
        <v>32</v>
      </c>
      <c r="D495" t="s">
        <v>33</v>
      </c>
      <c r="E495">
        <v>1305.82</v>
      </c>
      <c r="F495">
        <v>117.52</v>
      </c>
      <c r="G495">
        <v>117.52</v>
      </c>
      <c r="H495">
        <v>1540.86</v>
      </c>
      <c r="I495" t="s">
        <v>610</v>
      </c>
    </row>
    <row r="496" spans="1:9" x14ac:dyDescent="0.2">
      <c r="A496" t="s">
        <v>1006</v>
      </c>
      <c r="B496" t="s">
        <v>97</v>
      </c>
      <c r="C496" t="s">
        <v>24</v>
      </c>
      <c r="D496" t="s">
        <v>25</v>
      </c>
      <c r="E496">
        <v>6166.03</v>
      </c>
      <c r="F496">
        <v>554.94000000000005</v>
      </c>
      <c r="G496">
        <v>554.94000000000005</v>
      </c>
      <c r="H496">
        <v>7275.91</v>
      </c>
      <c r="I496" t="s">
        <v>610</v>
      </c>
    </row>
    <row r="497" spans="1:9" x14ac:dyDescent="0.2">
      <c r="A497" t="s">
        <v>1007</v>
      </c>
      <c r="B497" t="s">
        <v>54</v>
      </c>
      <c r="C497" t="s">
        <v>32</v>
      </c>
      <c r="D497" t="s">
        <v>33</v>
      </c>
      <c r="E497">
        <v>19816.39</v>
      </c>
      <c r="F497">
        <v>1783.48</v>
      </c>
      <c r="G497">
        <v>1783.48</v>
      </c>
      <c r="H497">
        <v>23383.35</v>
      </c>
      <c r="I497" t="s">
        <v>610</v>
      </c>
    </row>
    <row r="498" spans="1:9" x14ac:dyDescent="0.2">
      <c r="A498" t="s">
        <v>1008</v>
      </c>
      <c r="B498" t="s">
        <v>73</v>
      </c>
      <c r="C498" t="s">
        <v>16</v>
      </c>
      <c r="D498" t="s">
        <v>17</v>
      </c>
      <c r="E498">
        <v>40060.83</v>
      </c>
      <c r="F498">
        <v>3605.47</v>
      </c>
      <c r="G498">
        <v>3605.47</v>
      </c>
      <c r="H498">
        <v>47271.77</v>
      </c>
      <c r="I498" t="s">
        <v>610</v>
      </c>
    </row>
    <row r="499" spans="1:9" x14ac:dyDescent="0.2">
      <c r="A499" t="s">
        <v>1009</v>
      </c>
      <c r="B499" t="s">
        <v>311</v>
      </c>
      <c r="C499" t="s">
        <v>11</v>
      </c>
      <c r="D499" t="s">
        <v>12</v>
      </c>
      <c r="E499">
        <v>48124.57</v>
      </c>
      <c r="F499">
        <v>4331.21</v>
      </c>
      <c r="G499">
        <v>4331.21</v>
      </c>
      <c r="H499">
        <v>56786.99</v>
      </c>
      <c r="I499" t="s">
        <v>610</v>
      </c>
    </row>
    <row r="500" spans="1:9" x14ac:dyDescent="0.2">
      <c r="A500" t="s">
        <v>1010</v>
      </c>
      <c r="B500" t="s">
        <v>116</v>
      </c>
      <c r="C500" t="s">
        <v>20</v>
      </c>
      <c r="D500" t="s">
        <v>21</v>
      </c>
      <c r="E500">
        <v>25185.75</v>
      </c>
      <c r="F500">
        <v>2266.7199999999998</v>
      </c>
      <c r="G500">
        <v>2266.7199999999998</v>
      </c>
      <c r="H500">
        <v>29719.19</v>
      </c>
      <c r="I500" t="s">
        <v>610</v>
      </c>
    </row>
    <row r="501" spans="1:9" x14ac:dyDescent="0.2">
      <c r="A501" t="s">
        <v>1011</v>
      </c>
      <c r="B501" t="s">
        <v>63</v>
      </c>
      <c r="C501" t="s">
        <v>16</v>
      </c>
      <c r="D501" t="s">
        <v>17</v>
      </c>
      <c r="E501">
        <v>48355</v>
      </c>
      <c r="F501">
        <v>4351.95</v>
      </c>
      <c r="G501">
        <v>4351.95</v>
      </c>
      <c r="H501">
        <v>57058.9</v>
      </c>
      <c r="I501" t="s">
        <v>610</v>
      </c>
    </row>
  </sheetData>
  <autoFilter ref="A1:I5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7CBF-3315-584A-A8BD-08083041FE3C}">
  <sheetPr>
    <tabColor rgb="FF92D050"/>
  </sheetPr>
  <dimension ref="A1:M1001"/>
  <sheetViews>
    <sheetView tabSelected="1" zoomScaleNormal="60" zoomScaleSheetLayoutView="100" workbookViewId="0">
      <selection activeCell="C20" sqref="C20"/>
    </sheetView>
  </sheetViews>
  <sheetFormatPr defaultRowHeight="15" x14ac:dyDescent="0.2"/>
  <cols>
    <col min="1" max="1" width="12.64453125" bestFit="1" customWidth="1"/>
    <col min="2" max="2" width="14.390625" style="3" bestFit="1" customWidth="1"/>
    <col min="3" max="3" width="20.17578125" customWidth="1"/>
    <col min="4" max="4" width="20.17578125" style="5" customWidth="1"/>
    <col min="5" max="5" width="15.46875" style="7" bestFit="1" customWidth="1"/>
    <col min="6" max="6" width="14.9296875" style="7" customWidth="1"/>
    <col min="7" max="7" width="12.64453125" style="7" customWidth="1"/>
    <col min="8" max="8" width="20.3125" style="7" bestFit="1" customWidth="1"/>
    <col min="9" max="9" width="9.14453125" style="5" bestFit="1" customWidth="1"/>
    <col min="10" max="10" width="18.5625" style="5" bestFit="1" customWidth="1"/>
    <col min="11" max="11" width="26.36328125" style="5" bestFit="1" customWidth="1"/>
    <col min="12" max="12" width="21.25390625" style="5" customWidth="1"/>
    <col min="13" max="13" width="19.50390625" style="7" customWidth="1"/>
  </cols>
  <sheetData>
    <row r="1" spans="1:13" x14ac:dyDescent="0.2">
      <c r="A1" s="8" t="s">
        <v>0</v>
      </c>
      <c r="B1" s="9" t="s">
        <v>1</v>
      </c>
      <c r="C1" s="8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1022</v>
      </c>
      <c r="J1" s="22" t="s">
        <v>1019</v>
      </c>
      <c r="K1" s="10" t="s">
        <v>1023</v>
      </c>
      <c r="L1" s="10" t="s">
        <v>1012</v>
      </c>
      <c r="M1" s="11" t="s">
        <v>1024</v>
      </c>
    </row>
    <row r="2" spans="1:13" x14ac:dyDescent="0.2">
      <c r="A2" s="1" t="str" cm="1">
        <f t="array" ref="A2:I1001">_xlfn.VSTACK(Tally_Data!A2:I501,GST_Portal_Data!A2:I501)</f>
        <v>INV1000</v>
      </c>
      <c r="B2" s="2" t="str">
        <v>24-05-2024</v>
      </c>
      <c r="C2" s="1" t="str">
        <v>24LMNOP4321K1Z7</v>
      </c>
      <c r="D2" s="4" t="str">
        <v>Patel Industries</v>
      </c>
      <c r="E2" s="6">
        <v>25694.94</v>
      </c>
      <c r="F2" s="6">
        <v>2312.54</v>
      </c>
      <c r="G2" s="6">
        <v>2312.54</v>
      </c>
      <c r="H2" s="6">
        <v>30320.02</v>
      </c>
      <c r="I2" s="19" t="str">
        <v>Tally</v>
      </c>
      <c r="J2" s="1" t="str">
        <f>IF(COUNTIFS(A:A,A2,D:D,D2,I:I,I2)&gt;1,"Duplicate","Unique")</f>
        <v>Unique</v>
      </c>
      <c r="K2" s="21" t="str">
        <f>IF(COUNTIFS(A:A,A2,C:C,C2)=2,IF(SUMIFS(E:E,A:A,A2,C:C,C2)&lt;&gt;E2*2,"Mismatch","Matched"),"")</f>
        <v/>
      </c>
      <c r="L2" s="4" t="str">
        <f>IF(COUNTIFS(A:A,A2,C:C,C2)=2,IF(K2="Mismatch","Value Mismatch","Matched"),IF(I2= "Tally","Missing in GST","Missing in Tally"))</f>
        <v>Missing in GST</v>
      </c>
      <c r="M2" s="6" t="str">
        <f>IF(COUNTIFS(A:A,A2,C:C,C2)=2,SUMIFS(E:E,A:A,A2,C:C,C2)-E2*2,"")</f>
        <v/>
      </c>
    </row>
    <row r="3" spans="1:13" x14ac:dyDescent="0.2">
      <c r="A3" s="1" t="str">
        <v>INV1001</v>
      </c>
      <c r="B3" s="2" t="str">
        <v>04-06-2024</v>
      </c>
      <c r="C3" s="1" t="str">
        <v>19ASDFG2468H1Z9</v>
      </c>
      <c r="D3" s="4" t="str">
        <v>Eastern Distributors</v>
      </c>
      <c r="E3" s="6">
        <v>39747.74</v>
      </c>
      <c r="F3" s="6">
        <v>3577.3</v>
      </c>
      <c r="G3" s="6">
        <v>3577.3</v>
      </c>
      <c r="H3" s="6">
        <v>46902.34</v>
      </c>
      <c r="I3" s="19" t="str">
        <v>Tally</v>
      </c>
      <c r="J3" s="1" t="str">
        <f t="shared" ref="J3:J66" si="0">IF(COUNTIFS(A:A,A3,D:D,D3,I:I,I3)&gt;1,"Duplicate","Unique")</f>
        <v>Unique</v>
      </c>
      <c r="K3" s="21" t="str">
        <f t="shared" ref="K3:K66" si="1">IF(COUNTIFS(A:A,A3,C:C,C3)=2,IF(SUMIFS(E:E,A:A,A3,C:C,C3)&lt;&gt;E3*2,"Mismatch","Matched"),"")</f>
        <v/>
      </c>
      <c r="L3" s="4" t="str">
        <f>IF(COUNTIFS(A:A,A3,C:C,C3)=2,IF(K3="Mismatch","Value Mismatch","Matched"),IF(I3= "Tally","Missing in GST","Missing in Tally"))</f>
        <v>Missing in GST</v>
      </c>
      <c r="M3" s="6" t="str">
        <f t="shared" ref="M3:M66" si="2">IF(COUNTIFS(A:A,A3,C:C,C3)=2,SUMIFS(E:E,A:A,A3,C:C,C3)-E3*2,"")</f>
        <v/>
      </c>
    </row>
    <row r="4" spans="1:13" x14ac:dyDescent="0.2">
      <c r="A4" s="1" t="str">
        <v>INV1002</v>
      </c>
      <c r="B4" s="2" t="str">
        <v>02-06-2024</v>
      </c>
      <c r="C4" s="1" t="str">
        <v>07ZXCVB9876M1Z3</v>
      </c>
      <c r="D4" s="4" t="str">
        <v>Gupta Supplies</v>
      </c>
      <c r="E4" s="6">
        <v>3722.42</v>
      </c>
      <c r="F4" s="6">
        <v>335.02</v>
      </c>
      <c r="G4" s="6">
        <v>335.02</v>
      </c>
      <c r="H4" s="6">
        <v>4392.46</v>
      </c>
      <c r="I4" s="19" t="str">
        <v>Tally</v>
      </c>
      <c r="J4" s="1" t="str">
        <f t="shared" si="0"/>
        <v>Unique</v>
      </c>
      <c r="K4" s="21" t="str">
        <f t="shared" si="1"/>
        <v/>
      </c>
      <c r="L4" s="4" t="str">
        <f>IF(COUNTIFS(A:A,A4,C:C,C4)=2,IF(K4="Mismatch","Value Mismatch","Matched"),IF(I4= "Tally","Missing in GST","Missing in Tally"))</f>
        <v>Missing in GST</v>
      </c>
      <c r="M4" s="6" t="str">
        <f t="shared" si="2"/>
        <v/>
      </c>
    </row>
    <row r="5" spans="1:13" x14ac:dyDescent="0.2">
      <c r="A5" s="1" t="str">
        <v>INV1003</v>
      </c>
      <c r="B5" s="2" t="str">
        <v>22-06-2024</v>
      </c>
      <c r="C5" s="1" t="str">
        <v>27ABCDE1234F1Z5</v>
      </c>
      <c r="D5" s="4" t="str">
        <v>Sharma Traders</v>
      </c>
      <c r="E5" s="6">
        <v>44040.36</v>
      </c>
      <c r="F5" s="6">
        <v>3963.63</v>
      </c>
      <c r="G5" s="6">
        <v>3963.63</v>
      </c>
      <c r="H5" s="6">
        <v>51967.62</v>
      </c>
      <c r="I5" s="19" t="str">
        <v>Tally</v>
      </c>
      <c r="J5" s="1" t="str">
        <f t="shared" si="0"/>
        <v>Unique</v>
      </c>
      <c r="K5" s="21" t="str">
        <f t="shared" si="1"/>
        <v/>
      </c>
      <c r="L5" s="4" t="str">
        <f>IF(COUNTIFS(A:A,A5,C:C,C5)=2,IF(K5="Mismatch","Value Mismatch","Matched"),IF(I5= "Tally","Missing in GST","Missing in Tally"))</f>
        <v>Missing in GST</v>
      </c>
      <c r="M5" s="6" t="str">
        <f t="shared" si="2"/>
        <v/>
      </c>
    </row>
    <row r="6" spans="1:13" x14ac:dyDescent="0.2">
      <c r="A6" s="1" t="str">
        <v>INV1004</v>
      </c>
      <c r="B6" s="2" t="str">
        <v>17-06-2024</v>
      </c>
      <c r="C6" s="1" t="str">
        <v>19ASDFG2468H1Z9</v>
      </c>
      <c r="D6" s="4" t="str">
        <v>Eastern Distributors</v>
      </c>
      <c r="E6" s="6">
        <v>41564.97</v>
      </c>
      <c r="F6" s="6">
        <v>3740.85</v>
      </c>
      <c r="G6" s="6">
        <v>3740.85</v>
      </c>
      <c r="H6" s="6">
        <v>49046.67</v>
      </c>
      <c r="I6" s="19" t="str">
        <v>Tally</v>
      </c>
      <c r="J6" s="1" t="str">
        <f t="shared" si="0"/>
        <v>Unique</v>
      </c>
      <c r="K6" s="21" t="str">
        <f t="shared" si="1"/>
        <v/>
      </c>
      <c r="L6" s="4" t="str">
        <f>IF(COUNTIFS(A:A,A6,C:C,C6)=2,IF(K6="Mismatch","Value Mismatch","Matched"),IF(I6= "Tally","Missing in GST","Missing in Tally"))</f>
        <v>Missing in GST</v>
      </c>
      <c r="M6" s="6" t="str">
        <f t="shared" si="2"/>
        <v/>
      </c>
    </row>
    <row r="7" spans="1:13" x14ac:dyDescent="0.2">
      <c r="A7" s="1" t="str">
        <v>INV1005</v>
      </c>
      <c r="B7" s="2" t="str">
        <v>18-05-2024</v>
      </c>
      <c r="C7" s="1" t="str">
        <v>19ASDFG2468H1Z9</v>
      </c>
      <c r="D7" s="4" t="str">
        <v>Eastern Distributors</v>
      </c>
      <c r="E7" s="6">
        <v>24499.7</v>
      </c>
      <c r="F7" s="6">
        <v>2204.9699999999998</v>
      </c>
      <c r="G7" s="6">
        <v>2204.9699999999998</v>
      </c>
      <c r="H7" s="6">
        <v>28909.64</v>
      </c>
      <c r="I7" s="19" t="str">
        <v>Tally</v>
      </c>
      <c r="J7" s="1" t="str">
        <f t="shared" si="0"/>
        <v>Unique</v>
      </c>
      <c r="K7" s="21" t="str">
        <f t="shared" si="1"/>
        <v/>
      </c>
      <c r="L7" s="4" t="str">
        <f>IF(COUNTIFS(A:A,A7,C:C,C7)=2,IF(K7="Mismatch","Value Mismatch","Matched"),IF(I7= "Tally","Missing in GST","Missing in Tally"))</f>
        <v>Missing in GST</v>
      </c>
      <c r="M7" s="6" t="str">
        <f t="shared" si="2"/>
        <v/>
      </c>
    </row>
    <row r="8" spans="1:13" x14ac:dyDescent="0.2">
      <c r="A8" s="1" t="str">
        <v>INV1006</v>
      </c>
      <c r="B8" s="2" t="str">
        <v>09-06-2024</v>
      </c>
      <c r="C8" s="1" t="str">
        <v>29PQRSX5678L1Z2</v>
      </c>
      <c r="D8" s="4" t="str">
        <v>Kiran Enterprises</v>
      </c>
      <c r="E8" s="6">
        <v>16158.02</v>
      </c>
      <c r="F8" s="6">
        <v>1454.22</v>
      </c>
      <c r="G8" s="6">
        <v>1454.22</v>
      </c>
      <c r="H8" s="6">
        <v>19066.46</v>
      </c>
      <c r="I8" s="19" t="str">
        <v>Tally</v>
      </c>
      <c r="J8" s="1" t="str">
        <f t="shared" si="0"/>
        <v>Unique</v>
      </c>
      <c r="K8" s="21" t="str">
        <f t="shared" si="1"/>
        <v/>
      </c>
      <c r="L8" s="4" t="str">
        <f>IF(COUNTIFS(A:A,A8,C:C,C8)=2,IF(K8="Mismatch","Value Mismatch","Matched"),IF(I8= "Tally","Missing in GST","Missing in Tally"))</f>
        <v>Missing in GST</v>
      </c>
      <c r="M8" s="6" t="str">
        <f t="shared" si="2"/>
        <v/>
      </c>
    </row>
    <row r="9" spans="1:13" x14ac:dyDescent="0.2">
      <c r="A9" s="1" t="str">
        <v>INV1007</v>
      </c>
      <c r="B9" s="2" t="str">
        <v>02-06-2024</v>
      </c>
      <c r="C9" s="1" t="str">
        <v>19ASDFG2468H1Z9</v>
      </c>
      <c r="D9" s="4" t="str">
        <v>Eastern Distributors</v>
      </c>
      <c r="E9" s="6">
        <v>29107.09</v>
      </c>
      <c r="F9" s="6">
        <v>2619.64</v>
      </c>
      <c r="G9" s="6">
        <v>2619.64</v>
      </c>
      <c r="H9" s="6">
        <v>34346.370000000003</v>
      </c>
      <c r="I9" s="19" t="str">
        <v>Tally</v>
      </c>
      <c r="J9" s="1" t="str">
        <f t="shared" si="0"/>
        <v>Unique</v>
      </c>
      <c r="K9" s="21" t="str">
        <f t="shared" si="1"/>
        <v>Matched</v>
      </c>
      <c r="L9" s="4" t="str">
        <f>IF(COUNTIFS(A:A,A9,C:C,C9)=2,IF(K9="Mismatch","Value Mismatch","Matched"),IF(I9= "Tally","Missing in GST","Missing in Tally"))</f>
        <v>Matched</v>
      </c>
      <c r="M9" s="6">
        <f t="shared" si="2"/>
        <v>0</v>
      </c>
    </row>
    <row r="10" spans="1:13" x14ac:dyDescent="0.2">
      <c r="A10" s="1" t="str">
        <v>INV1008</v>
      </c>
      <c r="B10" s="2" t="str">
        <v>11-04-2024</v>
      </c>
      <c r="C10" s="1" t="str">
        <v>29PQRSX5678L1Z2</v>
      </c>
      <c r="D10" s="4" t="str">
        <v>Kiran Enterprises</v>
      </c>
      <c r="E10" s="6">
        <v>19595.52</v>
      </c>
      <c r="F10" s="6">
        <v>1763.6</v>
      </c>
      <c r="G10" s="6">
        <v>1763.6</v>
      </c>
      <c r="H10" s="6">
        <v>23122.720000000001</v>
      </c>
      <c r="I10" s="19" t="str">
        <v>Tally</v>
      </c>
      <c r="J10" s="1" t="str">
        <f t="shared" si="0"/>
        <v>Unique</v>
      </c>
      <c r="K10" s="21" t="str">
        <f t="shared" si="1"/>
        <v/>
      </c>
      <c r="L10" s="4" t="str">
        <f>IF(COUNTIFS(A:A,A10,C:C,C10)=2,IF(K10="Mismatch","Value Mismatch","Matched"),IF(I10= "Tally","Missing in GST","Missing in Tally"))</f>
        <v>Missing in GST</v>
      </c>
      <c r="M10" s="6" t="str">
        <f t="shared" si="2"/>
        <v/>
      </c>
    </row>
    <row r="11" spans="1:13" x14ac:dyDescent="0.2">
      <c r="A11" s="1" t="str">
        <v>INV1009</v>
      </c>
      <c r="B11" s="2" t="str">
        <v>06-04-2024</v>
      </c>
      <c r="C11" s="1" t="str">
        <v>29PQRSX5678L1Z2</v>
      </c>
      <c r="D11" s="4" t="str">
        <v>Kiran Enterprises</v>
      </c>
      <c r="E11" s="6">
        <v>28660.799999999999</v>
      </c>
      <c r="F11" s="6">
        <v>2579.4699999999998</v>
      </c>
      <c r="G11" s="6">
        <v>2579.4699999999998</v>
      </c>
      <c r="H11" s="6">
        <v>33819.74</v>
      </c>
      <c r="I11" s="19" t="str">
        <v>Tally</v>
      </c>
      <c r="J11" s="1" t="str">
        <f t="shared" si="0"/>
        <v>Unique</v>
      </c>
      <c r="K11" s="21" t="str">
        <f t="shared" si="1"/>
        <v/>
      </c>
      <c r="L11" s="4" t="str">
        <f>IF(COUNTIFS(A:A,A11,C:C,C11)=2,IF(K11="Mismatch","Value Mismatch","Matched"),IF(I11= "Tally","Missing in GST","Missing in Tally"))</f>
        <v>Missing in GST</v>
      </c>
      <c r="M11" s="6" t="str">
        <f t="shared" si="2"/>
        <v/>
      </c>
    </row>
    <row r="12" spans="1:13" x14ac:dyDescent="0.2">
      <c r="A12" s="1" t="str">
        <v>INV1010</v>
      </c>
      <c r="B12" s="2" t="str">
        <v>07-05-2024</v>
      </c>
      <c r="C12" s="1" t="str">
        <v>24LMNOP4321K1Z7</v>
      </c>
      <c r="D12" s="4" t="str">
        <v>Patel Industries</v>
      </c>
      <c r="E12" s="6">
        <v>31233.919999999998</v>
      </c>
      <c r="F12" s="6">
        <v>2811.05</v>
      </c>
      <c r="G12" s="6">
        <v>2811.05</v>
      </c>
      <c r="H12" s="6">
        <v>36856.019999999997</v>
      </c>
      <c r="I12" s="19" t="str">
        <v>Tally</v>
      </c>
      <c r="J12" s="1" t="str">
        <f t="shared" si="0"/>
        <v>Unique</v>
      </c>
      <c r="K12" s="21" t="str">
        <f t="shared" si="1"/>
        <v/>
      </c>
      <c r="L12" s="4" t="str">
        <f>IF(COUNTIFS(A:A,A12,C:C,C12)=2,IF(K12="Mismatch","Value Mismatch","Matched"),IF(I12= "Tally","Missing in GST","Missing in Tally"))</f>
        <v>Missing in GST</v>
      </c>
      <c r="M12" s="6" t="str">
        <f t="shared" si="2"/>
        <v/>
      </c>
    </row>
    <row r="13" spans="1:13" x14ac:dyDescent="0.2">
      <c r="A13" s="1" t="str">
        <v>INV1011</v>
      </c>
      <c r="B13" s="2" t="str">
        <v>06-06-2024</v>
      </c>
      <c r="C13" s="1" t="str">
        <v>27ABCDE1234F1Z5</v>
      </c>
      <c r="D13" s="4" t="str">
        <v>Sharma Traders</v>
      </c>
      <c r="E13" s="6">
        <v>14485.35</v>
      </c>
      <c r="F13" s="6">
        <v>1303.68</v>
      </c>
      <c r="G13" s="6">
        <v>1303.68</v>
      </c>
      <c r="H13" s="6">
        <v>17092.71</v>
      </c>
      <c r="I13" s="19" t="str">
        <v>Tally</v>
      </c>
      <c r="J13" s="1" t="str">
        <f t="shared" si="0"/>
        <v>Unique</v>
      </c>
      <c r="K13" s="21" t="str">
        <f t="shared" si="1"/>
        <v/>
      </c>
      <c r="L13" s="4" t="str">
        <f>IF(COUNTIFS(A:A,A13,C:C,C13)=2,IF(K13="Mismatch","Value Mismatch","Matched"),IF(I13= "Tally","Missing in GST","Missing in Tally"))</f>
        <v>Missing in GST</v>
      </c>
      <c r="M13" s="6" t="str">
        <f t="shared" si="2"/>
        <v/>
      </c>
    </row>
    <row r="14" spans="1:13" x14ac:dyDescent="0.2">
      <c r="A14" s="1" t="str">
        <v>INV1012</v>
      </c>
      <c r="B14" s="2" t="str">
        <v>24-05-2024</v>
      </c>
      <c r="C14" s="1" t="str">
        <v>19ASDFG2468H1Z9</v>
      </c>
      <c r="D14" s="4" t="str">
        <v>Eastern Distributors</v>
      </c>
      <c r="E14" s="6">
        <v>13965.23</v>
      </c>
      <c r="F14" s="6">
        <v>1256.8699999999999</v>
      </c>
      <c r="G14" s="6">
        <v>1256.8699999999999</v>
      </c>
      <c r="H14" s="6">
        <v>16478.97</v>
      </c>
      <c r="I14" s="19" t="str">
        <v>Tally</v>
      </c>
      <c r="J14" s="1" t="str">
        <f t="shared" si="0"/>
        <v>Unique</v>
      </c>
      <c r="K14" s="21" t="str">
        <f t="shared" si="1"/>
        <v/>
      </c>
      <c r="L14" s="4" t="str">
        <f>IF(COUNTIFS(A:A,A14,C:C,C14)=2,IF(K14="Mismatch","Value Mismatch","Matched"),IF(I14= "Tally","Missing in GST","Missing in Tally"))</f>
        <v>Missing in GST</v>
      </c>
      <c r="M14" s="6" t="str">
        <f t="shared" si="2"/>
        <v/>
      </c>
    </row>
    <row r="15" spans="1:13" x14ac:dyDescent="0.2">
      <c r="A15" s="1" t="str">
        <v>INV1013</v>
      </c>
      <c r="B15" s="2" t="str">
        <v>19-06-2024</v>
      </c>
      <c r="C15" s="1" t="str">
        <v>07ZXCVB9876M1Z3</v>
      </c>
      <c r="D15" s="4" t="str">
        <v>Gupta Supplies</v>
      </c>
      <c r="E15" s="6">
        <v>48785.53</v>
      </c>
      <c r="F15" s="6">
        <v>4390.7</v>
      </c>
      <c r="G15" s="6">
        <v>4390.7</v>
      </c>
      <c r="H15" s="6">
        <v>57566.93</v>
      </c>
      <c r="I15" s="19" t="str">
        <v>Tally</v>
      </c>
      <c r="J15" s="1" t="str">
        <f t="shared" si="0"/>
        <v>Unique</v>
      </c>
      <c r="K15" s="21" t="str">
        <f t="shared" si="1"/>
        <v/>
      </c>
      <c r="L15" s="4" t="str">
        <f>IF(COUNTIFS(A:A,A15,C:C,C15)=2,IF(K15="Mismatch","Value Mismatch","Matched"),IF(I15= "Tally","Missing in GST","Missing in Tally"))</f>
        <v>Missing in GST</v>
      </c>
      <c r="M15" s="6" t="str">
        <f t="shared" si="2"/>
        <v/>
      </c>
    </row>
    <row r="16" spans="1:13" x14ac:dyDescent="0.2">
      <c r="A16" s="1" t="str">
        <v>INV1014</v>
      </c>
      <c r="B16" s="2" t="str">
        <v>09-05-2024</v>
      </c>
      <c r="C16" s="1" t="str">
        <v>24LMNOP4321K1Z7</v>
      </c>
      <c r="D16" s="4" t="str">
        <v>Patel Industries</v>
      </c>
      <c r="E16" s="6">
        <v>49562.13</v>
      </c>
      <c r="F16" s="6">
        <v>4460.59</v>
      </c>
      <c r="G16" s="6">
        <v>4460.59</v>
      </c>
      <c r="H16" s="6">
        <v>58483.31</v>
      </c>
      <c r="I16" s="19" t="str">
        <v>Tally</v>
      </c>
      <c r="J16" s="1" t="str">
        <f t="shared" si="0"/>
        <v>Unique</v>
      </c>
      <c r="K16" s="21" t="str">
        <f t="shared" si="1"/>
        <v/>
      </c>
      <c r="L16" s="4" t="str">
        <f>IF(COUNTIFS(A:A,A16,C:C,C16)=2,IF(K16="Mismatch","Value Mismatch","Matched"),IF(I16= "Tally","Missing in GST","Missing in Tally"))</f>
        <v>Missing in GST</v>
      </c>
      <c r="M16" s="6" t="str">
        <f t="shared" si="2"/>
        <v/>
      </c>
    </row>
    <row r="17" spans="1:13" x14ac:dyDescent="0.2">
      <c r="A17" s="1" t="str">
        <v>INV1015</v>
      </c>
      <c r="B17" s="2" t="str">
        <v>09-04-2024</v>
      </c>
      <c r="C17" s="1" t="str">
        <v>27ABCDE1234F1Z5</v>
      </c>
      <c r="D17" s="4" t="str">
        <v>Sharma Traders</v>
      </c>
      <c r="E17" s="6">
        <v>26226.25</v>
      </c>
      <c r="F17" s="6">
        <v>2360.36</v>
      </c>
      <c r="G17" s="6">
        <v>2360.36</v>
      </c>
      <c r="H17" s="6">
        <v>30946.97</v>
      </c>
      <c r="I17" s="19" t="str">
        <v>Tally</v>
      </c>
      <c r="J17" s="1" t="str">
        <f t="shared" si="0"/>
        <v>Unique</v>
      </c>
      <c r="K17" s="21" t="str">
        <f t="shared" si="1"/>
        <v/>
      </c>
      <c r="L17" s="4" t="str">
        <f>IF(COUNTIFS(A:A,A17,C:C,C17)=2,IF(K17="Mismatch","Value Mismatch","Matched"),IF(I17= "Tally","Missing in GST","Missing in Tally"))</f>
        <v>Missing in GST</v>
      </c>
      <c r="M17" s="6" t="str">
        <f t="shared" si="2"/>
        <v/>
      </c>
    </row>
    <row r="18" spans="1:13" x14ac:dyDescent="0.2">
      <c r="A18" s="1" t="str">
        <v>INV1016</v>
      </c>
      <c r="B18" s="2" t="str">
        <v>31-05-2024</v>
      </c>
      <c r="C18" s="1" t="str">
        <v>27ABCDE1234F1Z5</v>
      </c>
      <c r="D18" s="4" t="str">
        <v>Sharma Traders</v>
      </c>
      <c r="E18" s="6">
        <v>32810.870000000003</v>
      </c>
      <c r="F18" s="6">
        <v>2952.98</v>
      </c>
      <c r="G18" s="6">
        <v>2952.98</v>
      </c>
      <c r="H18" s="6">
        <v>38716.83</v>
      </c>
      <c r="I18" s="19" t="str">
        <v>Tally</v>
      </c>
      <c r="J18" s="1" t="str">
        <f t="shared" si="0"/>
        <v>Unique</v>
      </c>
      <c r="K18" s="21" t="str">
        <f t="shared" si="1"/>
        <v/>
      </c>
      <c r="L18" s="4" t="str">
        <f>IF(COUNTIFS(A:A,A18,C:C,C18)=2,IF(K18="Mismatch","Value Mismatch","Matched"),IF(I18= "Tally","Missing in GST","Missing in Tally"))</f>
        <v>Missing in GST</v>
      </c>
      <c r="M18" s="6" t="str">
        <f t="shared" si="2"/>
        <v/>
      </c>
    </row>
    <row r="19" spans="1:13" x14ac:dyDescent="0.2">
      <c r="A19" s="1" t="str">
        <v>INV1017</v>
      </c>
      <c r="B19" s="2" t="str">
        <v>02-06-2024</v>
      </c>
      <c r="C19" s="1" t="str">
        <v>07ZXCVB9876M1Z3</v>
      </c>
      <c r="D19" s="4" t="str">
        <v>Gupta Supplies</v>
      </c>
      <c r="E19" s="6">
        <v>14249.06</v>
      </c>
      <c r="F19" s="6">
        <v>1282.42</v>
      </c>
      <c r="G19" s="6">
        <v>1282.42</v>
      </c>
      <c r="H19" s="6">
        <v>16813.900000000001</v>
      </c>
      <c r="I19" s="19" t="str">
        <v>Tally</v>
      </c>
      <c r="J19" s="1" t="str">
        <f t="shared" si="0"/>
        <v>Unique</v>
      </c>
      <c r="K19" s="21" t="str">
        <f t="shared" si="1"/>
        <v/>
      </c>
      <c r="L19" s="4" t="str">
        <f>IF(COUNTIFS(A:A,A19,C:C,C19)=2,IF(K19="Mismatch","Value Mismatch","Matched"),IF(I19= "Tally","Missing in GST","Missing in Tally"))</f>
        <v>Missing in GST</v>
      </c>
      <c r="M19" s="6" t="str">
        <f t="shared" si="2"/>
        <v/>
      </c>
    </row>
    <row r="20" spans="1:13" x14ac:dyDescent="0.2">
      <c r="A20" s="1" t="str">
        <v>INV1018</v>
      </c>
      <c r="B20" s="2" t="str">
        <v>17-04-2024</v>
      </c>
      <c r="C20" s="1" t="str">
        <v>24LMNOP4321K1Z7</v>
      </c>
      <c r="D20" s="4" t="str">
        <v>Patel Industries</v>
      </c>
      <c r="E20" s="6">
        <v>40719.56</v>
      </c>
      <c r="F20" s="6">
        <v>3664.76</v>
      </c>
      <c r="G20" s="6">
        <v>3664.76</v>
      </c>
      <c r="H20" s="6">
        <v>48049.08</v>
      </c>
      <c r="I20" s="19" t="str">
        <v>Tally</v>
      </c>
      <c r="J20" s="1" t="str">
        <f t="shared" si="0"/>
        <v>Unique</v>
      </c>
      <c r="K20" s="21" t="str">
        <f t="shared" si="1"/>
        <v/>
      </c>
      <c r="L20" s="4" t="str">
        <f>IF(COUNTIFS(A:A,A20,C:C,C20)=2,IF(K20="Mismatch","Value Mismatch","Matched"),IF(I20= "Tally","Missing in GST","Missing in Tally"))</f>
        <v>Missing in GST</v>
      </c>
      <c r="M20" s="6" t="str">
        <f t="shared" si="2"/>
        <v/>
      </c>
    </row>
    <row r="21" spans="1:13" x14ac:dyDescent="0.2">
      <c r="A21" s="1" t="str">
        <v>INV1019</v>
      </c>
      <c r="B21" s="2" t="str">
        <v>11-05-2024</v>
      </c>
      <c r="C21" s="1" t="str">
        <v>24LMNOP4321K1Z7</v>
      </c>
      <c r="D21" s="4" t="str">
        <v>Patel Industries</v>
      </c>
      <c r="E21" s="6">
        <v>37378.43</v>
      </c>
      <c r="F21" s="6">
        <v>3364.06</v>
      </c>
      <c r="G21" s="6">
        <v>3364.06</v>
      </c>
      <c r="H21" s="6">
        <v>44106.55</v>
      </c>
      <c r="I21" s="19" t="str">
        <v>Tally</v>
      </c>
      <c r="J21" s="1" t="str">
        <f t="shared" si="0"/>
        <v>Unique</v>
      </c>
      <c r="K21" s="21" t="str">
        <f t="shared" si="1"/>
        <v>Matched</v>
      </c>
      <c r="L21" s="4" t="str">
        <f>IF(COUNTIFS(A:A,A21,C:C,C21)=2,IF(K21="Mismatch","Value Mismatch","Matched"),IF(I21= "Tally","Missing in GST","Missing in Tally"))</f>
        <v>Matched</v>
      </c>
      <c r="M21" s="6">
        <f t="shared" si="2"/>
        <v>0</v>
      </c>
    </row>
    <row r="22" spans="1:13" x14ac:dyDescent="0.2">
      <c r="A22" s="1" t="str">
        <v>INV1020</v>
      </c>
      <c r="B22" s="2" t="str">
        <v>23-05-2024</v>
      </c>
      <c r="C22" s="1" t="str">
        <v>24LMNOP4321K1Z7</v>
      </c>
      <c r="D22" s="4" t="str">
        <v>Patel Industries</v>
      </c>
      <c r="E22" s="6">
        <v>28472.92</v>
      </c>
      <c r="F22" s="6">
        <v>2562.56</v>
      </c>
      <c r="G22" s="6">
        <v>2562.56</v>
      </c>
      <c r="H22" s="6">
        <v>33598.04</v>
      </c>
      <c r="I22" s="19" t="str">
        <v>Tally</v>
      </c>
      <c r="J22" s="1" t="str">
        <f t="shared" si="0"/>
        <v>Unique</v>
      </c>
      <c r="K22" s="21" t="str">
        <f t="shared" si="1"/>
        <v/>
      </c>
      <c r="L22" s="4" t="str">
        <f>IF(COUNTIFS(A:A,A22,C:C,C22)=2,IF(K22="Mismatch","Value Mismatch","Matched"),IF(I22= "Tally","Missing in GST","Missing in Tally"))</f>
        <v>Missing in GST</v>
      </c>
      <c r="M22" s="6" t="str">
        <f t="shared" si="2"/>
        <v/>
      </c>
    </row>
    <row r="23" spans="1:13" x14ac:dyDescent="0.2">
      <c r="A23" s="1" t="str">
        <v>INV1021</v>
      </c>
      <c r="B23" s="2" t="str">
        <v>05-06-2024</v>
      </c>
      <c r="C23" s="1" t="str">
        <v>19ASDFG2468H1Z9</v>
      </c>
      <c r="D23" s="4" t="str">
        <v>Eastern Distributors</v>
      </c>
      <c r="E23" s="6">
        <v>24883.14</v>
      </c>
      <c r="F23" s="6">
        <v>2239.48</v>
      </c>
      <c r="G23" s="6">
        <v>2239.48</v>
      </c>
      <c r="H23" s="6">
        <v>29362.1</v>
      </c>
      <c r="I23" s="19" t="str">
        <v>Tally</v>
      </c>
      <c r="J23" s="1" t="str">
        <f t="shared" si="0"/>
        <v>Unique</v>
      </c>
      <c r="K23" s="21" t="str">
        <f t="shared" si="1"/>
        <v/>
      </c>
      <c r="L23" s="4" t="str">
        <f>IF(COUNTIFS(A:A,A23,C:C,C23)=2,IF(K23="Mismatch","Value Mismatch","Matched"),IF(I23= "Tally","Missing in GST","Missing in Tally"))</f>
        <v>Missing in GST</v>
      </c>
      <c r="M23" s="6" t="str">
        <f t="shared" si="2"/>
        <v/>
      </c>
    </row>
    <row r="24" spans="1:13" x14ac:dyDescent="0.2">
      <c r="A24" s="1" t="str">
        <v>INV1022</v>
      </c>
      <c r="B24" s="2" t="str">
        <v>31-05-2024</v>
      </c>
      <c r="C24" s="1" t="str">
        <v>07ZXCVB9876M1Z3</v>
      </c>
      <c r="D24" s="4" t="str">
        <v>Gupta Supplies</v>
      </c>
      <c r="E24" s="6">
        <v>15724.13</v>
      </c>
      <c r="F24" s="6">
        <v>1415.17</v>
      </c>
      <c r="G24" s="6">
        <v>1415.17</v>
      </c>
      <c r="H24" s="6">
        <v>18554.47</v>
      </c>
      <c r="I24" s="19" t="str">
        <v>Tally</v>
      </c>
      <c r="J24" s="1" t="str">
        <f t="shared" si="0"/>
        <v>Unique</v>
      </c>
      <c r="K24" s="21" t="str">
        <f t="shared" si="1"/>
        <v/>
      </c>
      <c r="L24" s="4" t="str">
        <f>IF(COUNTIFS(A:A,A24,C:C,C24)=2,IF(K24="Mismatch","Value Mismatch","Matched"),IF(I24= "Tally","Missing in GST","Missing in Tally"))</f>
        <v>Missing in GST</v>
      </c>
      <c r="M24" s="6" t="str">
        <f t="shared" si="2"/>
        <v/>
      </c>
    </row>
    <row r="25" spans="1:13" x14ac:dyDescent="0.2">
      <c r="A25" s="1" t="str">
        <v>INV1023</v>
      </c>
      <c r="B25" s="2" t="str">
        <v>28-04-2024</v>
      </c>
      <c r="C25" s="1" t="str">
        <v>29PQRSX5678L1Z2</v>
      </c>
      <c r="D25" s="4" t="str">
        <v>Kiran Enterprises</v>
      </c>
      <c r="E25" s="6">
        <v>10499.98</v>
      </c>
      <c r="F25" s="6">
        <v>945</v>
      </c>
      <c r="G25" s="6">
        <v>945</v>
      </c>
      <c r="H25" s="6">
        <v>12389.98</v>
      </c>
      <c r="I25" s="19" t="str">
        <v>Tally</v>
      </c>
      <c r="J25" s="1" t="str">
        <f t="shared" si="0"/>
        <v>Unique</v>
      </c>
      <c r="K25" s="21" t="str">
        <f t="shared" si="1"/>
        <v/>
      </c>
      <c r="L25" s="4" t="str">
        <f>IF(COUNTIFS(A:A,A25,C:C,C25)=2,IF(K25="Mismatch","Value Mismatch","Matched"),IF(I25= "Tally","Missing in GST","Missing in Tally"))</f>
        <v>Missing in GST</v>
      </c>
      <c r="M25" s="6" t="str">
        <f t="shared" si="2"/>
        <v/>
      </c>
    </row>
    <row r="26" spans="1:13" x14ac:dyDescent="0.2">
      <c r="A26" s="1" t="str">
        <v>INV1024</v>
      </c>
      <c r="B26" s="2" t="str">
        <v>15-06-2024</v>
      </c>
      <c r="C26" s="1" t="str">
        <v>07ZXCVB9876M1Z3</v>
      </c>
      <c r="D26" s="4" t="str">
        <v>Gupta Supplies</v>
      </c>
      <c r="E26" s="6">
        <v>47599.97</v>
      </c>
      <c r="F26" s="6">
        <v>4284</v>
      </c>
      <c r="G26" s="6">
        <v>4284</v>
      </c>
      <c r="H26" s="6">
        <v>56167.97</v>
      </c>
      <c r="I26" s="19" t="str">
        <v>Tally</v>
      </c>
      <c r="J26" s="1" t="str">
        <f t="shared" si="0"/>
        <v>Unique</v>
      </c>
      <c r="K26" s="21" t="str">
        <f t="shared" si="1"/>
        <v/>
      </c>
      <c r="L26" s="4" t="str">
        <f>IF(COUNTIFS(A:A,A26,C:C,C26)=2,IF(K26="Mismatch","Value Mismatch","Matched"),IF(I26= "Tally","Missing in GST","Missing in Tally"))</f>
        <v>Missing in GST</v>
      </c>
      <c r="M26" s="6" t="str">
        <f t="shared" si="2"/>
        <v/>
      </c>
    </row>
    <row r="27" spans="1:13" x14ac:dyDescent="0.2">
      <c r="A27" s="1" t="str">
        <v>INV1025</v>
      </c>
      <c r="B27" s="2" t="str">
        <v>11-05-2024</v>
      </c>
      <c r="C27" s="1" t="str">
        <v>24LMNOP4321K1Z7</v>
      </c>
      <c r="D27" s="4" t="str">
        <v>Patel Industries</v>
      </c>
      <c r="E27" s="6">
        <v>6762.77</v>
      </c>
      <c r="F27" s="6">
        <v>608.65</v>
      </c>
      <c r="G27" s="6">
        <v>608.65</v>
      </c>
      <c r="H27" s="6">
        <v>7980.07</v>
      </c>
      <c r="I27" s="19" t="str">
        <v>Tally</v>
      </c>
      <c r="J27" s="1" t="str">
        <f t="shared" si="0"/>
        <v>Unique</v>
      </c>
      <c r="K27" s="21" t="str">
        <f t="shared" si="1"/>
        <v/>
      </c>
      <c r="L27" s="4" t="str">
        <f>IF(COUNTIFS(A:A,A27,C:C,C27)=2,IF(K27="Mismatch","Value Mismatch","Matched"),IF(I27= "Tally","Missing in GST","Missing in Tally"))</f>
        <v>Missing in GST</v>
      </c>
      <c r="M27" s="6" t="str">
        <f t="shared" si="2"/>
        <v/>
      </c>
    </row>
    <row r="28" spans="1:13" x14ac:dyDescent="0.2">
      <c r="A28" s="1" t="str">
        <v>INV1026</v>
      </c>
      <c r="B28" s="2" t="str">
        <v>19-04-2024</v>
      </c>
      <c r="C28" s="1" t="str">
        <v>29PQRSX5678L1Z2</v>
      </c>
      <c r="D28" s="4" t="str">
        <v>Kiran Enterprises</v>
      </c>
      <c r="E28" s="6">
        <v>23014.85</v>
      </c>
      <c r="F28" s="6">
        <v>2071.34</v>
      </c>
      <c r="G28" s="6">
        <v>2071.34</v>
      </c>
      <c r="H28" s="6">
        <v>27157.53</v>
      </c>
      <c r="I28" s="19" t="str">
        <v>Tally</v>
      </c>
      <c r="J28" s="1" t="str">
        <f t="shared" si="0"/>
        <v>Unique</v>
      </c>
      <c r="K28" s="21" t="str">
        <f t="shared" si="1"/>
        <v/>
      </c>
      <c r="L28" s="4" t="str">
        <f>IF(COUNTIFS(A:A,A28,C:C,C28)=2,IF(K28="Mismatch","Value Mismatch","Matched"),IF(I28= "Tally","Missing in GST","Missing in Tally"))</f>
        <v>Missing in GST</v>
      </c>
      <c r="M28" s="6" t="str">
        <f t="shared" si="2"/>
        <v/>
      </c>
    </row>
    <row r="29" spans="1:13" x14ac:dyDescent="0.2">
      <c r="A29" s="1" t="str">
        <v>INV1027</v>
      </c>
      <c r="B29" s="2" t="str">
        <v>09-04-2024</v>
      </c>
      <c r="C29" s="1" t="str">
        <v>27ABCDE1234F1Z5</v>
      </c>
      <c r="D29" s="4" t="str">
        <v>Sharma Traders</v>
      </c>
      <c r="E29" s="6">
        <v>28074.6</v>
      </c>
      <c r="F29" s="6">
        <v>2526.71</v>
      </c>
      <c r="G29" s="6">
        <v>2526.71</v>
      </c>
      <c r="H29" s="6">
        <v>33128.019999999997</v>
      </c>
      <c r="I29" s="19" t="str">
        <v>Tally</v>
      </c>
      <c r="J29" s="1" t="str">
        <f t="shared" si="0"/>
        <v>Unique</v>
      </c>
      <c r="K29" s="21" t="str">
        <f t="shared" si="1"/>
        <v/>
      </c>
      <c r="L29" s="4" t="str">
        <f>IF(COUNTIFS(A:A,A29,C:C,C29)=2,IF(K29="Mismatch","Value Mismatch","Matched"),IF(I29= "Tally","Missing in GST","Missing in Tally"))</f>
        <v>Missing in GST</v>
      </c>
      <c r="M29" s="6" t="str">
        <f t="shared" si="2"/>
        <v/>
      </c>
    </row>
    <row r="30" spans="1:13" x14ac:dyDescent="0.2">
      <c r="A30" s="1" t="str">
        <v>INV1028</v>
      </c>
      <c r="B30" s="2" t="str">
        <v>02-05-2024</v>
      </c>
      <c r="C30" s="1" t="str">
        <v>29PQRSX5678L1Z2</v>
      </c>
      <c r="D30" s="4" t="str">
        <v>Kiran Enterprises</v>
      </c>
      <c r="E30" s="6">
        <v>41642.120000000003</v>
      </c>
      <c r="F30" s="6">
        <v>3747.79</v>
      </c>
      <c r="G30" s="6">
        <v>3747.79</v>
      </c>
      <c r="H30" s="6">
        <v>49137.7</v>
      </c>
      <c r="I30" s="19" t="str">
        <v>Tally</v>
      </c>
      <c r="J30" s="1" t="str">
        <f t="shared" si="0"/>
        <v>Unique</v>
      </c>
      <c r="K30" s="21" t="str">
        <f t="shared" si="1"/>
        <v/>
      </c>
      <c r="L30" s="4" t="str">
        <f>IF(COUNTIFS(A:A,A30,C:C,C30)=2,IF(K30="Mismatch","Value Mismatch","Matched"),IF(I30= "Tally","Missing in GST","Missing in Tally"))</f>
        <v>Missing in GST</v>
      </c>
      <c r="M30" s="6" t="str">
        <f t="shared" si="2"/>
        <v/>
      </c>
    </row>
    <row r="31" spans="1:13" x14ac:dyDescent="0.2">
      <c r="A31" s="1" t="str">
        <v>INV1029</v>
      </c>
      <c r="B31" s="2" t="str">
        <v>01-05-2024</v>
      </c>
      <c r="C31" s="1" t="str">
        <v>19ASDFG2468H1Z9</v>
      </c>
      <c r="D31" s="4" t="str">
        <v>Eastern Distributors</v>
      </c>
      <c r="E31" s="6">
        <v>38382.44</v>
      </c>
      <c r="F31" s="6">
        <v>3454.42</v>
      </c>
      <c r="G31" s="6">
        <v>3454.42</v>
      </c>
      <c r="H31" s="6">
        <v>45291.28</v>
      </c>
      <c r="I31" s="19" t="str">
        <v>Tally</v>
      </c>
      <c r="J31" s="1" t="str">
        <f t="shared" si="0"/>
        <v>Unique</v>
      </c>
      <c r="K31" s="21" t="str">
        <f t="shared" si="1"/>
        <v>Matched</v>
      </c>
      <c r="L31" s="4" t="str">
        <f>IF(COUNTIFS(A:A,A31,C:C,C31)=2,IF(K31="Mismatch","Value Mismatch","Matched"),IF(I31= "Tally","Missing in GST","Missing in Tally"))</f>
        <v>Matched</v>
      </c>
      <c r="M31" s="6">
        <f t="shared" si="2"/>
        <v>0</v>
      </c>
    </row>
    <row r="32" spans="1:13" x14ac:dyDescent="0.2">
      <c r="A32" s="1" t="str">
        <v>INV1030</v>
      </c>
      <c r="B32" s="2" t="str">
        <v>03-04-2024</v>
      </c>
      <c r="C32" s="1" t="str">
        <v>24LMNOP4321K1Z7</v>
      </c>
      <c r="D32" s="4" t="str">
        <v>Patel Industries</v>
      </c>
      <c r="E32" s="6">
        <v>2979.72</v>
      </c>
      <c r="F32" s="6">
        <v>268.17</v>
      </c>
      <c r="G32" s="6">
        <v>268.17</v>
      </c>
      <c r="H32" s="6">
        <v>3516.06</v>
      </c>
      <c r="I32" s="19" t="str">
        <v>Tally</v>
      </c>
      <c r="J32" s="1" t="str">
        <f t="shared" si="0"/>
        <v>Unique</v>
      </c>
      <c r="K32" s="21" t="str">
        <f t="shared" si="1"/>
        <v/>
      </c>
      <c r="L32" s="4" t="str">
        <f>IF(COUNTIFS(A:A,A32,C:C,C32)=2,IF(K32="Mismatch","Value Mismatch","Matched"),IF(I32= "Tally","Missing in GST","Missing in Tally"))</f>
        <v>Missing in GST</v>
      </c>
      <c r="M32" s="6" t="str">
        <f t="shared" si="2"/>
        <v/>
      </c>
    </row>
    <row r="33" spans="1:13" x14ac:dyDescent="0.2">
      <c r="A33" s="1" t="str">
        <v>INV1031</v>
      </c>
      <c r="B33" s="2" t="str">
        <v>07-06-2024</v>
      </c>
      <c r="C33" s="1" t="str">
        <v>27ABCDE1234F1Z5</v>
      </c>
      <c r="D33" s="4" t="str">
        <v>Sharma Traders</v>
      </c>
      <c r="E33" s="6">
        <v>36114.959999999999</v>
      </c>
      <c r="F33" s="6">
        <v>3250.35</v>
      </c>
      <c r="G33" s="6">
        <v>3250.35</v>
      </c>
      <c r="H33" s="6">
        <v>42615.66</v>
      </c>
      <c r="I33" s="19" t="str">
        <v>Tally</v>
      </c>
      <c r="J33" s="1" t="str">
        <f t="shared" si="0"/>
        <v>Unique</v>
      </c>
      <c r="K33" s="21" t="str">
        <f t="shared" si="1"/>
        <v/>
      </c>
      <c r="L33" s="4" t="str">
        <f>IF(COUNTIFS(A:A,A33,C:C,C33)=2,IF(K33="Mismatch","Value Mismatch","Matched"),IF(I33= "Tally","Missing in GST","Missing in Tally"))</f>
        <v>Missing in GST</v>
      </c>
      <c r="M33" s="6" t="str">
        <f t="shared" si="2"/>
        <v/>
      </c>
    </row>
    <row r="34" spans="1:13" x14ac:dyDescent="0.2">
      <c r="A34" s="1" t="str">
        <v>INV1032</v>
      </c>
      <c r="B34" s="2" t="str">
        <v>19-04-2024</v>
      </c>
      <c r="C34" s="1" t="str">
        <v>24LMNOP4321K1Z7</v>
      </c>
      <c r="D34" s="4" t="str">
        <v>Patel Industries</v>
      </c>
      <c r="E34" s="6">
        <v>19033.77</v>
      </c>
      <c r="F34" s="6">
        <v>1713.04</v>
      </c>
      <c r="G34" s="6">
        <v>1713.04</v>
      </c>
      <c r="H34" s="6">
        <v>22459.85</v>
      </c>
      <c r="I34" s="19" t="str">
        <v>Tally</v>
      </c>
      <c r="J34" s="1" t="str">
        <f t="shared" si="0"/>
        <v>Unique</v>
      </c>
      <c r="K34" s="21" t="str">
        <f t="shared" si="1"/>
        <v/>
      </c>
      <c r="L34" s="4" t="str">
        <f>IF(COUNTIFS(A:A,A34,C:C,C34)=2,IF(K34="Mismatch","Value Mismatch","Matched"),IF(I34= "Tally","Missing in GST","Missing in Tally"))</f>
        <v>Missing in GST</v>
      </c>
      <c r="M34" s="6" t="str">
        <f t="shared" si="2"/>
        <v/>
      </c>
    </row>
    <row r="35" spans="1:13" x14ac:dyDescent="0.2">
      <c r="A35" s="1" t="str">
        <v>INV1033</v>
      </c>
      <c r="B35" s="2" t="str">
        <v>01-05-2024</v>
      </c>
      <c r="C35" s="1" t="str">
        <v>27ABCDE1234F1Z5</v>
      </c>
      <c r="D35" s="4" t="str">
        <v>Sharma Traders</v>
      </c>
      <c r="E35" s="6">
        <v>3327.85</v>
      </c>
      <c r="F35" s="6">
        <v>299.51</v>
      </c>
      <c r="G35" s="6">
        <v>299.51</v>
      </c>
      <c r="H35" s="6">
        <v>3926.87</v>
      </c>
      <c r="I35" s="19" t="str">
        <v>Tally</v>
      </c>
      <c r="J35" s="1" t="str">
        <f t="shared" si="0"/>
        <v>Unique</v>
      </c>
      <c r="K35" s="21" t="str">
        <f t="shared" si="1"/>
        <v/>
      </c>
      <c r="L35" s="4" t="str">
        <f>IF(COUNTIFS(A:A,A35,C:C,C35)=2,IF(K35="Mismatch","Value Mismatch","Matched"),IF(I35= "Tally","Missing in GST","Missing in Tally"))</f>
        <v>Missing in GST</v>
      </c>
      <c r="M35" s="6" t="str">
        <f t="shared" si="2"/>
        <v/>
      </c>
    </row>
    <row r="36" spans="1:13" x14ac:dyDescent="0.2">
      <c r="A36" s="1" t="str">
        <v>INV1034</v>
      </c>
      <c r="B36" s="2" t="str">
        <v>05-04-2024</v>
      </c>
      <c r="C36" s="1" t="str">
        <v>27ABCDE1234F1Z5</v>
      </c>
      <c r="D36" s="4" t="str">
        <v>Sharma Traders</v>
      </c>
      <c r="E36" s="6">
        <v>44915.06</v>
      </c>
      <c r="F36" s="6">
        <v>4042.36</v>
      </c>
      <c r="G36" s="6">
        <v>4042.36</v>
      </c>
      <c r="H36" s="6">
        <v>52999.78</v>
      </c>
      <c r="I36" s="19" t="str">
        <v>Tally</v>
      </c>
      <c r="J36" s="1" t="str">
        <f t="shared" si="0"/>
        <v>Unique</v>
      </c>
      <c r="K36" s="21" t="str">
        <f t="shared" si="1"/>
        <v/>
      </c>
      <c r="L36" s="4" t="str">
        <f>IF(COUNTIFS(A:A,A36,C:C,C36)=2,IF(K36="Mismatch","Value Mismatch","Matched"),IF(I36= "Tally","Missing in GST","Missing in Tally"))</f>
        <v>Missing in GST</v>
      </c>
      <c r="M36" s="6" t="str">
        <f t="shared" si="2"/>
        <v/>
      </c>
    </row>
    <row r="37" spans="1:13" x14ac:dyDescent="0.2">
      <c r="A37" s="1" t="str">
        <v>INV1035</v>
      </c>
      <c r="B37" s="2" t="str">
        <v>26-06-2024</v>
      </c>
      <c r="C37" s="1" t="str">
        <v>19ASDFG2468H1Z9</v>
      </c>
      <c r="D37" s="4" t="str">
        <v>Eastern Distributors</v>
      </c>
      <c r="E37" s="6">
        <v>35188.17</v>
      </c>
      <c r="F37" s="6">
        <v>3166.94</v>
      </c>
      <c r="G37" s="6">
        <v>3166.94</v>
      </c>
      <c r="H37" s="6">
        <v>41522.050000000003</v>
      </c>
      <c r="I37" s="19" t="str">
        <v>Tally</v>
      </c>
      <c r="J37" s="1" t="str">
        <f t="shared" si="0"/>
        <v>Unique</v>
      </c>
      <c r="K37" s="21" t="str">
        <f t="shared" si="1"/>
        <v/>
      </c>
      <c r="L37" s="4" t="str">
        <f>IF(COUNTIFS(A:A,A37,C:C,C37)=2,IF(K37="Mismatch","Value Mismatch","Matched"),IF(I37= "Tally","Missing in GST","Missing in Tally"))</f>
        <v>Missing in GST</v>
      </c>
      <c r="M37" s="6" t="str">
        <f t="shared" si="2"/>
        <v/>
      </c>
    </row>
    <row r="38" spans="1:13" x14ac:dyDescent="0.2">
      <c r="A38" s="1" t="str">
        <v>INV1036</v>
      </c>
      <c r="B38" s="2" t="str">
        <v>17-06-2024</v>
      </c>
      <c r="C38" s="1" t="str">
        <v>24LMNOP4321K1Z7</v>
      </c>
      <c r="D38" s="4" t="str">
        <v>Patel Industries</v>
      </c>
      <c r="E38" s="6">
        <v>4633.16</v>
      </c>
      <c r="F38" s="6">
        <v>416.98</v>
      </c>
      <c r="G38" s="6">
        <v>416.98</v>
      </c>
      <c r="H38" s="6">
        <v>5467.12</v>
      </c>
      <c r="I38" s="19" t="str">
        <v>Tally</v>
      </c>
      <c r="J38" s="1" t="str">
        <f t="shared" si="0"/>
        <v>Unique</v>
      </c>
      <c r="K38" s="21" t="str">
        <f t="shared" si="1"/>
        <v/>
      </c>
      <c r="L38" s="4" t="str">
        <f>IF(COUNTIFS(A:A,A38,C:C,C38)=2,IF(K38="Mismatch","Value Mismatch","Matched"),IF(I38= "Tally","Missing in GST","Missing in Tally"))</f>
        <v>Missing in GST</v>
      </c>
      <c r="M38" s="6" t="str">
        <f t="shared" si="2"/>
        <v/>
      </c>
    </row>
    <row r="39" spans="1:13" x14ac:dyDescent="0.2">
      <c r="A39" s="1" t="str">
        <v>INV1037</v>
      </c>
      <c r="B39" s="2" t="str">
        <v>23-05-2024</v>
      </c>
      <c r="C39" s="1" t="str">
        <v>24LMNOP4321K1Z7</v>
      </c>
      <c r="D39" s="4" t="str">
        <v>Patel Industries</v>
      </c>
      <c r="E39" s="6">
        <v>15285.54</v>
      </c>
      <c r="F39" s="6">
        <v>1375.7</v>
      </c>
      <c r="G39" s="6">
        <v>1375.7</v>
      </c>
      <c r="H39" s="6">
        <v>18036.939999999999</v>
      </c>
      <c r="I39" s="19" t="str">
        <v>Tally</v>
      </c>
      <c r="J39" s="1" t="str">
        <f t="shared" si="0"/>
        <v>Unique</v>
      </c>
      <c r="K39" s="21" t="str">
        <f t="shared" si="1"/>
        <v/>
      </c>
      <c r="L39" s="4" t="str">
        <f>IF(COUNTIFS(A:A,A39,C:C,C39)=2,IF(K39="Mismatch","Value Mismatch","Matched"),IF(I39= "Tally","Missing in GST","Missing in Tally"))</f>
        <v>Missing in GST</v>
      </c>
      <c r="M39" s="6" t="str">
        <f t="shared" si="2"/>
        <v/>
      </c>
    </row>
    <row r="40" spans="1:13" x14ac:dyDescent="0.2">
      <c r="A40" s="1" t="str">
        <v>INV1038</v>
      </c>
      <c r="B40" s="2" t="str">
        <v>10-04-2024</v>
      </c>
      <c r="C40" s="1" t="str">
        <v>29PQRSX5678L1Z2</v>
      </c>
      <c r="D40" s="4" t="str">
        <v>Kiran Enterprises</v>
      </c>
      <c r="E40" s="6">
        <v>14784.51</v>
      </c>
      <c r="F40" s="6">
        <v>1330.61</v>
      </c>
      <c r="G40" s="6">
        <v>1330.61</v>
      </c>
      <c r="H40" s="6">
        <v>17445.73</v>
      </c>
      <c r="I40" s="19" t="str">
        <v>Tally</v>
      </c>
      <c r="J40" s="1" t="str">
        <f t="shared" si="0"/>
        <v>Unique</v>
      </c>
      <c r="K40" s="21" t="str">
        <f t="shared" si="1"/>
        <v>Matched</v>
      </c>
      <c r="L40" s="4" t="str">
        <f>IF(COUNTIFS(A:A,A40,C:C,C40)=2,IF(K40="Mismatch","Value Mismatch","Matched"),IF(I40= "Tally","Missing in GST","Missing in Tally"))</f>
        <v>Matched</v>
      </c>
      <c r="M40" s="6">
        <f t="shared" si="2"/>
        <v>0</v>
      </c>
    </row>
    <row r="41" spans="1:13" x14ac:dyDescent="0.2">
      <c r="A41" s="1" t="str">
        <v>INV1039</v>
      </c>
      <c r="B41" s="2" t="str">
        <v>28-04-2024</v>
      </c>
      <c r="C41" s="1" t="str">
        <v>29PQRSX5678L1Z2</v>
      </c>
      <c r="D41" s="4" t="str">
        <v>Kiran Enterprises</v>
      </c>
      <c r="E41" s="6">
        <v>43999.02</v>
      </c>
      <c r="F41" s="6">
        <v>3959.91</v>
      </c>
      <c r="G41" s="6">
        <v>3959.91</v>
      </c>
      <c r="H41" s="6">
        <v>51918.84</v>
      </c>
      <c r="I41" s="19" t="str">
        <v>Tally</v>
      </c>
      <c r="J41" s="1" t="str">
        <f t="shared" si="0"/>
        <v>Unique</v>
      </c>
      <c r="K41" s="21" t="str">
        <f t="shared" si="1"/>
        <v/>
      </c>
      <c r="L41" s="4" t="str">
        <f>IF(COUNTIFS(A:A,A41,C:C,C41)=2,IF(K41="Mismatch","Value Mismatch","Matched"),IF(I41= "Tally","Missing in GST","Missing in Tally"))</f>
        <v>Missing in GST</v>
      </c>
      <c r="M41" s="6" t="str">
        <f t="shared" si="2"/>
        <v/>
      </c>
    </row>
    <row r="42" spans="1:13" x14ac:dyDescent="0.2">
      <c r="A42" s="1" t="str">
        <v>INV1040</v>
      </c>
      <c r="B42" s="2" t="str">
        <v>17-06-2024</v>
      </c>
      <c r="C42" s="1" t="str">
        <v>19ASDFG2468H1Z9</v>
      </c>
      <c r="D42" s="4" t="str">
        <v>Eastern Distributors</v>
      </c>
      <c r="E42" s="6">
        <v>44019.37</v>
      </c>
      <c r="F42" s="6">
        <v>3961.74</v>
      </c>
      <c r="G42" s="6">
        <v>3961.74</v>
      </c>
      <c r="H42" s="6">
        <v>51942.85</v>
      </c>
      <c r="I42" s="19" t="str">
        <v>Tally</v>
      </c>
      <c r="J42" s="1" t="str">
        <f t="shared" si="0"/>
        <v>Unique</v>
      </c>
      <c r="K42" s="21" t="str">
        <f t="shared" si="1"/>
        <v/>
      </c>
      <c r="L42" s="4" t="str">
        <f>IF(COUNTIFS(A:A,A42,C:C,C42)=2,IF(K42="Mismatch","Value Mismatch","Matched"),IF(I42= "Tally","Missing in GST","Missing in Tally"))</f>
        <v>Missing in GST</v>
      </c>
      <c r="M42" s="6" t="str">
        <f t="shared" si="2"/>
        <v/>
      </c>
    </row>
    <row r="43" spans="1:13" x14ac:dyDescent="0.2">
      <c r="A43" s="1" t="str">
        <v>INV1041</v>
      </c>
      <c r="B43" s="2" t="str">
        <v>18-04-2024</v>
      </c>
      <c r="C43" s="1" t="str">
        <v>19ASDFG2468H1Z9</v>
      </c>
      <c r="D43" s="4" t="str">
        <v>Eastern Distributors</v>
      </c>
      <c r="E43" s="6">
        <v>10870.27</v>
      </c>
      <c r="F43" s="6">
        <v>978.32</v>
      </c>
      <c r="G43" s="6">
        <v>978.32</v>
      </c>
      <c r="H43" s="6">
        <v>12826.91</v>
      </c>
      <c r="I43" s="19" t="str">
        <v>Tally</v>
      </c>
      <c r="J43" s="1" t="str">
        <f t="shared" si="0"/>
        <v>Unique</v>
      </c>
      <c r="K43" s="21" t="str">
        <f t="shared" si="1"/>
        <v/>
      </c>
      <c r="L43" s="4" t="str">
        <f>IF(COUNTIFS(A:A,A43,C:C,C43)=2,IF(K43="Mismatch","Value Mismatch","Matched"),IF(I43= "Tally","Missing in GST","Missing in Tally"))</f>
        <v>Missing in GST</v>
      </c>
      <c r="M43" s="6" t="str">
        <f t="shared" si="2"/>
        <v/>
      </c>
    </row>
    <row r="44" spans="1:13" x14ac:dyDescent="0.2">
      <c r="A44" s="1" t="str">
        <v>INV1042</v>
      </c>
      <c r="B44" s="2" t="str">
        <v>13-04-2024</v>
      </c>
      <c r="C44" s="1" t="str">
        <v>07ZXCVB9876M1Z3</v>
      </c>
      <c r="D44" s="4" t="str">
        <v>Gupta Supplies</v>
      </c>
      <c r="E44" s="6">
        <v>26707.08</v>
      </c>
      <c r="F44" s="6">
        <v>2403.64</v>
      </c>
      <c r="G44" s="6">
        <v>2403.64</v>
      </c>
      <c r="H44" s="6">
        <v>31514.36</v>
      </c>
      <c r="I44" s="19" t="str">
        <v>Tally</v>
      </c>
      <c r="J44" s="1" t="str">
        <f t="shared" si="0"/>
        <v>Unique</v>
      </c>
      <c r="K44" s="21" t="str">
        <f t="shared" si="1"/>
        <v/>
      </c>
      <c r="L44" s="4" t="str">
        <f>IF(COUNTIFS(A:A,A44,C:C,C44)=2,IF(K44="Mismatch","Value Mismatch","Matched"),IF(I44= "Tally","Missing in GST","Missing in Tally"))</f>
        <v>Missing in GST</v>
      </c>
      <c r="M44" s="6" t="str">
        <f t="shared" si="2"/>
        <v/>
      </c>
    </row>
    <row r="45" spans="1:13" x14ac:dyDescent="0.2">
      <c r="A45" s="1" t="str">
        <v>INV1043</v>
      </c>
      <c r="B45" s="2" t="str">
        <v>10-05-2024</v>
      </c>
      <c r="C45" s="1" t="str">
        <v>07ZXCVB9876M1Z3</v>
      </c>
      <c r="D45" s="4" t="str">
        <v>Gupta Supplies</v>
      </c>
      <c r="E45" s="6">
        <v>26708.48</v>
      </c>
      <c r="F45" s="6">
        <v>2403.7600000000002</v>
      </c>
      <c r="G45" s="6">
        <v>2403.7600000000002</v>
      </c>
      <c r="H45" s="6">
        <v>31516</v>
      </c>
      <c r="I45" s="19" t="str">
        <v>Tally</v>
      </c>
      <c r="J45" s="1" t="str">
        <f t="shared" si="0"/>
        <v>Unique</v>
      </c>
      <c r="K45" s="21" t="str">
        <f t="shared" si="1"/>
        <v/>
      </c>
      <c r="L45" s="4" t="str">
        <f>IF(COUNTIFS(A:A,A45,C:C,C45)=2,IF(K45="Mismatch","Value Mismatch","Matched"),IF(I45= "Tally","Missing in GST","Missing in Tally"))</f>
        <v>Missing in GST</v>
      </c>
      <c r="M45" s="6" t="str">
        <f t="shared" si="2"/>
        <v/>
      </c>
    </row>
    <row r="46" spans="1:13" x14ac:dyDescent="0.2">
      <c r="A46" s="1" t="str">
        <v>INV1044</v>
      </c>
      <c r="B46" s="2" t="str">
        <v>15-05-2024</v>
      </c>
      <c r="C46" s="1" t="str">
        <v>07ZXCVB9876M1Z3</v>
      </c>
      <c r="D46" s="4" t="str">
        <v>Gupta Supplies</v>
      </c>
      <c r="E46" s="6">
        <v>15516.61</v>
      </c>
      <c r="F46" s="6">
        <v>1396.49</v>
      </c>
      <c r="G46" s="6">
        <v>1396.49</v>
      </c>
      <c r="H46" s="6">
        <v>18309.59</v>
      </c>
      <c r="I46" s="19" t="str">
        <v>Tally</v>
      </c>
      <c r="J46" s="1" t="str">
        <f t="shared" si="0"/>
        <v>Unique</v>
      </c>
      <c r="K46" s="21" t="str">
        <f t="shared" si="1"/>
        <v/>
      </c>
      <c r="L46" s="4" t="str">
        <f>IF(COUNTIFS(A:A,A46,C:C,C46)=2,IF(K46="Mismatch","Value Mismatch","Matched"),IF(I46= "Tally","Missing in GST","Missing in Tally"))</f>
        <v>Missing in GST</v>
      </c>
      <c r="M46" s="6" t="str">
        <f t="shared" si="2"/>
        <v/>
      </c>
    </row>
    <row r="47" spans="1:13" x14ac:dyDescent="0.2">
      <c r="A47" s="1" t="str">
        <v>INV1045</v>
      </c>
      <c r="B47" s="2" t="str">
        <v>06-06-2024</v>
      </c>
      <c r="C47" s="1" t="str">
        <v>27ABCDE1234F1Z5</v>
      </c>
      <c r="D47" s="4" t="str">
        <v>Sharma Traders</v>
      </c>
      <c r="E47" s="6">
        <v>15516.19</v>
      </c>
      <c r="F47" s="6">
        <v>1396.46</v>
      </c>
      <c r="G47" s="6">
        <v>1396.46</v>
      </c>
      <c r="H47" s="6">
        <v>18309.11</v>
      </c>
      <c r="I47" s="19" t="str">
        <v>Tally</v>
      </c>
      <c r="J47" s="1" t="str">
        <f t="shared" si="0"/>
        <v>Unique</v>
      </c>
      <c r="K47" s="21" t="str">
        <f t="shared" si="1"/>
        <v/>
      </c>
      <c r="L47" s="4" t="str">
        <f>IF(COUNTIFS(A:A,A47,C:C,C47)=2,IF(K47="Mismatch","Value Mismatch","Matched"),IF(I47= "Tally","Missing in GST","Missing in Tally"))</f>
        <v>Missing in GST</v>
      </c>
      <c r="M47" s="6" t="str">
        <f t="shared" si="2"/>
        <v/>
      </c>
    </row>
    <row r="48" spans="1:13" x14ac:dyDescent="0.2">
      <c r="A48" s="1" t="str">
        <v>INV1046</v>
      </c>
      <c r="B48" s="2" t="str">
        <v>29-06-2024</v>
      </c>
      <c r="C48" s="1" t="str">
        <v>07ZXCVB9876M1Z3</v>
      </c>
      <c r="D48" s="4" t="str">
        <v>Gupta Supplies</v>
      </c>
      <c r="E48" s="6">
        <v>27948.14</v>
      </c>
      <c r="F48" s="6">
        <v>2515.33</v>
      </c>
      <c r="G48" s="6">
        <v>2515.33</v>
      </c>
      <c r="H48" s="6">
        <v>32978.800000000003</v>
      </c>
      <c r="I48" s="19" t="str">
        <v>Tally</v>
      </c>
      <c r="J48" s="1" t="str">
        <f t="shared" si="0"/>
        <v>Unique</v>
      </c>
      <c r="K48" s="21" t="str">
        <f t="shared" si="1"/>
        <v/>
      </c>
      <c r="L48" s="4" t="str">
        <f>IF(COUNTIFS(A:A,A48,C:C,C48)=2,IF(K48="Mismatch","Value Mismatch","Matched"),IF(I48= "Tally","Missing in GST","Missing in Tally"))</f>
        <v>Missing in GST</v>
      </c>
      <c r="M48" s="6" t="str">
        <f t="shared" si="2"/>
        <v/>
      </c>
    </row>
    <row r="49" spans="1:13" x14ac:dyDescent="0.2">
      <c r="A49" s="1" t="str">
        <v>INV1047</v>
      </c>
      <c r="B49" s="2" t="str">
        <v>06-04-2024</v>
      </c>
      <c r="C49" s="1" t="str">
        <v>27ABCDE1234F1Z5</v>
      </c>
      <c r="D49" s="4" t="str">
        <v>Sharma Traders</v>
      </c>
      <c r="E49" s="6">
        <v>17540.689999999999</v>
      </c>
      <c r="F49" s="6">
        <v>1578.66</v>
      </c>
      <c r="G49" s="6">
        <v>1578.66</v>
      </c>
      <c r="H49" s="6">
        <v>20698.009999999998</v>
      </c>
      <c r="I49" s="19" t="str">
        <v>Tally</v>
      </c>
      <c r="J49" s="1" t="str">
        <f t="shared" si="0"/>
        <v>Unique</v>
      </c>
      <c r="K49" s="21" t="str">
        <f t="shared" si="1"/>
        <v/>
      </c>
      <c r="L49" s="4" t="str">
        <f>IF(COUNTIFS(A:A,A49,C:C,C49)=2,IF(K49="Mismatch","Value Mismatch","Matched"),IF(I49= "Tally","Missing in GST","Missing in Tally"))</f>
        <v>Missing in GST</v>
      </c>
      <c r="M49" s="6" t="str">
        <f t="shared" si="2"/>
        <v/>
      </c>
    </row>
    <row r="50" spans="1:13" x14ac:dyDescent="0.2">
      <c r="A50" s="1" t="str">
        <v>INV1048</v>
      </c>
      <c r="B50" s="2" t="str">
        <v>04-05-2024</v>
      </c>
      <c r="C50" s="1" t="str">
        <v>24LMNOP4321K1Z7</v>
      </c>
      <c r="D50" s="4" t="str">
        <v>Patel Industries</v>
      </c>
      <c r="E50" s="6">
        <v>48154.47</v>
      </c>
      <c r="F50" s="6">
        <v>4333.8999999999996</v>
      </c>
      <c r="G50" s="6">
        <v>4333.8999999999996</v>
      </c>
      <c r="H50" s="6">
        <v>56822.27</v>
      </c>
      <c r="I50" s="19" t="str">
        <v>Tally</v>
      </c>
      <c r="J50" s="1" t="str">
        <f t="shared" si="0"/>
        <v>Unique</v>
      </c>
      <c r="K50" s="21" t="str">
        <f t="shared" si="1"/>
        <v/>
      </c>
      <c r="L50" s="4" t="str">
        <f>IF(COUNTIFS(A:A,A50,C:C,C50)=2,IF(K50="Mismatch","Value Mismatch","Matched"),IF(I50= "Tally","Missing in GST","Missing in Tally"))</f>
        <v>Missing in GST</v>
      </c>
      <c r="M50" s="6" t="str">
        <f t="shared" si="2"/>
        <v/>
      </c>
    </row>
    <row r="51" spans="1:13" x14ac:dyDescent="0.2">
      <c r="A51" s="1" t="str">
        <v>INV1049</v>
      </c>
      <c r="B51" s="2" t="str">
        <v>12-05-2024</v>
      </c>
      <c r="C51" s="1" t="str">
        <v>29PQRSX5678L1Z2</v>
      </c>
      <c r="D51" s="4" t="str">
        <v>Kiran Enterprises</v>
      </c>
      <c r="E51" s="6">
        <v>26513.16</v>
      </c>
      <c r="F51" s="6">
        <v>2386.1799999999998</v>
      </c>
      <c r="G51" s="6">
        <v>2386.1799999999998</v>
      </c>
      <c r="H51" s="6">
        <v>31285.52</v>
      </c>
      <c r="I51" s="19" t="str">
        <v>Tally</v>
      </c>
      <c r="J51" s="1" t="str">
        <f t="shared" si="0"/>
        <v>Unique</v>
      </c>
      <c r="K51" s="21" t="str">
        <f t="shared" si="1"/>
        <v>Matched</v>
      </c>
      <c r="L51" s="4" t="str">
        <f>IF(COUNTIFS(A:A,A51,C:C,C51)=2,IF(K51="Mismatch","Value Mismatch","Matched"),IF(I51= "Tally","Missing in GST","Missing in Tally"))</f>
        <v>Matched</v>
      </c>
      <c r="M51" s="6">
        <f t="shared" si="2"/>
        <v>0</v>
      </c>
    </row>
    <row r="52" spans="1:13" x14ac:dyDescent="0.2">
      <c r="A52" s="1" t="str">
        <v>INV1050</v>
      </c>
      <c r="B52" s="2" t="str">
        <v>25-06-2024</v>
      </c>
      <c r="C52" s="1" t="str">
        <v>07ZXCVB9876M1Z3</v>
      </c>
      <c r="D52" s="4" t="str">
        <v>Gupta Supplies</v>
      </c>
      <c r="E52" s="6">
        <v>41817.54</v>
      </c>
      <c r="F52" s="6">
        <v>3763.58</v>
      </c>
      <c r="G52" s="6">
        <v>3763.58</v>
      </c>
      <c r="H52" s="6">
        <v>49344.7</v>
      </c>
      <c r="I52" s="19" t="str">
        <v>Tally</v>
      </c>
      <c r="J52" s="1" t="str">
        <f t="shared" si="0"/>
        <v>Unique</v>
      </c>
      <c r="K52" s="21" t="str">
        <f t="shared" si="1"/>
        <v/>
      </c>
      <c r="L52" s="4" t="str">
        <f>IF(COUNTIFS(A:A,A52,C:C,C52)=2,IF(K52="Mismatch","Value Mismatch","Matched"),IF(I52= "Tally","Missing in GST","Missing in Tally"))</f>
        <v>Missing in GST</v>
      </c>
      <c r="M52" s="6" t="str">
        <f t="shared" si="2"/>
        <v/>
      </c>
    </row>
    <row r="53" spans="1:13" x14ac:dyDescent="0.2">
      <c r="A53" s="1" t="str">
        <v>INV1051</v>
      </c>
      <c r="B53" s="2" t="str">
        <v>18-06-2024</v>
      </c>
      <c r="C53" s="1" t="str">
        <v>24LMNOP4321K1Z7</v>
      </c>
      <c r="D53" s="4" t="str">
        <v>Patel Industries</v>
      </c>
      <c r="E53" s="6">
        <v>1858.65</v>
      </c>
      <c r="F53" s="6">
        <v>167.28</v>
      </c>
      <c r="G53" s="6">
        <v>167.28</v>
      </c>
      <c r="H53" s="6">
        <v>2193.21</v>
      </c>
      <c r="I53" s="19" t="str">
        <v>Tally</v>
      </c>
      <c r="J53" s="1" t="str">
        <f t="shared" si="0"/>
        <v>Unique</v>
      </c>
      <c r="K53" s="21" t="str">
        <f t="shared" si="1"/>
        <v/>
      </c>
      <c r="L53" s="4" t="str">
        <f>IF(COUNTIFS(A:A,A53,C:C,C53)=2,IF(K53="Mismatch","Value Mismatch","Matched"),IF(I53= "Tally","Missing in GST","Missing in Tally"))</f>
        <v>Missing in GST</v>
      </c>
      <c r="M53" s="6" t="str">
        <f t="shared" si="2"/>
        <v/>
      </c>
    </row>
    <row r="54" spans="1:13" x14ac:dyDescent="0.2">
      <c r="A54" s="1" t="str">
        <v>INV1052</v>
      </c>
      <c r="B54" s="2" t="str">
        <v>12-05-2024</v>
      </c>
      <c r="C54" s="1" t="str">
        <v>29PQRSX5678L1Z2</v>
      </c>
      <c r="D54" s="4" t="str">
        <v>Kiran Enterprises</v>
      </c>
      <c r="E54" s="6">
        <v>24623.85</v>
      </c>
      <c r="F54" s="6">
        <v>2216.15</v>
      </c>
      <c r="G54" s="6">
        <v>2216.15</v>
      </c>
      <c r="H54" s="6">
        <v>29056.15</v>
      </c>
      <c r="I54" s="19" t="str">
        <v>Tally</v>
      </c>
      <c r="J54" s="1" t="str">
        <f t="shared" si="0"/>
        <v>Unique</v>
      </c>
      <c r="K54" s="21" t="str">
        <f t="shared" si="1"/>
        <v/>
      </c>
      <c r="L54" s="4" t="str">
        <f>IF(COUNTIFS(A:A,A54,C:C,C54)=2,IF(K54="Mismatch","Value Mismatch","Matched"),IF(I54= "Tally","Missing in GST","Missing in Tally"))</f>
        <v>Missing in GST</v>
      </c>
      <c r="M54" s="6" t="str">
        <f t="shared" si="2"/>
        <v/>
      </c>
    </row>
    <row r="55" spans="1:13" x14ac:dyDescent="0.2">
      <c r="A55" s="1" t="str">
        <v>INV1053</v>
      </c>
      <c r="B55" s="2" t="str">
        <v>03-05-2024</v>
      </c>
      <c r="C55" s="1" t="str">
        <v>19ASDFG2468H1Z9</v>
      </c>
      <c r="D55" s="4" t="str">
        <v>Eastern Distributors</v>
      </c>
      <c r="E55" s="6">
        <v>31633.46</v>
      </c>
      <c r="F55" s="6">
        <v>2847.01</v>
      </c>
      <c r="G55" s="6">
        <v>2847.01</v>
      </c>
      <c r="H55" s="6">
        <v>37327.480000000003</v>
      </c>
      <c r="I55" s="19" t="str">
        <v>Tally</v>
      </c>
      <c r="J55" s="1" t="str">
        <f t="shared" si="0"/>
        <v>Unique</v>
      </c>
      <c r="K55" s="21" t="str">
        <f t="shared" si="1"/>
        <v/>
      </c>
      <c r="L55" s="4" t="str">
        <f>IF(COUNTIFS(A:A,A55,C:C,C55)=2,IF(K55="Mismatch","Value Mismatch","Matched"),IF(I55= "Tally","Missing in GST","Missing in Tally"))</f>
        <v>Missing in GST</v>
      </c>
      <c r="M55" s="6" t="str">
        <f t="shared" si="2"/>
        <v/>
      </c>
    </row>
    <row r="56" spans="1:13" x14ac:dyDescent="0.2">
      <c r="A56" s="1" t="str">
        <v>INV1054</v>
      </c>
      <c r="B56" s="2" t="str">
        <v>27-06-2024</v>
      </c>
      <c r="C56" s="1" t="str">
        <v>07ZXCVB9876M1Z3</v>
      </c>
      <c r="D56" s="4" t="str">
        <v>Gupta Supplies</v>
      </c>
      <c r="E56" s="6">
        <v>36326.11</v>
      </c>
      <c r="F56" s="6">
        <v>3269.35</v>
      </c>
      <c r="G56" s="6">
        <v>3269.35</v>
      </c>
      <c r="H56" s="6">
        <v>42864.81</v>
      </c>
      <c r="I56" s="19" t="str">
        <v>Tally</v>
      </c>
      <c r="J56" s="1" t="str">
        <f t="shared" si="0"/>
        <v>Unique</v>
      </c>
      <c r="K56" s="21" t="str">
        <f t="shared" si="1"/>
        <v/>
      </c>
      <c r="L56" s="4" t="str">
        <f>IF(COUNTIFS(A:A,A56,C:C,C56)=2,IF(K56="Mismatch","Value Mismatch","Matched"),IF(I56= "Tally","Missing in GST","Missing in Tally"))</f>
        <v>Missing in GST</v>
      </c>
      <c r="M56" s="6" t="str">
        <f t="shared" si="2"/>
        <v/>
      </c>
    </row>
    <row r="57" spans="1:13" x14ac:dyDescent="0.2">
      <c r="A57" s="1" t="str">
        <v>INV1055</v>
      </c>
      <c r="B57" s="2" t="str">
        <v>27-05-2024</v>
      </c>
      <c r="C57" s="1" t="str">
        <v>29PQRSX5678L1Z2</v>
      </c>
      <c r="D57" s="4" t="str">
        <v>Kiran Enterprises</v>
      </c>
      <c r="E57" s="6">
        <v>20484.740000000002</v>
      </c>
      <c r="F57" s="6">
        <v>1843.63</v>
      </c>
      <c r="G57" s="6">
        <v>1843.63</v>
      </c>
      <c r="H57" s="6">
        <v>24172</v>
      </c>
      <c r="I57" s="19" t="str">
        <v>Tally</v>
      </c>
      <c r="J57" s="1" t="str">
        <f t="shared" si="0"/>
        <v>Unique</v>
      </c>
      <c r="K57" s="21" t="str">
        <f t="shared" si="1"/>
        <v>Matched</v>
      </c>
      <c r="L57" s="4" t="str">
        <f>IF(COUNTIFS(A:A,A57,C:C,C57)=2,IF(K57="Mismatch","Value Mismatch","Matched"),IF(I57= "Tally","Missing in GST","Missing in Tally"))</f>
        <v>Matched</v>
      </c>
      <c r="M57" s="6">
        <f t="shared" si="2"/>
        <v>0</v>
      </c>
    </row>
    <row r="58" spans="1:13" x14ac:dyDescent="0.2">
      <c r="A58" s="1" t="str">
        <v>INV1056</v>
      </c>
      <c r="B58" s="2" t="str">
        <v>13-06-2024</v>
      </c>
      <c r="C58" s="1" t="str">
        <v>29PQRSX5678L1Z2</v>
      </c>
      <c r="D58" s="4" t="str">
        <v>Kiran Enterprises</v>
      </c>
      <c r="E58" s="6">
        <v>39527.22</v>
      </c>
      <c r="F58" s="6">
        <v>3557.45</v>
      </c>
      <c r="G58" s="6">
        <v>3557.45</v>
      </c>
      <c r="H58" s="6">
        <v>46642.12</v>
      </c>
      <c r="I58" s="19" t="str">
        <v>Tally</v>
      </c>
      <c r="J58" s="1" t="str">
        <f t="shared" si="0"/>
        <v>Unique</v>
      </c>
      <c r="K58" s="21" t="str">
        <f t="shared" si="1"/>
        <v>Mismatch</v>
      </c>
      <c r="L58" s="4" t="str">
        <f>IF(COUNTIFS(A:A,A58,C:C,C58)=2,IF(K58="Mismatch","Value Mismatch","Matched"),IF(I58= "Tally","Missing in GST","Missing in Tally"))</f>
        <v>Value Mismatch</v>
      </c>
      <c r="M58" s="6">
        <f t="shared" si="2"/>
        <v>-5330.5599999999977</v>
      </c>
    </row>
    <row r="59" spans="1:13" x14ac:dyDescent="0.2">
      <c r="A59" s="1" t="str">
        <v>INV1057</v>
      </c>
      <c r="B59" s="2" t="str">
        <v>29-06-2024</v>
      </c>
      <c r="C59" s="1" t="str">
        <v>29PQRSX5678L1Z2</v>
      </c>
      <c r="D59" s="4" t="str">
        <v>Kiran Enterprises</v>
      </c>
      <c r="E59" s="6">
        <v>42338.400000000001</v>
      </c>
      <c r="F59" s="6">
        <v>3810.46</v>
      </c>
      <c r="G59" s="6">
        <v>3810.46</v>
      </c>
      <c r="H59" s="6">
        <v>49959.32</v>
      </c>
      <c r="I59" s="19" t="str">
        <v>Tally</v>
      </c>
      <c r="J59" s="1" t="str">
        <f t="shared" si="0"/>
        <v>Unique</v>
      </c>
      <c r="K59" s="21" t="str">
        <f t="shared" si="1"/>
        <v/>
      </c>
      <c r="L59" s="4" t="str">
        <f>IF(COUNTIFS(A:A,A59,C:C,C59)=2,IF(K59="Mismatch","Value Mismatch","Matched"),IF(I59= "Tally","Missing in GST","Missing in Tally"))</f>
        <v>Missing in GST</v>
      </c>
      <c r="M59" s="6" t="str">
        <f t="shared" si="2"/>
        <v/>
      </c>
    </row>
    <row r="60" spans="1:13" x14ac:dyDescent="0.2">
      <c r="A60" s="1" t="str">
        <v>INV1058</v>
      </c>
      <c r="B60" s="2" t="str">
        <v>24-06-2024</v>
      </c>
      <c r="C60" s="1" t="str">
        <v>07ZXCVB9876M1Z3</v>
      </c>
      <c r="D60" s="4" t="str">
        <v>Gupta Supplies</v>
      </c>
      <c r="E60" s="6">
        <v>37088.65</v>
      </c>
      <c r="F60" s="6">
        <v>3337.98</v>
      </c>
      <c r="G60" s="6">
        <v>3337.98</v>
      </c>
      <c r="H60" s="6">
        <v>43764.61</v>
      </c>
      <c r="I60" s="19" t="str">
        <v>Tally</v>
      </c>
      <c r="J60" s="1" t="str">
        <f t="shared" si="0"/>
        <v>Unique</v>
      </c>
      <c r="K60" s="21" t="str">
        <f t="shared" si="1"/>
        <v/>
      </c>
      <c r="L60" s="4" t="str">
        <f>IF(COUNTIFS(A:A,A60,C:C,C60)=2,IF(K60="Mismatch","Value Mismatch","Matched"),IF(I60= "Tally","Missing in GST","Missing in Tally"))</f>
        <v>Missing in GST</v>
      </c>
      <c r="M60" s="6" t="str">
        <f t="shared" si="2"/>
        <v/>
      </c>
    </row>
    <row r="61" spans="1:13" x14ac:dyDescent="0.2">
      <c r="A61" s="1" t="str">
        <v>INV1059</v>
      </c>
      <c r="B61" s="2" t="str">
        <v>27-05-2024</v>
      </c>
      <c r="C61" s="1" t="str">
        <v>29PQRSX5678L1Z2</v>
      </c>
      <c r="D61" s="4" t="str">
        <v>Kiran Enterprises</v>
      </c>
      <c r="E61" s="6">
        <v>44289.59</v>
      </c>
      <c r="F61" s="6">
        <v>3986.06</v>
      </c>
      <c r="G61" s="6">
        <v>3986.06</v>
      </c>
      <c r="H61" s="6">
        <v>52261.71</v>
      </c>
      <c r="I61" s="19" t="str">
        <v>Tally</v>
      </c>
      <c r="J61" s="1" t="str">
        <f t="shared" si="0"/>
        <v>Unique</v>
      </c>
      <c r="K61" s="21" t="str">
        <f t="shared" si="1"/>
        <v/>
      </c>
      <c r="L61" s="4" t="str">
        <f>IF(COUNTIFS(A:A,A61,C:C,C61)=2,IF(K61="Mismatch","Value Mismatch","Matched"),IF(I61= "Tally","Missing in GST","Missing in Tally"))</f>
        <v>Missing in GST</v>
      </c>
      <c r="M61" s="6" t="str">
        <f t="shared" si="2"/>
        <v/>
      </c>
    </row>
    <row r="62" spans="1:13" x14ac:dyDescent="0.2">
      <c r="A62" s="1" t="str">
        <v>INV1060</v>
      </c>
      <c r="B62" s="2" t="str">
        <v>20-06-2024</v>
      </c>
      <c r="C62" s="1" t="str">
        <v>27ABCDE1234F1Z5</v>
      </c>
      <c r="D62" s="4" t="str">
        <v>Sharma Traders</v>
      </c>
      <c r="E62" s="6">
        <v>13216.96</v>
      </c>
      <c r="F62" s="6">
        <v>1189.53</v>
      </c>
      <c r="G62" s="6">
        <v>1189.53</v>
      </c>
      <c r="H62" s="6">
        <v>15596.02</v>
      </c>
      <c r="I62" s="19" t="str">
        <v>Tally</v>
      </c>
      <c r="J62" s="1" t="str">
        <f t="shared" si="0"/>
        <v>Unique</v>
      </c>
      <c r="K62" s="21" t="str">
        <f t="shared" si="1"/>
        <v>Mismatch</v>
      </c>
      <c r="L62" s="4" t="str">
        <f>IF(COUNTIFS(A:A,A62,C:C,C62)=2,IF(K62="Mismatch","Value Mismatch","Matched"),IF(I62= "Tally","Missing in GST","Missing in Tally"))</f>
        <v>Value Mismatch</v>
      </c>
      <c r="M62" s="6">
        <f t="shared" si="2"/>
        <v>36897.35</v>
      </c>
    </row>
    <row r="63" spans="1:13" x14ac:dyDescent="0.2">
      <c r="A63" s="1" t="str">
        <v>INV1061</v>
      </c>
      <c r="B63" s="2" t="str">
        <v>07-05-2024</v>
      </c>
      <c r="C63" s="1" t="str">
        <v>24LMNOP4321K1Z7</v>
      </c>
      <c r="D63" s="4" t="str">
        <v>Patel Industries</v>
      </c>
      <c r="E63" s="6">
        <v>15452.98</v>
      </c>
      <c r="F63" s="6">
        <v>1390.77</v>
      </c>
      <c r="G63" s="6">
        <v>1390.77</v>
      </c>
      <c r="H63" s="6">
        <v>18234.52</v>
      </c>
      <c r="I63" s="19" t="str">
        <v>Tally</v>
      </c>
      <c r="J63" s="1" t="str">
        <f t="shared" si="0"/>
        <v>Unique</v>
      </c>
      <c r="K63" s="21" t="str">
        <f t="shared" si="1"/>
        <v/>
      </c>
      <c r="L63" s="4" t="str">
        <f>IF(COUNTIFS(A:A,A63,C:C,C63)=2,IF(K63="Mismatch","Value Mismatch","Matched"),IF(I63= "Tally","Missing in GST","Missing in Tally"))</f>
        <v>Missing in GST</v>
      </c>
      <c r="M63" s="6" t="str">
        <f t="shared" si="2"/>
        <v/>
      </c>
    </row>
    <row r="64" spans="1:13" x14ac:dyDescent="0.2">
      <c r="A64" s="1" t="str">
        <v>INV1062</v>
      </c>
      <c r="B64" s="2" t="str">
        <v>27-05-2024</v>
      </c>
      <c r="C64" s="1" t="str">
        <v>27ABCDE1234F1Z5</v>
      </c>
      <c r="D64" s="4" t="str">
        <v>Sharma Traders</v>
      </c>
      <c r="E64" s="6">
        <v>6151.48</v>
      </c>
      <c r="F64" s="6">
        <v>553.63</v>
      </c>
      <c r="G64" s="6">
        <v>553.63</v>
      </c>
      <c r="H64" s="6">
        <v>7258.74</v>
      </c>
      <c r="I64" s="19" t="str">
        <v>Tally</v>
      </c>
      <c r="J64" s="1" t="str">
        <f t="shared" si="0"/>
        <v>Unique</v>
      </c>
      <c r="K64" s="21" t="str">
        <f t="shared" si="1"/>
        <v/>
      </c>
      <c r="L64" s="4" t="str">
        <f>IF(COUNTIFS(A:A,A64,C:C,C64)=2,IF(K64="Mismatch","Value Mismatch","Matched"),IF(I64= "Tally","Missing in GST","Missing in Tally"))</f>
        <v>Missing in GST</v>
      </c>
      <c r="M64" s="6" t="str">
        <f t="shared" si="2"/>
        <v/>
      </c>
    </row>
    <row r="65" spans="1:13" x14ac:dyDescent="0.2">
      <c r="A65" s="1" t="str">
        <v>INV1063</v>
      </c>
      <c r="B65" s="2" t="str">
        <v>25-05-2024</v>
      </c>
      <c r="C65" s="1" t="str">
        <v>29PQRSX5678L1Z2</v>
      </c>
      <c r="D65" s="4" t="str">
        <v>Kiran Enterprises</v>
      </c>
      <c r="E65" s="6">
        <v>28248.77</v>
      </c>
      <c r="F65" s="6">
        <v>2542.39</v>
      </c>
      <c r="G65" s="6">
        <v>2542.39</v>
      </c>
      <c r="H65" s="6">
        <v>33333.550000000003</v>
      </c>
      <c r="I65" s="19" t="str">
        <v>Tally</v>
      </c>
      <c r="J65" s="1" t="str">
        <f t="shared" si="0"/>
        <v>Unique</v>
      </c>
      <c r="K65" s="21" t="str">
        <f t="shared" si="1"/>
        <v/>
      </c>
      <c r="L65" s="4" t="str">
        <f>IF(COUNTIFS(A:A,A65,C:C,C65)=2,IF(K65="Mismatch","Value Mismatch","Matched"),IF(I65= "Tally","Missing in GST","Missing in Tally"))</f>
        <v>Missing in GST</v>
      </c>
      <c r="M65" s="6" t="str">
        <f t="shared" si="2"/>
        <v/>
      </c>
    </row>
    <row r="66" spans="1:13" x14ac:dyDescent="0.2">
      <c r="A66" s="1" t="str">
        <v>INV1064</v>
      </c>
      <c r="B66" s="2" t="str">
        <v>16-06-2024</v>
      </c>
      <c r="C66" s="1" t="str">
        <v>07ZXCVB9876M1Z3</v>
      </c>
      <c r="D66" s="4" t="str">
        <v>Gupta Supplies</v>
      </c>
      <c r="E66" s="6">
        <v>45940.31</v>
      </c>
      <c r="F66" s="6">
        <v>4134.63</v>
      </c>
      <c r="G66" s="6">
        <v>4134.63</v>
      </c>
      <c r="H66" s="6">
        <v>54209.57</v>
      </c>
      <c r="I66" s="19" t="str">
        <v>Tally</v>
      </c>
      <c r="J66" s="1" t="str">
        <f t="shared" si="0"/>
        <v>Unique</v>
      </c>
      <c r="K66" s="21" t="str">
        <f t="shared" si="1"/>
        <v/>
      </c>
      <c r="L66" s="4" t="str">
        <f>IF(COUNTIFS(A:A,A66,C:C,C66)=2,IF(K66="Mismatch","Value Mismatch","Matched"),IF(I66= "Tally","Missing in GST","Missing in Tally"))</f>
        <v>Missing in GST</v>
      </c>
      <c r="M66" s="6" t="str">
        <f t="shared" si="2"/>
        <v/>
      </c>
    </row>
    <row r="67" spans="1:13" x14ac:dyDescent="0.2">
      <c r="A67" s="1" t="str">
        <v>INV1065</v>
      </c>
      <c r="B67" s="2" t="str">
        <v>30-04-2024</v>
      </c>
      <c r="C67" s="1" t="str">
        <v>24LMNOP4321K1Z7</v>
      </c>
      <c r="D67" s="4" t="str">
        <v>Patel Industries</v>
      </c>
      <c r="E67" s="6">
        <v>35841.07</v>
      </c>
      <c r="F67" s="6">
        <v>3225.7</v>
      </c>
      <c r="G67" s="6">
        <v>3225.7</v>
      </c>
      <c r="H67" s="6">
        <v>42292.47</v>
      </c>
      <c r="I67" s="19" t="str">
        <v>Tally</v>
      </c>
      <c r="J67" s="1" t="str">
        <f t="shared" ref="J67:J130" si="3">IF(COUNTIFS(A:A,A67,D:D,D67,I:I,I67)&gt;1,"Duplicate","Unique")</f>
        <v>Unique</v>
      </c>
      <c r="K67" s="21" t="str">
        <f t="shared" ref="K67:K130" si="4">IF(COUNTIFS(A:A,A67,C:C,C67)=2,IF(SUMIFS(E:E,A:A,A67,C:C,C67)&lt;&gt;E67*2,"Mismatch","Matched"),"")</f>
        <v>Mismatch</v>
      </c>
      <c r="L67" s="4" t="str">
        <f>IF(COUNTIFS(A:A,A67,C:C,C67)=2,IF(K67="Mismatch","Value Mismatch","Matched"),IF(I67= "Tally","Missing in GST","Missing in Tally"))</f>
        <v>Value Mismatch</v>
      </c>
      <c r="M67" s="6">
        <f t="shared" ref="M67:M130" si="5">IF(COUNTIFS(A:A,A67,C:C,C67)=2,SUMIFS(E:E,A:A,A67,C:C,C67)-E67*2,"")</f>
        <v>-5437.4499999999971</v>
      </c>
    </row>
    <row r="68" spans="1:13" x14ac:dyDescent="0.2">
      <c r="A68" s="1" t="str">
        <v>INV1066</v>
      </c>
      <c r="B68" s="2" t="str">
        <v>26-04-2024</v>
      </c>
      <c r="C68" s="1" t="str">
        <v>24LMNOP4321K1Z7</v>
      </c>
      <c r="D68" s="4" t="str">
        <v>Patel Industries</v>
      </c>
      <c r="E68" s="6">
        <v>32720.02</v>
      </c>
      <c r="F68" s="6">
        <v>2944.8</v>
      </c>
      <c r="G68" s="6">
        <v>2944.8</v>
      </c>
      <c r="H68" s="6">
        <v>38609.620000000003</v>
      </c>
      <c r="I68" s="19" t="str">
        <v>Tally</v>
      </c>
      <c r="J68" s="1" t="str">
        <f t="shared" si="3"/>
        <v>Unique</v>
      </c>
      <c r="K68" s="21" t="str">
        <f t="shared" si="4"/>
        <v/>
      </c>
      <c r="L68" s="4" t="str">
        <f>IF(COUNTIFS(A:A,A68,C:C,C68)=2,IF(K68="Mismatch","Value Mismatch","Matched"),IF(I68= "Tally","Missing in GST","Missing in Tally"))</f>
        <v>Missing in GST</v>
      </c>
      <c r="M68" s="6" t="str">
        <f t="shared" si="5"/>
        <v/>
      </c>
    </row>
    <row r="69" spans="1:13" x14ac:dyDescent="0.2">
      <c r="A69" s="1" t="str">
        <v>INV1067</v>
      </c>
      <c r="B69" s="2" t="str">
        <v>30-04-2024</v>
      </c>
      <c r="C69" s="1" t="str">
        <v>27ABCDE1234F1Z5</v>
      </c>
      <c r="D69" s="4" t="str">
        <v>Sharma Traders</v>
      </c>
      <c r="E69" s="6">
        <v>2999.91</v>
      </c>
      <c r="F69" s="6">
        <v>269.99</v>
      </c>
      <c r="G69" s="6">
        <v>269.99</v>
      </c>
      <c r="H69" s="6">
        <v>3539.89</v>
      </c>
      <c r="I69" s="19" t="str">
        <v>Tally</v>
      </c>
      <c r="J69" s="1" t="str">
        <f t="shared" si="3"/>
        <v>Unique</v>
      </c>
      <c r="K69" s="21" t="str">
        <f t="shared" si="4"/>
        <v>Matched</v>
      </c>
      <c r="L69" s="4" t="str">
        <f>IF(COUNTIFS(A:A,A69,C:C,C69)=2,IF(K69="Mismatch","Value Mismatch","Matched"),IF(I69= "Tally","Missing in GST","Missing in Tally"))</f>
        <v>Matched</v>
      </c>
      <c r="M69" s="6">
        <f t="shared" si="5"/>
        <v>0</v>
      </c>
    </row>
    <row r="70" spans="1:13" x14ac:dyDescent="0.2">
      <c r="A70" s="1" t="str">
        <v>INV1068</v>
      </c>
      <c r="B70" s="2" t="str">
        <v>04-05-2024</v>
      </c>
      <c r="C70" s="1" t="str">
        <v>19ASDFG2468H1Z9</v>
      </c>
      <c r="D70" s="4" t="str">
        <v>Eastern Distributors</v>
      </c>
      <c r="E70" s="6">
        <v>43321.42</v>
      </c>
      <c r="F70" s="6">
        <v>3898.93</v>
      </c>
      <c r="G70" s="6">
        <v>3898.93</v>
      </c>
      <c r="H70" s="6">
        <v>51119.28</v>
      </c>
      <c r="I70" s="19" t="str">
        <v>Tally</v>
      </c>
      <c r="J70" s="1" t="str">
        <f t="shared" si="3"/>
        <v>Unique</v>
      </c>
      <c r="K70" s="21" t="str">
        <f t="shared" si="4"/>
        <v/>
      </c>
      <c r="L70" s="4" t="str">
        <f>IF(COUNTIFS(A:A,A70,C:C,C70)=2,IF(K70="Mismatch","Value Mismatch","Matched"),IF(I70= "Tally","Missing in GST","Missing in Tally"))</f>
        <v>Missing in GST</v>
      </c>
      <c r="M70" s="6" t="str">
        <f t="shared" si="5"/>
        <v/>
      </c>
    </row>
    <row r="71" spans="1:13" x14ac:dyDescent="0.2">
      <c r="A71" s="1" t="str">
        <v>INV1069</v>
      </c>
      <c r="B71" s="2" t="str">
        <v>26-06-2024</v>
      </c>
      <c r="C71" s="1" t="str">
        <v>24LMNOP4321K1Z7</v>
      </c>
      <c r="D71" s="4" t="str">
        <v>Patel Industries</v>
      </c>
      <c r="E71" s="6">
        <v>5859.28</v>
      </c>
      <c r="F71" s="6">
        <v>527.34</v>
      </c>
      <c r="G71" s="6">
        <v>527.34</v>
      </c>
      <c r="H71" s="6">
        <v>6913.96</v>
      </c>
      <c r="I71" s="19" t="str">
        <v>Tally</v>
      </c>
      <c r="J71" s="1" t="str">
        <f t="shared" si="3"/>
        <v>Unique</v>
      </c>
      <c r="K71" s="21" t="str">
        <f t="shared" si="4"/>
        <v/>
      </c>
      <c r="L71" s="4" t="str">
        <f>IF(COUNTIFS(A:A,A71,C:C,C71)=2,IF(K71="Mismatch","Value Mismatch","Matched"),IF(I71= "Tally","Missing in GST","Missing in Tally"))</f>
        <v>Missing in GST</v>
      </c>
      <c r="M71" s="6" t="str">
        <f t="shared" si="5"/>
        <v/>
      </c>
    </row>
    <row r="72" spans="1:13" x14ac:dyDescent="0.2">
      <c r="A72" s="1" t="str">
        <v>INV1070</v>
      </c>
      <c r="B72" s="2" t="str">
        <v>13-04-2024</v>
      </c>
      <c r="C72" s="1" t="str">
        <v>29PQRSX5678L1Z2</v>
      </c>
      <c r="D72" s="4" t="str">
        <v>Kiran Enterprises</v>
      </c>
      <c r="E72" s="6">
        <v>45087.519999999997</v>
      </c>
      <c r="F72" s="6">
        <v>4057.88</v>
      </c>
      <c r="G72" s="6">
        <v>4057.88</v>
      </c>
      <c r="H72" s="6">
        <v>53203.28</v>
      </c>
      <c r="I72" s="19" t="str">
        <v>Tally</v>
      </c>
      <c r="J72" s="1" t="str">
        <f t="shared" si="3"/>
        <v>Unique</v>
      </c>
      <c r="K72" s="21" t="str">
        <f t="shared" si="4"/>
        <v>Mismatch</v>
      </c>
      <c r="L72" s="4" t="str">
        <f>IF(COUNTIFS(A:A,A72,C:C,C72)=2,IF(K72="Mismatch","Value Mismatch","Matched"),IF(I72= "Tally","Missing in GST","Missing in Tally"))</f>
        <v>Value Mismatch</v>
      </c>
      <c r="M72" s="6">
        <f t="shared" si="5"/>
        <v>-23334.309999999998</v>
      </c>
    </row>
    <row r="73" spans="1:13" x14ac:dyDescent="0.2">
      <c r="A73" s="1" t="str">
        <v>INV1071</v>
      </c>
      <c r="B73" s="2" t="str">
        <v>22-04-2024</v>
      </c>
      <c r="C73" s="1" t="str">
        <v>07ZXCVB9876M1Z3</v>
      </c>
      <c r="D73" s="4" t="str">
        <v>Gupta Supplies</v>
      </c>
      <c r="E73" s="6">
        <v>6621.01</v>
      </c>
      <c r="F73" s="6">
        <v>595.89</v>
      </c>
      <c r="G73" s="6">
        <v>595.89</v>
      </c>
      <c r="H73" s="6">
        <v>7812.79</v>
      </c>
      <c r="I73" s="19" t="str">
        <v>Tally</v>
      </c>
      <c r="J73" s="1" t="str">
        <f t="shared" si="3"/>
        <v>Unique</v>
      </c>
      <c r="K73" s="21" t="str">
        <f t="shared" si="4"/>
        <v/>
      </c>
      <c r="L73" s="4" t="str">
        <f>IF(COUNTIFS(A:A,A73,C:C,C73)=2,IF(K73="Mismatch","Value Mismatch","Matched"),IF(I73= "Tally","Missing in GST","Missing in Tally"))</f>
        <v>Missing in GST</v>
      </c>
      <c r="M73" s="6" t="str">
        <f t="shared" si="5"/>
        <v/>
      </c>
    </row>
    <row r="74" spans="1:13" x14ac:dyDescent="0.2">
      <c r="A74" s="1" t="str">
        <v>INV1072</v>
      </c>
      <c r="B74" s="2" t="str">
        <v>02-05-2024</v>
      </c>
      <c r="C74" s="1" t="str">
        <v>19ASDFG2468H1Z9</v>
      </c>
      <c r="D74" s="4" t="str">
        <v>Eastern Distributors</v>
      </c>
      <c r="E74" s="6">
        <v>10547.14</v>
      </c>
      <c r="F74" s="6">
        <v>949.24</v>
      </c>
      <c r="G74" s="6">
        <v>949.24</v>
      </c>
      <c r="H74" s="6">
        <v>12445.62</v>
      </c>
      <c r="I74" s="19" t="str">
        <v>Tally</v>
      </c>
      <c r="J74" s="1" t="str">
        <f t="shared" si="3"/>
        <v>Unique</v>
      </c>
      <c r="K74" s="21" t="str">
        <f t="shared" si="4"/>
        <v>Mismatch</v>
      </c>
      <c r="L74" s="4" t="str">
        <f>IF(COUNTIFS(A:A,A74,C:C,C74)=2,IF(K74="Mismatch","Value Mismatch","Matched"),IF(I74= "Tally","Missing in GST","Missing in Tally"))</f>
        <v>Value Mismatch</v>
      </c>
      <c r="M74" s="6">
        <f t="shared" si="5"/>
        <v>5324.4599999999991</v>
      </c>
    </row>
    <row r="75" spans="1:13" x14ac:dyDescent="0.2">
      <c r="A75" s="1" t="str">
        <v>INV1073</v>
      </c>
      <c r="B75" s="2" t="str">
        <v>05-04-2024</v>
      </c>
      <c r="C75" s="1" t="str">
        <v>27ABCDE1234F1Z5</v>
      </c>
      <c r="D75" s="4" t="str">
        <v>Sharma Traders</v>
      </c>
      <c r="E75" s="6">
        <v>30113.66</v>
      </c>
      <c r="F75" s="6">
        <v>2710.23</v>
      </c>
      <c r="G75" s="6">
        <v>2710.23</v>
      </c>
      <c r="H75" s="6">
        <v>35534.120000000003</v>
      </c>
      <c r="I75" s="19" t="str">
        <v>Tally</v>
      </c>
      <c r="J75" s="1" t="str">
        <f t="shared" si="3"/>
        <v>Unique</v>
      </c>
      <c r="K75" s="21" t="str">
        <f t="shared" si="4"/>
        <v/>
      </c>
      <c r="L75" s="4" t="str">
        <f>IF(COUNTIFS(A:A,A75,C:C,C75)=2,IF(K75="Mismatch","Value Mismatch","Matched"),IF(I75= "Tally","Missing in GST","Missing in Tally"))</f>
        <v>Missing in GST</v>
      </c>
      <c r="M75" s="6" t="str">
        <f t="shared" si="5"/>
        <v/>
      </c>
    </row>
    <row r="76" spans="1:13" x14ac:dyDescent="0.2">
      <c r="A76" s="1" t="str">
        <v>INV1074</v>
      </c>
      <c r="B76" s="2" t="str">
        <v>25-05-2024</v>
      </c>
      <c r="C76" s="1" t="str">
        <v>07ZXCVB9876M1Z3</v>
      </c>
      <c r="D76" s="4" t="str">
        <v>Gupta Supplies</v>
      </c>
      <c r="E76" s="6">
        <v>42518.48</v>
      </c>
      <c r="F76" s="6">
        <v>3826.66</v>
      </c>
      <c r="G76" s="6">
        <v>3826.66</v>
      </c>
      <c r="H76" s="6">
        <v>50171.8</v>
      </c>
      <c r="I76" s="19" t="str">
        <v>Tally</v>
      </c>
      <c r="J76" s="1" t="str">
        <f t="shared" si="3"/>
        <v>Unique</v>
      </c>
      <c r="K76" s="21" t="str">
        <f t="shared" si="4"/>
        <v>Mismatch</v>
      </c>
      <c r="L76" s="4" t="str">
        <f>IF(COUNTIFS(A:A,A76,C:C,C76)=2,IF(K76="Mismatch","Value Mismatch","Matched"),IF(I76= "Tally","Missing in GST","Missing in Tally"))</f>
        <v>Value Mismatch</v>
      </c>
      <c r="M76" s="6">
        <f t="shared" si="5"/>
        <v>-1862.4100000000035</v>
      </c>
    </row>
    <row r="77" spans="1:13" x14ac:dyDescent="0.2">
      <c r="A77" s="1" t="str">
        <v>INV1075</v>
      </c>
      <c r="B77" s="2" t="str">
        <v>10-05-2024</v>
      </c>
      <c r="C77" s="1" t="str">
        <v>29PQRSX5678L1Z2</v>
      </c>
      <c r="D77" s="4" t="str">
        <v>Kiran Enterprises</v>
      </c>
      <c r="E77" s="6">
        <v>29881.43</v>
      </c>
      <c r="F77" s="6">
        <v>2689.33</v>
      </c>
      <c r="G77" s="6">
        <v>2689.33</v>
      </c>
      <c r="H77" s="6">
        <v>35260.089999999997</v>
      </c>
      <c r="I77" s="19" t="str">
        <v>Tally</v>
      </c>
      <c r="J77" s="1" t="str">
        <f t="shared" si="3"/>
        <v>Unique</v>
      </c>
      <c r="K77" s="21" t="str">
        <f t="shared" si="4"/>
        <v/>
      </c>
      <c r="L77" s="4" t="str">
        <f>IF(COUNTIFS(A:A,A77,C:C,C77)=2,IF(K77="Mismatch","Value Mismatch","Matched"),IF(I77= "Tally","Missing in GST","Missing in Tally"))</f>
        <v>Missing in GST</v>
      </c>
      <c r="M77" s="6" t="str">
        <f t="shared" si="5"/>
        <v/>
      </c>
    </row>
    <row r="78" spans="1:13" x14ac:dyDescent="0.2">
      <c r="A78" s="1" t="str">
        <v>INV1076</v>
      </c>
      <c r="B78" s="2" t="str">
        <v>15-04-2024</v>
      </c>
      <c r="C78" s="1" t="str">
        <v>19ASDFG2468H1Z9</v>
      </c>
      <c r="D78" s="4" t="str">
        <v>Eastern Distributors</v>
      </c>
      <c r="E78" s="6">
        <v>9695.99</v>
      </c>
      <c r="F78" s="6">
        <v>872.64</v>
      </c>
      <c r="G78" s="6">
        <v>872.64</v>
      </c>
      <c r="H78" s="6">
        <v>11441.27</v>
      </c>
      <c r="I78" s="19" t="str">
        <v>Tally</v>
      </c>
      <c r="J78" s="1" t="str">
        <f t="shared" si="3"/>
        <v>Unique</v>
      </c>
      <c r="K78" s="21" t="str">
        <f t="shared" si="4"/>
        <v>Mismatch</v>
      </c>
      <c r="L78" s="4" t="str">
        <f>IF(COUNTIFS(A:A,A78,C:C,C78)=2,IF(K78="Mismatch","Value Mismatch","Matched"),IF(I78= "Tally","Missing in GST","Missing in Tally"))</f>
        <v>Value Mismatch</v>
      </c>
      <c r="M78" s="6">
        <f t="shared" si="5"/>
        <v>33613.479999999996</v>
      </c>
    </row>
    <row r="79" spans="1:13" x14ac:dyDescent="0.2">
      <c r="A79" s="1" t="str">
        <v>INV1077</v>
      </c>
      <c r="B79" s="2" t="str">
        <v>05-06-2024</v>
      </c>
      <c r="C79" s="1" t="str">
        <v>27ABCDE1234F1Z5</v>
      </c>
      <c r="D79" s="4" t="str">
        <v>Sharma Traders</v>
      </c>
      <c r="E79" s="6">
        <v>42333.26</v>
      </c>
      <c r="F79" s="6">
        <v>3809.99</v>
      </c>
      <c r="G79" s="6">
        <v>3809.99</v>
      </c>
      <c r="H79" s="6">
        <v>49953.24</v>
      </c>
      <c r="I79" s="19" t="str">
        <v>Tally</v>
      </c>
      <c r="J79" s="1" t="str">
        <f t="shared" si="3"/>
        <v>Unique</v>
      </c>
      <c r="K79" s="21" t="str">
        <f t="shared" si="4"/>
        <v/>
      </c>
      <c r="L79" s="4" t="str">
        <f>IF(COUNTIFS(A:A,A79,C:C,C79)=2,IF(K79="Mismatch","Value Mismatch","Matched"),IF(I79= "Tally","Missing in GST","Missing in Tally"))</f>
        <v>Missing in GST</v>
      </c>
      <c r="M79" s="6" t="str">
        <f t="shared" si="5"/>
        <v/>
      </c>
    </row>
    <row r="80" spans="1:13" x14ac:dyDescent="0.2">
      <c r="A80" s="1" t="str">
        <v>INV1078</v>
      </c>
      <c r="B80" s="2" t="str">
        <v>15-04-2024</v>
      </c>
      <c r="C80" s="1" t="str">
        <v>27ABCDE1234F1Z5</v>
      </c>
      <c r="D80" s="4" t="str">
        <v>Sharma Traders</v>
      </c>
      <c r="E80" s="6">
        <v>24042.9</v>
      </c>
      <c r="F80" s="6">
        <v>2163.86</v>
      </c>
      <c r="G80" s="6">
        <v>2163.86</v>
      </c>
      <c r="H80" s="6">
        <v>28370.62</v>
      </c>
      <c r="I80" s="19" t="str">
        <v>Tally</v>
      </c>
      <c r="J80" s="1" t="str">
        <f t="shared" si="3"/>
        <v>Unique</v>
      </c>
      <c r="K80" s="21" t="str">
        <f t="shared" si="4"/>
        <v/>
      </c>
      <c r="L80" s="4" t="str">
        <f>IF(COUNTIFS(A:A,A80,C:C,C80)=2,IF(K80="Mismatch","Value Mismatch","Matched"),IF(I80= "Tally","Missing in GST","Missing in Tally"))</f>
        <v>Missing in GST</v>
      </c>
      <c r="M80" s="6" t="str">
        <f t="shared" si="5"/>
        <v/>
      </c>
    </row>
    <row r="81" spans="1:13" x14ac:dyDescent="0.2">
      <c r="A81" s="1" t="str">
        <v>INV1079</v>
      </c>
      <c r="B81" s="2" t="str">
        <v>26-05-2024</v>
      </c>
      <c r="C81" s="1" t="str">
        <v>27ABCDE1234F1Z5</v>
      </c>
      <c r="D81" s="4" t="str">
        <v>Sharma Traders</v>
      </c>
      <c r="E81" s="6">
        <v>1256.1500000000001</v>
      </c>
      <c r="F81" s="6">
        <v>113.05</v>
      </c>
      <c r="G81" s="6">
        <v>113.05</v>
      </c>
      <c r="H81" s="6">
        <v>1482.25</v>
      </c>
      <c r="I81" s="19" t="str">
        <v>Tally</v>
      </c>
      <c r="J81" s="1" t="str">
        <f t="shared" si="3"/>
        <v>Unique</v>
      </c>
      <c r="K81" s="21" t="str">
        <f t="shared" si="4"/>
        <v/>
      </c>
      <c r="L81" s="4" t="str">
        <f>IF(COUNTIFS(A:A,A81,C:C,C81)=2,IF(K81="Mismatch","Value Mismatch","Matched"),IF(I81= "Tally","Missing in GST","Missing in Tally"))</f>
        <v>Missing in GST</v>
      </c>
      <c r="M81" s="6" t="str">
        <f t="shared" si="5"/>
        <v/>
      </c>
    </row>
    <row r="82" spans="1:13" x14ac:dyDescent="0.2">
      <c r="A82" s="1" t="str">
        <v>INV1080</v>
      </c>
      <c r="B82" s="2" t="str">
        <v>29-04-2024</v>
      </c>
      <c r="C82" s="1" t="str">
        <v>07ZXCVB9876M1Z3</v>
      </c>
      <c r="D82" s="4" t="str">
        <v>Gupta Supplies</v>
      </c>
      <c r="E82" s="6">
        <v>23038.61</v>
      </c>
      <c r="F82" s="6">
        <v>2073.4699999999998</v>
      </c>
      <c r="G82" s="6">
        <v>2073.4699999999998</v>
      </c>
      <c r="H82" s="6">
        <v>27185.55</v>
      </c>
      <c r="I82" s="19" t="str">
        <v>Tally</v>
      </c>
      <c r="J82" s="1" t="str">
        <f t="shared" si="3"/>
        <v>Unique</v>
      </c>
      <c r="K82" s="21" t="str">
        <f t="shared" si="4"/>
        <v/>
      </c>
      <c r="L82" s="4" t="str">
        <f>IF(COUNTIFS(A:A,A82,C:C,C82)=2,IF(K82="Mismatch","Value Mismatch","Matched"),IF(I82= "Tally","Missing in GST","Missing in Tally"))</f>
        <v>Missing in GST</v>
      </c>
      <c r="M82" s="6" t="str">
        <f t="shared" si="5"/>
        <v/>
      </c>
    </row>
    <row r="83" spans="1:13" x14ac:dyDescent="0.2">
      <c r="A83" s="1" t="str">
        <v>INV1081</v>
      </c>
      <c r="B83" s="2" t="str">
        <v>20-06-2024</v>
      </c>
      <c r="C83" s="1" t="str">
        <v>24LMNOP4321K1Z7</v>
      </c>
      <c r="D83" s="4" t="str">
        <v>Patel Industries</v>
      </c>
      <c r="E83" s="6">
        <v>29316.880000000001</v>
      </c>
      <c r="F83" s="6">
        <v>2638.52</v>
      </c>
      <c r="G83" s="6">
        <v>2638.52</v>
      </c>
      <c r="H83" s="6">
        <v>34593.919999999998</v>
      </c>
      <c r="I83" s="19" t="str">
        <v>Tally</v>
      </c>
      <c r="J83" s="1" t="str">
        <f t="shared" si="3"/>
        <v>Unique</v>
      </c>
      <c r="K83" s="21" t="str">
        <f t="shared" si="4"/>
        <v>Mismatch</v>
      </c>
      <c r="L83" s="4" t="str">
        <f>IF(COUNTIFS(A:A,A83,C:C,C83)=2,IF(K83="Mismatch","Value Mismatch","Matched"),IF(I83= "Tally","Missing in GST","Missing in Tally"))</f>
        <v>Value Mismatch</v>
      </c>
      <c r="M83" s="6">
        <f t="shared" si="5"/>
        <v>2890.2099999999991</v>
      </c>
    </row>
    <row r="84" spans="1:13" x14ac:dyDescent="0.2">
      <c r="A84" s="1" t="str">
        <v>INV1082</v>
      </c>
      <c r="B84" s="2" t="str">
        <v>06-05-2024</v>
      </c>
      <c r="C84" s="1" t="str">
        <v>24LMNOP4321K1Z7</v>
      </c>
      <c r="D84" s="4" t="str">
        <v>Patel Industries</v>
      </c>
      <c r="E84" s="6">
        <v>44882.64</v>
      </c>
      <c r="F84" s="6">
        <v>4039.44</v>
      </c>
      <c r="G84" s="6">
        <v>4039.44</v>
      </c>
      <c r="H84" s="6">
        <v>52961.52</v>
      </c>
      <c r="I84" s="19" t="str">
        <v>Tally</v>
      </c>
      <c r="J84" s="1" t="str">
        <f t="shared" si="3"/>
        <v>Unique</v>
      </c>
      <c r="K84" s="21" t="str">
        <f t="shared" si="4"/>
        <v/>
      </c>
      <c r="L84" s="4" t="str">
        <f>IF(COUNTIFS(A:A,A84,C:C,C84)=2,IF(K84="Mismatch","Value Mismatch","Matched"),IF(I84= "Tally","Missing in GST","Missing in Tally"))</f>
        <v>Missing in GST</v>
      </c>
      <c r="M84" s="6" t="str">
        <f t="shared" si="5"/>
        <v/>
      </c>
    </row>
    <row r="85" spans="1:13" x14ac:dyDescent="0.2">
      <c r="A85" s="1" t="str">
        <v>INV1083</v>
      </c>
      <c r="B85" s="2" t="str">
        <v>08-06-2024</v>
      </c>
      <c r="C85" s="1" t="str">
        <v>27ABCDE1234F1Z5</v>
      </c>
      <c r="D85" s="4" t="str">
        <v>Sharma Traders</v>
      </c>
      <c r="E85" s="6">
        <v>3670.87</v>
      </c>
      <c r="F85" s="6">
        <v>330.38</v>
      </c>
      <c r="G85" s="6">
        <v>330.38</v>
      </c>
      <c r="H85" s="6">
        <v>4331.63</v>
      </c>
      <c r="I85" s="19" t="str">
        <v>Tally</v>
      </c>
      <c r="J85" s="1" t="str">
        <f t="shared" si="3"/>
        <v>Unique</v>
      </c>
      <c r="K85" s="21" t="str">
        <f t="shared" si="4"/>
        <v/>
      </c>
      <c r="L85" s="4" t="str">
        <f>IF(COUNTIFS(A:A,A85,C:C,C85)=2,IF(K85="Mismatch","Value Mismatch","Matched"),IF(I85= "Tally","Missing in GST","Missing in Tally"))</f>
        <v>Missing in GST</v>
      </c>
      <c r="M85" s="6" t="str">
        <f t="shared" si="5"/>
        <v/>
      </c>
    </row>
    <row r="86" spans="1:13" x14ac:dyDescent="0.2">
      <c r="A86" s="1" t="str">
        <v>INV1084</v>
      </c>
      <c r="B86" s="2" t="str">
        <v>24-04-2024</v>
      </c>
      <c r="C86" s="1" t="str">
        <v>29PQRSX5678L1Z2</v>
      </c>
      <c r="D86" s="4" t="str">
        <v>Kiran Enterprises</v>
      </c>
      <c r="E86" s="6">
        <v>38675.870000000003</v>
      </c>
      <c r="F86" s="6">
        <v>3480.83</v>
      </c>
      <c r="G86" s="6">
        <v>3480.83</v>
      </c>
      <c r="H86" s="6">
        <v>45637.53</v>
      </c>
      <c r="I86" s="19" t="str">
        <v>Tally</v>
      </c>
      <c r="J86" s="1" t="str">
        <f t="shared" si="3"/>
        <v>Unique</v>
      </c>
      <c r="K86" s="21" t="str">
        <f t="shared" si="4"/>
        <v/>
      </c>
      <c r="L86" s="4" t="str">
        <f>IF(COUNTIFS(A:A,A86,C:C,C86)=2,IF(K86="Mismatch","Value Mismatch","Matched"),IF(I86= "Tally","Missing in GST","Missing in Tally"))</f>
        <v>Missing in GST</v>
      </c>
      <c r="M86" s="6" t="str">
        <f t="shared" si="5"/>
        <v/>
      </c>
    </row>
    <row r="87" spans="1:13" x14ac:dyDescent="0.2">
      <c r="A87" s="1" t="str">
        <v>INV1085</v>
      </c>
      <c r="B87" s="2" t="str">
        <v>21-05-2024</v>
      </c>
      <c r="C87" s="1" t="str">
        <v>07ZXCVB9876M1Z3</v>
      </c>
      <c r="D87" s="4" t="str">
        <v>Gupta Supplies</v>
      </c>
      <c r="E87" s="6">
        <v>38816.519999999997</v>
      </c>
      <c r="F87" s="6">
        <v>3493.49</v>
      </c>
      <c r="G87" s="6">
        <v>3493.49</v>
      </c>
      <c r="H87" s="6">
        <v>45803.5</v>
      </c>
      <c r="I87" s="19" t="str">
        <v>Tally</v>
      </c>
      <c r="J87" s="1" t="str">
        <f t="shared" si="3"/>
        <v>Unique</v>
      </c>
      <c r="K87" s="21" t="str">
        <f t="shared" si="4"/>
        <v/>
      </c>
      <c r="L87" s="4" t="str">
        <f>IF(COUNTIFS(A:A,A87,C:C,C87)=2,IF(K87="Mismatch","Value Mismatch","Matched"),IF(I87= "Tally","Missing in GST","Missing in Tally"))</f>
        <v>Missing in GST</v>
      </c>
      <c r="M87" s="6" t="str">
        <f t="shared" si="5"/>
        <v/>
      </c>
    </row>
    <row r="88" spans="1:13" x14ac:dyDescent="0.2">
      <c r="A88" s="1" t="str">
        <v>INV1086</v>
      </c>
      <c r="B88" s="2" t="str">
        <v>24-04-2024</v>
      </c>
      <c r="C88" s="1" t="str">
        <v>07ZXCVB9876M1Z3</v>
      </c>
      <c r="D88" s="4" t="str">
        <v>Gupta Supplies</v>
      </c>
      <c r="E88" s="6">
        <v>26767.42</v>
      </c>
      <c r="F88" s="6">
        <v>2409.0700000000002</v>
      </c>
      <c r="G88" s="6">
        <v>2409.0700000000002</v>
      </c>
      <c r="H88" s="6">
        <v>31585.56</v>
      </c>
      <c r="I88" s="19" t="str">
        <v>Tally</v>
      </c>
      <c r="J88" s="1" t="str">
        <f t="shared" si="3"/>
        <v>Unique</v>
      </c>
      <c r="K88" s="21" t="str">
        <f t="shared" si="4"/>
        <v/>
      </c>
      <c r="L88" s="4" t="str">
        <f>IF(COUNTIFS(A:A,A88,C:C,C88)=2,IF(K88="Mismatch","Value Mismatch","Matched"),IF(I88= "Tally","Missing in GST","Missing in Tally"))</f>
        <v>Missing in GST</v>
      </c>
      <c r="M88" s="6" t="str">
        <f t="shared" si="5"/>
        <v/>
      </c>
    </row>
    <row r="89" spans="1:13" x14ac:dyDescent="0.2">
      <c r="A89" s="1" t="str">
        <v>INV1087</v>
      </c>
      <c r="B89" s="2" t="str">
        <v>08-06-2024</v>
      </c>
      <c r="C89" s="1" t="str">
        <v>27ABCDE1234F1Z5</v>
      </c>
      <c r="D89" s="4" t="str">
        <v>Sharma Traders</v>
      </c>
      <c r="E89" s="6">
        <v>20569.27</v>
      </c>
      <c r="F89" s="6">
        <v>1851.23</v>
      </c>
      <c r="G89" s="6">
        <v>1851.23</v>
      </c>
      <c r="H89" s="6">
        <v>24271.73</v>
      </c>
      <c r="I89" s="19" t="str">
        <v>Tally</v>
      </c>
      <c r="J89" s="1" t="str">
        <f t="shared" si="3"/>
        <v>Unique</v>
      </c>
      <c r="K89" s="21" t="str">
        <f t="shared" si="4"/>
        <v/>
      </c>
      <c r="L89" s="4" t="str">
        <f>IF(COUNTIFS(A:A,A89,C:C,C89)=2,IF(K89="Mismatch","Value Mismatch","Matched"),IF(I89= "Tally","Missing in GST","Missing in Tally"))</f>
        <v>Missing in GST</v>
      </c>
      <c r="M89" s="6" t="str">
        <f t="shared" si="5"/>
        <v/>
      </c>
    </row>
    <row r="90" spans="1:13" x14ac:dyDescent="0.2">
      <c r="A90" s="1" t="str">
        <v>INV1088</v>
      </c>
      <c r="B90" s="2" t="str">
        <v>16-04-2024</v>
      </c>
      <c r="C90" s="1" t="str">
        <v>19ASDFG2468H1Z9</v>
      </c>
      <c r="D90" s="4" t="str">
        <v>Eastern Distributors</v>
      </c>
      <c r="E90" s="6">
        <v>30282.04</v>
      </c>
      <c r="F90" s="6">
        <v>2725.38</v>
      </c>
      <c r="G90" s="6">
        <v>2725.38</v>
      </c>
      <c r="H90" s="6">
        <v>35732.800000000003</v>
      </c>
      <c r="I90" s="19" t="str">
        <v>Tally</v>
      </c>
      <c r="J90" s="1" t="str">
        <f t="shared" si="3"/>
        <v>Unique</v>
      </c>
      <c r="K90" s="21" t="str">
        <f t="shared" si="4"/>
        <v/>
      </c>
      <c r="L90" s="4" t="str">
        <f>IF(COUNTIFS(A:A,A90,C:C,C90)=2,IF(K90="Mismatch","Value Mismatch","Matched"),IF(I90= "Tally","Missing in GST","Missing in Tally"))</f>
        <v>Missing in GST</v>
      </c>
      <c r="M90" s="6" t="str">
        <f t="shared" si="5"/>
        <v/>
      </c>
    </row>
    <row r="91" spans="1:13" x14ac:dyDescent="0.2">
      <c r="A91" s="1" t="str">
        <v>INV1089</v>
      </c>
      <c r="B91" s="2" t="str">
        <v>15-04-2024</v>
      </c>
      <c r="C91" s="1" t="str">
        <v>24LMNOP4321K1Z7</v>
      </c>
      <c r="D91" s="4" t="str">
        <v>Patel Industries</v>
      </c>
      <c r="E91" s="6">
        <v>44678.11</v>
      </c>
      <c r="F91" s="6">
        <v>4021.03</v>
      </c>
      <c r="G91" s="6">
        <v>4021.03</v>
      </c>
      <c r="H91" s="6">
        <v>52720.17</v>
      </c>
      <c r="I91" s="19" t="str">
        <v>Tally</v>
      </c>
      <c r="J91" s="1" t="str">
        <f t="shared" si="3"/>
        <v>Unique</v>
      </c>
      <c r="K91" s="21" t="str">
        <f t="shared" si="4"/>
        <v/>
      </c>
      <c r="L91" s="4" t="str">
        <f>IF(COUNTIFS(A:A,A91,C:C,C91)=2,IF(K91="Mismatch","Value Mismatch","Matched"),IF(I91= "Tally","Missing in GST","Missing in Tally"))</f>
        <v>Missing in GST</v>
      </c>
      <c r="M91" s="6" t="str">
        <f t="shared" si="5"/>
        <v/>
      </c>
    </row>
    <row r="92" spans="1:13" x14ac:dyDescent="0.2">
      <c r="A92" s="1" t="str">
        <v>INV1090</v>
      </c>
      <c r="B92" s="2" t="str">
        <v>07-04-2024</v>
      </c>
      <c r="C92" s="1" t="str">
        <v>29PQRSX5678L1Z2</v>
      </c>
      <c r="D92" s="4" t="str">
        <v>Kiran Enterprises</v>
      </c>
      <c r="E92" s="6">
        <v>13168.6</v>
      </c>
      <c r="F92" s="6">
        <v>1185.17</v>
      </c>
      <c r="G92" s="6">
        <v>1185.17</v>
      </c>
      <c r="H92" s="6">
        <v>15538.94</v>
      </c>
      <c r="I92" s="19" t="str">
        <v>Tally</v>
      </c>
      <c r="J92" s="1" t="str">
        <f t="shared" si="3"/>
        <v>Unique</v>
      </c>
      <c r="K92" s="21" t="str">
        <f t="shared" si="4"/>
        <v/>
      </c>
      <c r="L92" s="4" t="str">
        <f>IF(COUNTIFS(A:A,A92,C:C,C92)=2,IF(K92="Mismatch","Value Mismatch","Matched"),IF(I92= "Tally","Missing in GST","Missing in Tally"))</f>
        <v>Missing in GST</v>
      </c>
      <c r="M92" s="6" t="str">
        <f t="shared" si="5"/>
        <v/>
      </c>
    </row>
    <row r="93" spans="1:13" x14ac:dyDescent="0.2">
      <c r="A93" s="1" t="str">
        <v>INV1091</v>
      </c>
      <c r="B93" s="2" t="str">
        <v>14-05-2024</v>
      </c>
      <c r="C93" s="1" t="str">
        <v>29PQRSX5678L1Z2</v>
      </c>
      <c r="D93" s="4" t="str">
        <v>Kiran Enterprises</v>
      </c>
      <c r="E93" s="6">
        <v>28782.54</v>
      </c>
      <c r="F93" s="6">
        <v>2590.4299999999998</v>
      </c>
      <c r="G93" s="6">
        <v>2590.4299999999998</v>
      </c>
      <c r="H93" s="6">
        <v>33963.4</v>
      </c>
      <c r="I93" s="19" t="str">
        <v>Tally</v>
      </c>
      <c r="J93" s="1" t="str">
        <f t="shared" si="3"/>
        <v>Unique</v>
      </c>
      <c r="K93" s="21" t="str">
        <f t="shared" si="4"/>
        <v>Matched</v>
      </c>
      <c r="L93" s="4" t="str">
        <f>IF(COUNTIFS(A:A,A93,C:C,C93)=2,IF(K93="Mismatch","Value Mismatch","Matched"),IF(I93= "Tally","Missing in GST","Missing in Tally"))</f>
        <v>Matched</v>
      </c>
      <c r="M93" s="6">
        <f t="shared" si="5"/>
        <v>0</v>
      </c>
    </row>
    <row r="94" spans="1:13" x14ac:dyDescent="0.2">
      <c r="A94" s="1" t="str">
        <v>INV1092</v>
      </c>
      <c r="B94" s="2" t="str">
        <v>14-06-2024</v>
      </c>
      <c r="C94" s="1" t="str">
        <v>27ABCDE1234F1Z5</v>
      </c>
      <c r="D94" s="4" t="str">
        <v>Sharma Traders</v>
      </c>
      <c r="E94" s="6">
        <v>30722.12</v>
      </c>
      <c r="F94" s="6">
        <v>2764.99</v>
      </c>
      <c r="G94" s="6">
        <v>2764.99</v>
      </c>
      <c r="H94" s="6">
        <v>36252.1</v>
      </c>
      <c r="I94" s="19" t="str">
        <v>Tally</v>
      </c>
      <c r="J94" s="1" t="str">
        <f t="shared" si="3"/>
        <v>Unique</v>
      </c>
      <c r="K94" s="21" t="str">
        <f t="shared" si="4"/>
        <v/>
      </c>
      <c r="L94" s="4" t="str">
        <f>IF(COUNTIFS(A:A,A94,C:C,C94)=2,IF(K94="Mismatch","Value Mismatch","Matched"),IF(I94= "Tally","Missing in GST","Missing in Tally"))</f>
        <v>Missing in GST</v>
      </c>
      <c r="M94" s="6" t="str">
        <f t="shared" si="5"/>
        <v/>
      </c>
    </row>
    <row r="95" spans="1:13" x14ac:dyDescent="0.2">
      <c r="A95" s="1" t="str">
        <v>INV1093</v>
      </c>
      <c r="B95" s="2" t="str">
        <v>16-05-2024</v>
      </c>
      <c r="C95" s="1" t="str">
        <v>29PQRSX5678L1Z2</v>
      </c>
      <c r="D95" s="4" t="str">
        <v>Kiran Enterprises</v>
      </c>
      <c r="E95" s="6">
        <v>21429.09</v>
      </c>
      <c r="F95" s="6">
        <v>1928.62</v>
      </c>
      <c r="G95" s="6">
        <v>1928.62</v>
      </c>
      <c r="H95" s="6">
        <v>25286.33</v>
      </c>
      <c r="I95" s="19" t="str">
        <v>Tally</v>
      </c>
      <c r="J95" s="1" t="str">
        <f t="shared" si="3"/>
        <v>Unique</v>
      </c>
      <c r="K95" s="21" t="str">
        <f t="shared" si="4"/>
        <v/>
      </c>
      <c r="L95" s="4" t="str">
        <f>IF(COUNTIFS(A:A,A95,C:C,C95)=2,IF(K95="Mismatch","Value Mismatch","Matched"),IF(I95= "Tally","Missing in GST","Missing in Tally"))</f>
        <v>Missing in GST</v>
      </c>
      <c r="M95" s="6" t="str">
        <f t="shared" si="5"/>
        <v/>
      </c>
    </row>
    <row r="96" spans="1:13" x14ac:dyDescent="0.2">
      <c r="A96" s="1" t="str">
        <v>INV1094</v>
      </c>
      <c r="B96" s="2" t="str">
        <v>01-04-2024</v>
      </c>
      <c r="C96" s="1" t="str">
        <v>07ZXCVB9876M1Z3</v>
      </c>
      <c r="D96" s="4" t="str">
        <v>Gupta Supplies</v>
      </c>
      <c r="E96" s="6">
        <v>47423.23</v>
      </c>
      <c r="F96" s="6">
        <v>4268.09</v>
      </c>
      <c r="G96" s="6">
        <v>4268.09</v>
      </c>
      <c r="H96" s="6">
        <v>55959.41</v>
      </c>
      <c r="I96" s="19" t="str">
        <v>Tally</v>
      </c>
      <c r="J96" s="1" t="str">
        <f t="shared" si="3"/>
        <v>Unique</v>
      </c>
      <c r="K96" s="21" t="str">
        <f t="shared" si="4"/>
        <v/>
      </c>
      <c r="L96" s="4" t="str">
        <f>IF(COUNTIFS(A:A,A96,C:C,C96)=2,IF(K96="Mismatch","Value Mismatch","Matched"),IF(I96= "Tally","Missing in GST","Missing in Tally"))</f>
        <v>Missing in GST</v>
      </c>
      <c r="M96" s="6" t="str">
        <f t="shared" si="5"/>
        <v/>
      </c>
    </row>
    <row r="97" spans="1:13" x14ac:dyDescent="0.2">
      <c r="A97" s="1" t="str">
        <v>INV1095</v>
      </c>
      <c r="B97" s="2" t="str">
        <v>26-06-2024</v>
      </c>
      <c r="C97" s="1" t="str">
        <v>29PQRSX5678L1Z2</v>
      </c>
      <c r="D97" s="4" t="str">
        <v>Kiran Enterprises</v>
      </c>
      <c r="E97" s="6">
        <v>7177.44</v>
      </c>
      <c r="F97" s="6">
        <v>645.97</v>
      </c>
      <c r="G97" s="6">
        <v>645.97</v>
      </c>
      <c r="H97" s="6">
        <v>8469.3799999999992</v>
      </c>
      <c r="I97" s="19" t="str">
        <v>Tally</v>
      </c>
      <c r="J97" s="1" t="str">
        <f t="shared" si="3"/>
        <v>Unique</v>
      </c>
      <c r="K97" s="21" t="str">
        <f t="shared" si="4"/>
        <v>Matched</v>
      </c>
      <c r="L97" s="4" t="str">
        <f>IF(COUNTIFS(A:A,A97,C:C,C97)=2,IF(K97="Mismatch","Value Mismatch","Matched"),IF(I97= "Tally","Missing in GST","Missing in Tally"))</f>
        <v>Matched</v>
      </c>
      <c r="M97" s="6">
        <f t="shared" si="5"/>
        <v>0</v>
      </c>
    </row>
    <row r="98" spans="1:13" x14ac:dyDescent="0.2">
      <c r="A98" s="1" t="str">
        <v>INV1096</v>
      </c>
      <c r="B98" s="2" t="str">
        <v>27-06-2024</v>
      </c>
      <c r="C98" s="1" t="str">
        <v>19ASDFG2468H1Z9</v>
      </c>
      <c r="D98" s="4" t="str">
        <v>Eastern Distributors</v>
      </c>
      <c r="E98" s="6">
        <v>13381.51</v>
      </c>
      <c r="F98" s="6">
        <v>1204.3399999999999</v>
      </c>
      <c r="G98" s="6">
        <v>1204.3399999999999</v>
      </c>
      <c r="H98" s="6">
        <v>15790.19</v>
      </c>
      <c r="I98" s="19" t="str">
        <v>Tally</v>
      </c>
      <c r="J98" s="1" t="str">
        <f t="shared" si="3"/>
        <v>Unique</v>
      </c>
      <c r="K98" s="21" t="str">
        <f t="shared" si="4"/>
        <v/>
      </c>
      <c r="L98" s="4" t="str">
        <f>IF(COUNTIFS(A:A,A98,C:C,C98)=2,IF(K98="Mismatch","Value Mismatch","Matched"),IF(I98= "Tally","Missing in GST","Missing in Tally"))</f>
        <v>Missing in GST</v>
      </c>
      <c r="M98" s="6" t="str">
        <f t="shared" si="5"/>
        <v/>
      </c>
    </row>
    <row r="99" spans="1:13" x14ac:dyDescent="0.2">
      <c r="A99" s="1" t="str">
        <v>INV1097</v>
      </c>
      <c r="B99" s="2" t="str">
        <v>20-06-2024</v>
      </c>
      <c r="C99" s="1" t="str">
        <v>24LMNOP4321K1Z7</v>
      </c>
      <c r="D99" s="4" t="str">
        <v>Patel Industries</v>
      </c>
      <c r="E99" s="6">
        <v>4577.5</v>
      </c>
      <c r="F99" s="6">
        <v>411.97</v>
      </c>
      <c r="G99" s="6">
        <v>411.97</v>
      </c>
      <c r="H99" s="6">
        <v>5401.44</v>
      </c>
      <c r="I99" s="19" t="str">
        <v>Tally</v>
      </c>
      <c r="J99" s="1" t="str">
        <f t="shared" si="3"/>
        <v>Unique</v>
      </c>
      <c r="K99" s="21" t="str">
        <f t="shared" si="4"/>
        <v>Mismatch</v>
      </c>
      <c r="L99" s="4" t="str">
        <f>IF(COUNTIFS(A:A,A99,C:C,C99)=2,IF(K99="Mismatch","Value Mismatch","Matched"),IF(I99= "Tally","Missing in GST","Missing in Tally"))</f>
        <v>Value Mismatch</v>
      </c>
      <c r="M99" s="6">
        <f t="shared" si="5"/>
        <v>17079.150000000001</v>
      </c>
    </row>
    <row r="100" spans="1:13" x14ac:dyDescent="0.2">
      <c r="A100" s="1" t="str">
        <v>INV1098</v>
      </c>
      <c r="B100" s="2" t="str">
        <v>03-04-2024</v>
      </c>
      <c r="C100" s="1" t="str">
        <v>24LMNOP4321K1Z7</v>
      </c>
      <c r="D100" s="4" t="str">
        <v>Patel Industries</v>
      </c>
      <c r="E100" s="6">
        <v>9316.02</v>
      </c>
      <c r="F100" s="6">
        <v>838.44</v>
      </c>
      <c r="G100" s="6">
        <v>838.44</v>
      </c>
      <c r="H100" s="6">
        <v>10992.9</v>
      </c>
      <c r="I100" s="19" t="str">
        <v>Tally</v>
      </c>
      <c r="J100" s="1" t="str">
        <f t="shared" si="3"/>
        <v>Unique</v>
      </c>
      <c r="K100" s="21" t="str">
        <f t="shared" si="4"/>
        <v/>
      </c>
      <c r="L100" s="4" t="str">
        <f>IF(COUNTIFS(A:A,A100,C:C,C100)=2,IF(K100="Mismatch","Value Mismatch","Matched"),IF(I100= "Tally","Missing in GST","Missing in Tally"))</f>
        <v>Missing in GST</v>
      </c>
      <c r="M100" s="6" t="str">
        <f t="shared" si="5"/>
        <v/>
      </c>
    </row>
    <row r="101" spans="1:13" x14ac:dyDescent="0.2">
      <c r="A101" s="1" t="str">
        <v>INV1099</v>
      </c>
      <c r="B101" s="2" t="str">
        <v>15-04-2024</v>
      </c>
      <c r="C101" s="1" t="str">
        <v>29PQRSX5678L1Z2</v>
      </c>
      <c r="D101" s="4" t="str">
        <v>Kiran Enterprises</v>
      </c>
      <c r="E101" s="6">
        <v>34772.1</v>
      </c>
      <c r="F101" s="6">
        <v>3129.49</v>
      </c>
      <c r="G101" s="6">
        <v>3129.49</v>
      </c>
      <c r="H101" s="6">
        <v>41031.08</v>
      </c>
      <c r="I101" s="19" t="str">
        <v>Tally</v>
      </c>
      <c r="J101" s="1" t="str">
        <f t="shared" si="3"/>
        <v>Unique</v>
      </c>
      <c r="K101" s="21" t="str">
        <f t="shared" si="4"/>
        <v/>
      </c>
      <c r="L101" s="4" t="str">
        <f>IF(COUNTIFS(A:A,A101,C:C,C101)=2,IF(K101="Mismatch","Value Mismatch","Matched"),IF(I101= "Tally","Missing in GST","Missing in Tally"))</f>
        <v>Missing in GST</v>
      </c>
      <c r="M101" s="6" t="str">
        <f t="shared" si="5"/>
        <v/>
      </c>
    </row>
    <row r="102" spans="1:13" x14ac:dyDescent="0.2">
      <c r="A102" s="1" t="str">
        <v>INV1100</v>
      </c>
      <c r="B102" s="2" t="str">
        <v>25-06-2024</v>
      </c>
      <c r="C102" s="1" t="str">
        <v>07ZXCVB9876M1Z3</v>
      </c>
      <c r="D102" s="4" t="str">
        <v>Gupta Supplies</v>
      </c>
      <c r="E102" s="6">
        <v>48040.3</v>
      </c>
      <c r="F102" s="6">
        <v>4323.63</v>
      </c>
      <c r="G102" s="6">
        <v>4323.63</v>
      </c>
      <c r="H102" s="6">
        <v>56687.56</v>
      </c>
      <c r="I102" s="19" t="str">
        <v>Tally</v>
      </c>
      <c r="J102" s="1" t="str">
        <f t="shared" si="3"/>
        <v>Unique</v>
      </c>
      <c r="K102" s="21" t="str">
        <f t="shared" si="4"/>
        <v/>
      </c>
      <c r="L102" s="4" t="str">
        <f>IF(COUNTIFS(A:A,A102,C:C,C102)=2,IF(K102="Mismatch","Value Mismatch","Matched"),IF(I102= "Tally","Missing in GST","Missing in Tally"))</f>
        <v>Missing in GST</v>
      </c>
      <c r="M102" s="6" t="str">
        <f t="shared" si="5"/>
        <v/>
      </c>
    </row>
    <row r="103" spans="1:13" x14ac:dyDescent="0.2">
      <c r="A103" s="1" t="str">
        <v>INV1101</v>
      </c>
      <c r="B103" s="2" t="str">
        <v>24-06-2024</v>
      </c>
      <c r="C103" s="1" t="str">
        <v>29PQRSX5678L1Z2</v>
      </c>
      <c r="D103" s="4" t="str">
        <v>Kiran Enterprises</v>
      </c>
      <c r="E103" s="6">
        <v>17782.43</v>
      </c>
      <c r="F103" s="6">
        <v>1600.42</v>
      </c>
      <c r="G103" s="6">
        <v>1600.42</v>
      </c>
      <c r="H103" s="6">
        <v>20983.27</v>
      </c>
      <c r="I103" s="19" t="str">
        <v>Tally</v>
      </c>
      <c r="J103" s="1" t="str">
        <f t="shared" si="3"/>
        <v>Unique</v>
      </c>
      <c r="K103" s="21" t="str">
        <f t="shared" si="4"/>
        <v/>
      </c>
      <c r="L103" s="4" t="str">
        <f>IF(COUNTIFS(A:A,A103,C:C,C103)=2,IF(K103="Mismatch","Value Mismatch","Matched"),IF(I103= "Tally","Missing in GST","Missing in Tally"))</f>
        <v>Missing in GST</v>
      </c>
      <c r="M103" s="6" t="str">
        <f t="shared" si="5"/>
        <v/>
      </c>
    </row>
    <row r="104" spans="1:13" x14ac:dyDescent="0.2">
      <c r="A104" s="1" t="str">
        <v>INV1102</v>
      </c>
      <c r="B104" s="2" t="str">
        <v>28-05-2024</v>
      </c>
      <c r="C104" s="1" t="str">
        <v>19ASDFG2468H1Z9</v>
      </c>
      <c r="D104" s="4" t="str">
        <v>Eastern Distributors</v>
      </c>
      <c r="E104" s="6">
        <v>16896.13</v>
      </c>
      <c r="F104" s="6">
        <v>1520.65</v>
      </c>
      <c r="G104" s="6">
        <v>1520.65</v>
      </c>
      <c r="H104" s="6">
        <v>19937.43</v>
      </c>
      <c r="I104" s="19" t="str">
        <v>Tally</v>
      </c>
      <c r="J104" s="1" t="str">
        <f t="shared" si="3"/>
        <v>Unique</v>
      </c>
      <c r="K104" s="21" t="str">
        <f t="shared" si="4"/>
        <v/>
      </c>
      <c r="L104" s="4" t="str">
        <f>IF(COUNTIFS(A:A,A104,C:C,C104)=2,IF(K104="Mismatch","Value Mismatch","Matched"),IF(I104= "Tally","Missing in GST","Missing in Tally"))</f>
        <v>Missing in GST</v>
      </c>
      <c r="M104" s="6" t="str">
        <f t="shared" si="5"/>
        <v/>
      </c>
    </row>
    <row r="105" spans="1:13" x14ac:dyDescent="0.2">
      <c r="A105" s="1" t="str">
        <v>INV1103</v>
      </c>
      <c r="B105" s="2" t="str">
        <v>10-04-2024</v>
      </c>
      <c r="C105" s="1" t="str">
        <v>24LMNOP4321K1Z7</v>
      </c>
      <c r="D105" s="4" t="str">
        <v>Patel Industries</v>
      </c>
      <c r="E105" s="6">
        <v>47058.239999999998</v>
      </c>
      <c r="F105" s="6">
        <v>4235.24</v>
      </c>
      <c r="G105" s="6">
        <v>4235.24</v>
      </c>
      <c r="H105" s="6">
        <v>55528.72</v>
      </c>
      <c r="I105" s="19" t="str">
        <v>Tally</v>
      </c>
      <c r="J105" s="1" t="str">
        <f t="shared" si="3"/>
        <v>Unique</v>
      </c>
      <c r="K105" s="21" t="str">
        <f t="shared" si="4"/>
        <v/>
      </c>
      <c r="L105" s="4" t="str">
        <f>IF(COUNTIFS(A:A,A105,C:C,C105)=2,IF(K105="Mismatch","Value Mismatch","Matched"),IF(I105= "Tally","Missing in GST","Missing in Tally"))</f>
        <v>Missing in GST</v>
      </c>
      <c r="M105" s="6" t="str">
        <f t="shared" si="5"/>
        <v/>
      </c>
    </row>
    <row r="106" spans="1:13" x14ac:dyDescent="0.2">
      <c r="A106" s="1" t="str">
        <v>INV1104</v>
      </c>
      <c r="B106" s="2" t="str">
        <v>11-06-2024</v>
      </c>
      <c r="C106" s="1" t="str">
        <v>24LMNOP4321K1Z7</v>
      </c>
      <c r="D106" s="4" t="str">
        <v>Patel Industries</v>
      </c>
      <c r="E106" s="6">
        <v>3049.25</v>
      </c>
      <c r="F106" s="6">
        <v>274.43</v>
      </c>
      <c r="G106" s="6">
        <v>274.43</v>
      </c>
      <c r="H106" s="6">
        <v>3598.11</v>
      </c>
      <c r="I106" s="19" t="str">
        <v>Tally</v>
      </c>
      <c r="J106" s="1" t="str">
        <f t="shared" si="3"/>
        <v>Unique</v>
      </c>
      <c r="K106" s="21" t="str">
        <f t="shared" si="4"/>
        <v/>
      </c>
      <c r="L106" s="4" t="str">
        <f>IF(COUNTIFS(A:A,A106,C:C,C106)=2,IF(K106="Mismatch","Value Mismatch","Matched"),IF(I106= "Tally","Missing in GST","Missing in Tally"))</f>
        <v>Missing in GST</v>
      </c>
      <c r="M106" s="6" t="str">
        <f t="shared" si="5"/>
        <v/>
      </c>
    </row>
    <row r="107" spans="1:13" x14ac:dyDescent="0.2">
      <c r="A107" s="1" t="str">
        <v>INV1105</v>
      </c>
      <c r="B107" s="2" t="str">
        <v>12-05-2024</v>
      </c>
      <c r="C107" s="1" t="str">
        <v>07ZXCVB9876M1Z3</v>
      </c>
      <c r="D107" s="4" t="str">
        <v>Gupta Supplies</v>
      </c>
      <c r="E107" s="6">
        <v>24144.29</v>
      </c>
      <c r="F107" s="6">
        <v>2172.9899999999998</v>
      </c>
      <c r="G107" s="6">
        <v>2172.9899999999998</v>
      </c>
      <c r="H107" s="6">
        <v>28490.27</v>
      </c>
      <c r="I107" s="19" t="str">
        <v>Tally</v>
      </c>
      <c r="J107" s="1" t="str">
        <f t="shared" si="3"/>
        <v>Unique</v>
      </c>
      <c r="K107" s="21" t="str">
        <f t="shared" si="4"/>
        <v/>
      </c>
      <c r="L107" s="4" t="str">
        <f>IF(COUNTIFS(A:A,A107,C:C,C107)=2,IF(K107="Mismatch","Value Mismatch","Matched"),IF(I107= "Tally","Missing in GST","Missing in Tally"))</f>
        <v>Missing in GST</v>
      </c>
      <c r="M107" s="6" t="str">
        <f t="shared" si="5"/>
        <v/>
      </c>
    </row>
    <row r="108" spans="1:13" x14ac:dyDescent="0.2">
      <c r="A108" s="1" t="str">
        <v>INV1106</v>
      </c>
      <c r="B108" s="2" t="str">
        <v>27-05-2024</v>
      </c>
      <c r="C108" s="1" t="str">
        <v>19ASDFG2468H1Z9</v>
      </c>
      <c r="D108" s="4" t="str">
        <v>Eastern Distributors</v>
      </c>
      <c r="E108" s="6">
        <v>49107.12</v>
      </c>
      <c r="F108" s="6">
        <v>4419.6400000000003</v>
      </c>
      <c r="G108" s="6">
        <v>4419.6400000000003</v>
      </c>
      <c r="H108" s="6">
        <v>57946.400000000001</v>
      </c>
      <c r="I108" s="19" t="str">
        <v>Tally</v>
      </c>
      <c r="J108" s="1" t="str">
        <f t="shared" si="3"/>
        <v>Unique</v>
      </c>
      <c r="K108" s="21" t="str">
        <f t="shared" si="4"/>
        <v>Matched</v>
      </c>
      <c r="L108" s="4" t="str">
        <f>IF(COUNTIFS(A:A,A108,C:C,C108)=2,IF(K108="Mismatch","Value Mismatch","Matched"),IF(I108= "Tally","Missing in GST","Missing in Tally"))</f>
        <v>Matched</v>
      </c>
      <c r="M108" s="6">
        <f t="shared" si="5"/>
        <v>0</v>
      </c>
    </row>
    <row r="109" spans="1:13" x14ac:dyDescent="0.2">
      <c r="A109" s="1" t="str">
        <v>INV1107</v>
      </c>
      <c r="B109" s="2" t="str">
        <v>12-06-2024</v>
      </c>
      <c r="C109" s="1" t="str">
        <v>19ASDFG2468H1Z9</v>
      </c>
      <c r="D109" s="4" t="str">
        <v>Eastern Distributors</v>
      </c>
      <c r="E109" s="6">
        <v>13242.61</v>
      </c>
      <c r="F109" s="6">
        <v>1191.83</v>
      </c>
      <c r="G109" s="6">
        <v>1191.83</v>
      </c>
      <c r="H109" s="6">
        <v>15626.27</v>
      </c>
      <c r="I109" s="19" t="str">
        <v>Tally</v>
      </c>
      <c r="J109" s="1" t="str">
        <f t="shared" si="3"/>
        <v>Unique</v>
      </c>
      <c r="K109" s="21" t="str">
        <f t="shared" si="4"/>
        <v>Matched</v>
      </c>
      <c r="L109" s="4" t="str">
        <f>IF(COUNTIFS(A:A,A109,C:C,C109)=2,IF(K109="Mismatch","Value Mismatch","Matched"),IF(I109= "Tally","Missing in GST","Missing in Tally"))</f>
        <v>Matched</v>
      </c>
      <c r="M109" s="6">
        <f t="shared" si="5"/>
        <v>0</v>
      </c>
    </row>
    <row r="110" spans="1:13" x14ac:dyDescent="0.2">
      <c r="A110" s="1" t="str">
        <v>INV1108</v>
      </c>
      <c r="B110" s="2" t="str">
        <v>03-05-2024</v>
      </c>
      <c r="C110" s="1" t="str">
        <v>19ASDFG2468H1Z9</v>
      </c>
      <c r="D110" s="4" t="str">
        <v>Eastern Distributors</v>
      </c>
      <c r="E110" s="6">
        <v>45305.05</v>
      </c>
      <c r="F110" s="6">
        <v>4077.45</v>
      </c>
      <c r="G110" s="6">
        <v>4077.45</v>
      </c>
      <c r="H110" s="6">
        <v>53459.95</v>
      </c>
      <c r="I110" s="19" t="str">
        <v>Tally</v>
      </c>
      <c r="J110" s="1" t="str">
        <f t="shared" si="3"/>
        <v>Unique</v>
      </c>
      <c r="K110" s="21" t="str">
        <f t="shared" si="4"/>
        <v/>
      </c>
      <c r="L110" s="4" t="str">
        <f>IF(COUNTIFS(A:A,A110,C:C,C110)=2,IF(K110="Mismatch","Value Mismatch","Matched"),IF(I110= "Tally","Missing in GST","Missing in Tally"))</f>
        <v>Missing in GST</v>
      </c>
      <c r="M110" s="6" t="str">
        <f t="shared" si="5"/>
        <v/>
      </c>
    </row>
    <row r="111" spans="1:13" x14ac:dyDescent="0.2">
      <c r="A111" s="1" t="str">
        <v>INV1109</v>
      </c>
      <c r="B111" s="2" t="str">
        <v>19-05-2024</v>
      </c>
      <c r="C111" s="1" t="str">
        <v>27ABCDE1234F1Z5</v>
      </c>
      <c r="D111" s="4" t="str">
        <v>Sharma Traders</v>
      </c>
      <c r="E111" s="6">
        <v>14180.68</v>
      </c>
      <c r="F111" s="6">
        <v>1276.26</v>
      </c>
      <c r="G111" s="6">
        <v>1276.26</v>
      </c>
      <c r="H111" s="6">
        <v>16733.2</v>
      </c>
      <c r="I111" s="19" t="str">
        <v>Tally</v>
      </c>
      <c r="J111" s="1" t="str">
        <f t="shared" si="3"/>
        <v>Unique</v>
      </c>
      <c r="K111" s="21" t="str">
        <f t="shared" si="4"/>
        <v/>
      </c>
      <c r="L111" s="4" t="str">
        <f>IF(COUNTIFS(A:A,A111,C:C,C111)=2,IF(K111="Mismatch","Value Mismatch","Matched"),IF(I111= "Tally","Missing in GST","Missing in Tally"))</f>
        <v>Missing in GST</v>
      </c>
      <c r="M111" s="6" t="str">
        <f t="shared" si="5"/>
        <v/>
      </c>
    </row>
    <row r="112" spans="1:13" x14ac:dyDescent="0.2">
      <c r="A112" s="1" t="str">
        <v>INV1110</v>
      </c>
      <c r="B112" s="2" t="str">
        <v>07-04-2024</v>
      </c>
      <c r="C112" s="1" t="str">
        <v>27ABCDE1234F1Z5</v>
      </c>
      <c r="D112" s="4" t="str">
        <v>Sharma Traders</v>
      </c>
      <c r="E112" s="6">
        <v>17817.560000000001</v>
      </c>
      <c r="F112" s="6">
        <v>1603.58</v>
      </c>
      <c r="G112" s="6">
        <v>1603.58</v>
      </c>
      <c r="H112" s="6">
        <v>21024.720000000001</v>
      </c>
      <c r="I112" s="19" t="str">
        <v>Tally</v>
      </c>
      <c r="J112" s="1" t="str">
        <f t="shared" si="3"/>
        <v>Unique</v>
      </c>
      <c r="K112" s="21" t="str">
        <f t="shared" si="4"/>
        <v/>
      </c>
      <c r="L112" s="4" t="str">
        <f>IF(COUNTIFS(A:A,A112,C:C,C112)=2,IF(K112="Mismatch","Value Mismatch","Matched"),IF(I112= "Tally","Missing in GST","Missing in Tally"))</f>
        <v>Missing in GST</v>
      </c>
      <c r="M112" s="6" t="str">
        <f t="shared" si="5"/>
        <v/>
      </c>
    </row>
    <row r="113" spans="1:13" x14ac:dyDescent="0.2">
      <c r="A113" s="1" t="str">
        <v>INV1111</v>
      </c>
      <c r="B113" s="2" t="str">
        <v>10-04-2024</v>
      </c>
      <c r="C113" s="1" t="str">
        <v>29PQRSX5678L1Z2</v>
      </c>
      <c r="D113" s="4" t="str">
        <v>Kiran Enterprises</v>
      </c>
      <c r="E113" s="6">
        <v>8614.41</v>
      </c>
      <c r="F113" s="6">
        <v>775.3</v>
      </c>
      <c r="G113" s="6">
        <v>775.3</v>
      </c>
      <c r="H113" s="6">
        <v>10165.01</v>
      </c>
      <c r="I113" s="19" t="str">
        <v>Tally</v>
      </c>
      <c r="J113" s="1" t="str">
        <f t="shared" si="3"/>
        <v>Unique</v>
      </c>
      <c r="K113" s="21" t="str">
        <f t="shared" si="4"/>
        <v/>
      </c>
      <c r="L113" s="4" t="str">
        <f>IF(COUNTIFS(A:A,A113,C:C,C113)=2,IF(K113="Mismatch","Value Mismatch","Matched"),IF(I113= "Tally","Missing in GST","Missing in Tally"))</f>
        <v>Missing in GST</v>
      </c>
      <c r="M113" s="6" t="str">
        <f t="shared" si="5"/>
        <v/>
      </c>
    </row>
    <row r="114" spans="1:13" x14ac:dyDescent="0.2">
      <c r="A114" s="1" t="str">
        <v>INV1112</v>
      </c>
      <c r="B114" s="2" t="str">
        <v>24-06-2024</v>
      </c>
      <c r="C114" s="1" t="str">
        <v>27ABCDE1234F1Z5</v>
      </c>
      <c r="D114" s="4" t="str">
        <v>Sharma Traders</v>
      </c>
      <c r="E114" s="6">
        <v>4767.2700000000004</v>
      </c>
      <c r="F114" s="6">
        <v>429.05</v>
      </c>
      <c r="G114" s="6">
        <v>429.05</v>
      </c>
      <c r="H114" s="6">
        <v>5625.37</v>
      </c>
      <c r="I114" s="19" t="str">
        <v>Tally</v>
      </c>
      <c r="J114" s="1" t="str">
        <f t="shared" si="3"/>
        <v>Unique</v>
      </c>
      <c r="K114" s="21" t="str">
        <f t="shared" si="4"/>
        <v/>
      </c>
      <c r="L114" s="4" t="str">
        <f>IF(COUNTIFS(A:A,A114,C:C,C114)=2,IF(K114="Mismatch","Value Mismatch","Matched"),IF(I114= "Tally","Missing in GST","Missing in Tally"))</f>
        <v>Missing in GST</v>
      </c>
      <c r="M114" s="6" t="str">
        <f t="shared" si="5"/>
        <v/>
      </c>
    </row>
    <row r="115" spans="1:13" x14ac:dyDescent="0.2">
      <c r="A115" s="1" t="str">
        <v>INV1113</v>
      </c>
      <c r="B115" s="2" t="str">
        <v>15-05-2024</v>
      </c>
      <c r="C115" s="1" t="str">
        <v>29PQRSX5678L1Z2</v>
      </c>
      <c r="D115" s="4" t="str">
        <v>Kiran Enterprises</v>
      </c>
      <c r="E115" s="6">
        <v>12689.1</v>
      </c>
      <c r="F115" s="6">
        <v>1142.02</v>
      </c>
      <c r="G115" s="6">
        <v>1142.02</v>
      </c>
      <c r="H115" s="6">
        <v>14973.14</v>
      </c>
      <c r="I115" s="19" t="str">
        <v>Tally</v>
      </c>
      <c r="J115" s="1" t="str">
        <f t="shared" si="3"/>
        <v>Unique</v>
      </c>
      <c r="K115" s="21" t="str">
        <f t="shared" si="4"/>
        <v/>
      </c>
      <c r="L115" s="4" t="str">
        <f>IF(COUNTIFS(A:A,A115,C:C,C115)=2,IF(K115="Mismatch","Value Mismatch","Matched"),IF(I115= "Tally","Missing in GST","Missing in Tally"))</f>
        <v>Missing in GST</v>
      </c>
      <c r="M115" s="6" t="str">
        <f t="shared" si="5"/>
        <v/>
      </c>
    </row>
    <row r="116" spans="1:13" x14ac:dyDescent="0.2">
      <c r="A116" s="1" t="str">
        <v>INV1114</v>
      </c>
      <c r="B116" s="2" t="str">
        <v>28-06-2024</v>
      </c>
      <c r="C116" s="1" t="str">
        <v>24LMNOP4321K1Z7</v>
      </c>
      <c r="D116" s="4" t="str">
        <v>Patel Industries</v>
      </c>
      <c r="E116" s="6">
        <v>5592.5</v>
      </c>
      <c r="F116" s="6">
        <v>503.32</v>
      </c>
      <c r="G116" s="6">
        <v>503.32</v>
      </c>
      <c r="H116" s="6">
        <v>6599.14</v>
      </c>
      <c r="I116" s="19" t="str">
        <v>Tally</v>
      </c>
      <c r="J116" s="1" t="str">
        <f t="shared" si="3"/>
        <v>Unique</v>
      </c>
      <c r="K116" s="21" t="str">
        <f t="shared" si="4"/>
        <v/>
      </c>
      <c r="L116" s="4" t="str">
        <f>IF(COUNTIFS(A:A,A116,C:C,C116)=2,IF(K116="Mismatch","Value Mismatch","Matched"),IF(I116= "Tally","Missing in GST","Missing in Tally"))</f>
        <v>Missing in GST</v>
      </c>
      <c r="M116" s="6" t="str">
        <f t="shared" si="5"/>
        <v/>
      </c>
    </row>
    <row r="117" spans="1:13" x14ac:dyDescent="0.2">
      <c r="A117" s="1" t="str">
        <v>INV1115</v>
      </c>
      <c r="B117" s="2" t="str">
        <v>25-06-2024</v>
      </c>
      <c r="C117" s="1" t="str">
        <v>29PQRSX5678L1Z2</v>
      </c>
      <c r="D117" s="4" t="str">
        <v>Kiran Enterprises</v>
      </c>
      <c r="E117" s="6">
        <v>30673.94</v>
      </c>
      <c r="F117" s="6">
        <v>2760.65</v>
      </c>
      <c r="G117" s="6">
        <v>2760.65</v>
      </c>
      <c r="H117" s="6">
        <v>36195.24</v>
      </c>
      <c r="I117" s="19" t="str">
        <v>Tally</v>
      </c>
      <c r="J117" s="1" t="str">
        <f t="shared" si="3"/>
        <v>Unique</v>
      </c>
      <c r="K117" s="21" t="str">
        <f t="shared" si="4"/>
        <v/>
      </c>
      <c r="L117" s="4" t="str">
        <f>IF(COUNTIFS(A:A,A117,C:C,C117)=2,IF(K117="Mismatch","Value Mismatch","Matched"),IF(I117= "Tally","Missing in GST","Missing in Tally"))</f>
        <v>Missing in GST</v>
      </c>
      <c r="M117" s="6" t="str">
        <f t="shared" si="5"/>
        <v/>
      </c>
    </row>
    <row r="118" spans="1:13" x14ac:dyDescent="0.2">
      <c r="A118" s="1" t="str">
        <v>INV1116</v>
      </c>
      <c r="B118" s="2" t="str">
        <v>24-04-2024</v>
      </c>
      <c r="C118" s="1" t="str">
        <v>19ASDFG2468H1Z9</v>
      </c>
      <c r="D118" s="4" t="str">
        <v>Eastern Distributors</v>
      </c>
      <c r="E118" s="6">
        <v>38301.43</v>
      </c>
      <c r="F118" s="6">
        <v>3447.13</v>
      </c>
      <c r="G118" s="6">
        <v>3447.13</v>
      </c>
      <c r="H118" s="6">
        <v>45195.69</v>
      </c>
      <c r="I118" s="19" t="str">
        <v>Tally</v>
      </c>
      <c r="J118" s="1" t="str">
        <f t="shared" si="3"/>
        <v>Unique</v>
      </c>
      <c r="K118" s="21" t="str">
        <f t="shared" si="4"/>
        <v/>
      </c>
      <c r="L118" s="4" t="str">
        <f>IF(COUNTIFS(A:A,A118,C:C,C118)=2,IF(K118="Mismatch","Value Mismatch","Matched"),IF(I118= "Tally","Missing in GST","Missing in Tally"))</f>
        <v>Missing in GST</v>
      </c>
      <c r="M118" s="6" t="str">
        <f t="shared" si="5"/>
        <v/>
      </c>
    </row>
    <row r="119" spans="1:13" x14ac:dyDescent="0.2">
      <c r="A119" s="1" t="str">
        <v>INV1117</v>
      </c>
      <c r="B119" s="2" t="str">
        <v>13-05-2024</v>
      </c>
      <c r="C119" s="1" t="str">
        <v>19ASDFG2468H1Z9</v>
      </c>
      <c r="D119" s="4" t="str">
        <v>Eastern Distributors</v>
      </c>
      <c r="E119" s="6">
        <v>34201.910000000003</v>
      </c>
      <c r="F119" s="6">
        <v>3078.17</v>
      </c>
      <c r="G119" s="6">
        <v>3078.17</v>
      </c>
      <c r="H119" s="6">
        <v>40358.25</v>
      </c>
      <c r="I119" s="19" t="str">
        <v>Tally</v>
      </c>
      <c r="J119" s="1" t="str">
        <f t="shared" si="3"/>
        <v>Unique</v>
      </c>
      <c r="K119" s="21" t="str">
        <f t="shared" si="4"/>
        <v/>
      </c>
      <c r="L119" s="4" t="str">
        <f>IF(COUNTIFS(A:A,A119,C:C,C119)=2,IF(K119="Mismatch","Value Mismatch","Matched"),IF(I119= "Tally","Missing in GST","Missing in Tally"))</f>
        <v>Missing in GST</v>
      </c>
      <c r="M119" s="6" t="str">
        <f t="shared" si="5"/>
        <v/>
      </c>
    </row>
    <row r="120" spans="1:13" x14ac:dyDescent="0.2">
      <c r="A120" s="1" t="str">
        <v>INV1118</v>
      </c>
      <c r="B120" s="2" t="str">
        <v>16-04-2024</v>
      </c>
      <c r="C120" s="1" t="str">
        <v>29PQRSX5678L1Z2</v>
      </c>
      <c r="D120" s="4" t="str">
        <v>Kiran Enterprises</v>
      </c>
      <c r="E120" s="6">
        <v>10214.33</v>
      </c>
      <c r="F120" s="6">
        <v>919.29</v>
      </c>
      <c r="G120" s="6">
        <v>919.29</v>
      </c>
      <c r="H120" s="6">
        <v>12052.91</v>
      </c>
      <c r="I120" s="19" t="str">
        <v>Tally</v>
      </c>
      <c r="J120" s="1" t="str">
        <f t="shared" si="3"/>
        <v>Unique</v>
      </c>
      <c r="K120" s="21" t="str">
        <f t="shared" si="4"/>
        <v/>
      </c>
      <c r="L120" s="4" t="str">
        <f>IF(COUNTIFS(A:A,A120,C:C,C120)=2,IF(K120="Mismatch","Value Mismatch","Matched"),IF(I120= "Tally","Missing in GST","Missing in Tally"))</f>
        <v>Missing in GST</v>
      </c>
      <c r="M120" s="6" t="str">
        <f t="shared" si="5"/>
        <v/>
      </c>
    </row>
    <row r="121" spans="1:13" x14ac:dyDescent="0.2">
      <c r="A121" s="1" t="str">
        <v>INV1119</v>
      </c>
      <c r="B121" s="2" t="str">
        <v>11-04-2024</v>
      </c>
      <c r="C121" s="1" t="str">
        <v>19ASDFG2468H1Z9</v>
      </c>
      <c r="D121" s="4" t="str">
        <v>Eastern Distributors</v>
      </c>
      <c r="E121" s="6">
        <v>10961.64</v>
      </c>
      <c r="F121" s="6">
        <v>986.55</v>
      </c>
      <c r="G121" s="6">
        <v>986.55</v>
      </c>
      <c r="H121" s="6">
        <v>12934.74</v>
      </c>
      <c r="I121" s="19" t="str">
        <v>Tally</v>
      </c>
      <c r="J121" s="1" t="str">
        <f t="shared" si="3"/>
        <v>Unique</v>
      </c>
      <c r="K121" s="21" t="str">
        <f t="shared" si="4"/>
        <v/>
      </c>
      <c r="L121" s="4" t="str">
        <f>IF(COUNTIFS(A:A,A121,C:C,C121)=2,IF(K121="Mismatch","Value Mismatch","Matched"),IF(I121= "Tally","Missing in GST","Missing in Tally"))</f>
        <v>Missing in GST</v>
      </c>
      <c r="M121" s="6" t="str">
        <f t="shared" si="5"/>
        <v/>
      </c>
    </row>
    <row r="122" spans="1:13" x14ac:dyDescent="0.2">
      <c r="A122" s="1" t="str">
        <v>INV1120</v>
      </c>
      <c r="B122" s="2" t="str">
        <v>10-04-2024</v>
      </c>
      <c r="C122" s="1" t="str">
        <v>24LMNOP4321K1Z7</v>
      </c>
      <c r="D122" s="4" t="str">
        <v>Patel Industries</v>
      </c>
      <c r="E122" s="6">
        <v>19990.240000000002</v>
      </c>
      <c r="F122" s="6">
        <v>1799.12</v>
      </c>
      <c r="G122" s="6">
        <v>1799.12</v>
      </c>
      <c r="H122" s="6">
        <v>23588.48</v>
      </c>
      <c r="I122" s="19" t="str">
        <v>Tally</v>
      </c>
      <c r="J122" s="1" t="str">
        <f t="shared" si="3"/>
        <v>Unique</v>
      </c>
      <c r="K122" s="21" t="str">
        <f t="shared" si="4"/>
        <v/>
      </c>
      <c r="L122" s="4" t="str">
        <f>IF(COUNTIFS(A:A,A122,C:C,C122)=2,IF(K122="Mismatch","Value Mismatch","Matched"),IF(I122= "Tally","Missing in GST","Missing in Tally"))</f>
        <v>Missing in GST</v>
      </c>
      <c r="M122" s="6" t="str">
        <f t="shared" si="5"/>
        <v/>
      </c>
    </row>
    <row r="123" spans="1:13" x14ac:dyDescent="0.2">
      <c r="A123" s="1" t="str">
        <v>INV1121</v>
      </c>
      <c r="B123" s="2" t="str">
        <v>11-05-2024</v>
      </c>
      <c r="C123" s="1" t="str">
        <v>19ASDFG2468H1Z9</v>
      </c>
      <c r="D123" s="4" t="str">
        <v>Eastern Distributors</v>
      </c>
      <c r="E123" s="6">
        <v>5922.37</v>
      </c>
      <c r="F123" s="6">
        <v>533.01</v>
      </c>
      <c r="G123" s="6">
        <v>533.01</v>
      </c>
      <c r="H123" s="6">
        <v>6988.39</v>
      </c>
      <c r="I123" s="19" t="str">
        <v>Tally</v>
      </c>
      <c r="J123" s="1" t="str">
        <f t="shared" si="3"/>
        <v>Unique</v>
      </c>
      <c r="K123" s="21" t="str">
        <f t="shared" si="4"/>
        <v/>
      </c>
      <c r="L123" s="4" t="str">
        <f>IF(COUNTIFS(A:A,A123,C:C,C123)=2,IF(K123="Mismatch","Value Mismatch","Matched"),IF(I123= "Tally","Missing in GST","Missing in Tally"))</f>
        <v>Missing in GST</v>
      </c>
      <c r="M123" s="6" t="str">
        <f t="shared" si="5"/>
        <v/>
      </c>
    </row>
    <row r="124" spans="1:13" x14ac:dyDescent="0.2">
      <c r="A124" s="1" t="str">
        <v>INV1122</v>
      </c>
      <c r="B124" s="2" t="str">
        <v>10-04-2024</v>
      </c>
      <c r="C124" s="1" t="str">
        <v>24LMNOP4321K1Z7</v>
      </c>
      <c r="D124" s="4" t="str">
        <v>Patel Industries</v>
      </c>
      <c r="E124" s="6">
        <v>41982.48</v>
      </c>
      <c r="F124" s="6">
        <v>3778.42</v>
      </c>
      <c r="G124" s="6">
        <v>3778.42</v>
      </c>
      <c r="H124" s="6">
        <v>49539.32</v>
      </c>
      <c r="I124" s="19" t="str">
        <v>Tally</v>
      </c>
      <c r="J124" s="1" t="str">
        <f t="shared" si="3"/>
        <v>Unique</v>
      </c>
      <c r="K124" s="21" t="str">
        <f t="shared" si="4"/>
        <v/>
      </c>
      <c r="L124" s="4" t="str">
        <f>IF(COUNTIFS(A:A,A124,C:C,C124)=2,IF(K124="Mismatch","Value Mismatch","Matched"),IF(I124= "Tally","Missing in GST","Missing in Tally"))</f>
        <v>Missing in GST</v>
      </c>
      <c r="M124" s="6" t="str">
        <f t="shared" si="5"/>
        <v/>
      </c>
    </row>
    <row r="125" spans="1:13" x14ac:dyDescent="0.2">
      <c r="A125" s="1" t="str">
        <v>INV1123</v>
      </c>
      <c r="B125" s="2" t="str">
        <v>02-04-2024</v>
      </c>
      <c r="C125" s="1" t="str">
        <v>24LMNOP4321K1Z7</v>
      </c>
      <c r="D125" s="4" t="str">
        <v>Patel Industries</v>
      </c>
      <c r="E125" s="6">
        <v>38965.550000000003</v>
      </c>
      <c r="F125" s="6">
        <v>3506.9</v>
      </c>
      <c r="G125" s="6">
        <v>3506.9</v>
      </c>
      <c r="H125" s="6">
        <v>45979.35</v>
      </c>
      <c r="I125" s="19" t="str">
        <v>Tally</v>
      </c>
      <c r="J125" s="1" t="str">
        <f t="shared" si="3"/>
        <v>Unique</v>
      </c>
      <c r="K125" s="21" t="str">
        <f t="shared" si="4"/>
        <v>Matched</v>
      </c>
      <c r="L125" s="4" t="str">
        <f>IF(COUNTIFS(A:A,A125,C:C,C125)=2,IF(K125="Mismatch","Value Mismatch","Matched"),IF(I125= "Tally","Missing in GST","Missing in Tally"))</f>
        <v>Matched</v>
      </c>
      <c r="M125" s="6">
        <f t="shared" si="5"/>
        <v>0</v>
      </c>
    </row>
    <row r="126" spans="1:13" x14ac:dyDescent="0.2">
      <c r="A126" s="1" t="str">
        <v>INV1124</v>
      </c>
      <c r="B126" s="2" t="str">
        <v>16-06-2024</v>
      </c>
      <c r="C126" s="1" t="str">
        <v>07ZXCVB9876M1Z3</v>
      </c>
      <c r="D126" s="4" t="str">
        <v>Gupta Supplies</v>
      </c>
      <c r="E126" s="6">
        <v>20530.77</v>
      </c>
      <c r="F126" s="6">
        <v>1847.77</v>
      </c>
      <c r="G126" s="6">
        <v>1847.77</v>
      </c>
      <c r="H126" s="6">
        <v>24226.31</v>
      </c>
      <c r="I126" s="19" t="str">
        <v>Tally</v>
      </c>
      <c r="J126" s="1" t="str">
        <f t="shared" si="3"/>
        <v>Unique</v>
      </c>
      <c r="K126" s="21" t="str">
        <f t="shared" si="4"/>
        <v/>
      </c>
      <c r="L126" s="4" t="str">
        <f>IF(COUNTIFS(A:A,A126,C:C,C126)=2,IF(K126="Mismatch","Value Mismatch","Matched"),IF(I126= "Tally","Missing in GST","Missing in Tally"))</f>
        <v>Missing in GST</v>
      </c>
      <c r="M126" s="6" t="str">
        <f t="shared" si="5"/>
        <v/>
      </c>
    </row>
    <row r="127" spans="1:13" x14ac:dyDescent="0.2">
      <c r="A127" s="1" t="str">
        <v>INV1125</v>
      </c>
      <c r="B127" s="2" t="str">
        <v>22-05-2024</v>
      </c>
      <c r="C127" s="1" t="str">
        <v>19ASDFG2468H1Z9</v>
      </c>
      <c r="D127" s="4" t="str">
        <v>Eastern Distributors</v>
      </c>
      <c r="E127" s="6">
        <v>38008.300000000003</v>
      </c>
      <c r="F127" s="6">
        <v>3420.75</v>
      </c>
      <c r="G127" s="6">
        <v>3420.75</v>
      </c>
      <c r="H127" s="6">
        <v>44849.8</v>
      </c>
      <c r="I127" s="19" t="str">
        <v>Tally</v>
      </c>
      <c r="J127" s="1" t="str">
        <f t="shared" si="3"/>
        <v>Unique</v>
      </c>
      <c r="K127" s="21" t="str">
        <f t="shared" si="4"/>
        <v/>
      </c>
      <c r="L127" s="4" t="str">
        <f>IF(COUNTIFS(A:A,A127,C:C,C127)=2,IF(K127="Mismatch","Value Mismatch","Matched"),IF(I127= "Tally","Missing in GST","Missing in Tally"))</f>
        <v>Missing in GST</v>
      </c>
      <c r="M127" s="6" t="str">
        <f t="shared" si="5"/>
        <v/>
      </c>
    </row>
    <row r="128" spans="1:13" x14ac:dyDescent="0.2">
      <c r="A128" s="1" t="str">
        <v>INV1126</v>
      </c>
      <c r="B128" s="2" t="str">
        <v>26-06-2024</v>
      </c>
      <c r="C128" s="1" t="str">
        <v>24LMNOP4321K1Z7</v>
      </c>
      <c r="D128" s="4" t="str">
        <v>Patel Industries</v>
      </c>
      <c r="E128" s="6">
        <v>31223.21</v>
      </c>
      <c r="F128" s="6">
        <v>2810.09</v>
      </c>
      <c r="G128" s="6">
        <v>2810.09</v>
      </c>
      <c r="H128" s="6">
        <v>36843.39</v>
      </c>
      <c r="I128" s="19" t="str">
        <v>Tally</v>
      </c>
      <c r="J128" s="1" t="str">
        <f t="shared" si="3"/>
        <v>Unique</v>
      </c>
      <c r="K128" s="21" t="str">
        <f t="shared" si="4"/>
        <v/>
      </c>
      <c r="L128" s="4" t="str">
        <f>IF(COUNTIFS(A:A,A128,C:C,C128)=2,IF(K128="Mismatch","Value Mismatch","Matched"),IF(I128= "Tally","Missing in GST","Missing in Tally"))</f>
        <v>Missing in GST</v>
      </c>
      <c r="M128" s="6" t="str">
        <f t="shared" si="5"/>
        <v/>
      </c>
    </row>
    <row r="129" spans="1:13" x14ac:dyDescent="0.2">
      <c r="A129" s="1" t="str">
        <v>INV1127</v>
      </c>
      <c r="B129" s="2" t="str">
        <v>10-04-2024</v>
      </c>
      <c r="C129" s="1" t="str">
        <v>29PQRSX5678L1Z2</v>
      </c>
      <c r="D129" s="4" t="str">
        <v>Kiran Enterprises</v>
      </c>
      <c r="E129" s="6">
        <v>2341.7399999999998</v>
      </c>
      <c r="F129" s="6">
        <v>210.76</v>
      </c>
      <c r="G129" s="6">
        <v>210.76</v>
      </c>
      <c r="H129" s="6">
        <v>2763.26</v>
      </c>
      <c r="I129" s="19" t="str">
        <v>Tally</v>
      </c>
      <c r="J129" s="1" t="str">
        <f t="shared" si="3"/>
        <v>Unique</v>
      </c>
      <c r="K129" s="21" t="str">
        <f t="shared" si="4"/>
        <v/>
      </c>
      <c r="L129" s="4" t="str">
        <f>IF(COUNTIFS(A:A,A129,C:C,C129)=2,IF(K129="Mismatch","Value Mismatch","Matched"),IF(I129= "Tally","Missing in GST","Missing in Tally"))</f>
        <v>Missing in GST</v>
      </c>
      <c r="M129" s="6" t="str">
        <f t="shared" si="5"/>
        <v/>
      </c>
    </row>
    <row r="130" spans="1:13" x14ac:dyDescent="0.2">
      <c r="A130" s="1" t="str">
        <v>INV1128</v>
      </c>
      <c r="B130" s="2" t="str">
        <v>13-04-2024</v>
      </c>
      <c r="C130" s="1" t="str">
        <v>24LMNOP4321K1Z7</v>
      </c>
      <c r="D130" s="4" t="str">
        <v>Patel Industries</v>
      </c>
      <c r="E130" s="6">
        <v>8176.91</v>
      </c>
      <c r="F130" s="6">
        <v>735.92</v>
      </c>
      <c r="G130" s="6">
        <v>735.92</v>
      </c>
      <c r="H130" s="6">
        <v>9648.75</v>
      </c>
      <c r="I130" s="19" t="str">
        <v>Tally</v>
      </c>
      <c r="J130" s="1" t="str">
        <f t="shared" si="3"/>
        <v>Unique</v>
      </c>
      <c r="K130" s="21" t="str">
        <f t="shared" si="4"/>
        <v/>
      </c>
      <c r="L130" s="4" t="str">
        <f>IF(COUNTIFS(A:A,A130,C:C,C130)=2,IF(K130="Mismatch","Value Mismatch","Matched"),IF(I130= "Tally","Missing in GST","Missing in Tally"))</f>
        <v>Missing in GST</v>
      </c>
      <c r="M130" s="6" t="str">
        <f t="shared" si="5"/>
        <v/>
      </c>
    </row>
    <row r="131" spans="1:13" x14ac:dyDescent="0.2">
      <c r="A131" s="1" t="str">
        <v>INV1129</v>
      </c>
      <c r="B131" s="2" t="str">
        <v>29-04-2024</v>
      </c>
      <c r="C131" s="1" t="str">
        <v>27ABCDE1234F1Z5</v>
      </c>
      <c r="D131" s="4" t="str">
        <v>Sharma Traders</v>
      </c>
      <c r="E131" s="6">
        <v>27506.42</v>
      </c>
      <c r="F131" s="6">
        <v>2475.58</v>
      </c>
      <c r="G131" s="6">
        <v>2475.58</v>
      </c>
      <c r="H131" s="6">
        <v>32457.58</v>
      </c>
      <c r="I131" s="19" t="str">
        <v>Tally</v>
      </c>
      <c r="J131" s="1" t="str">
        <f t="shared" ref="J131:J194" si="6">IF(COUNTIFS(A:A,A131,D:D,D131,I:I,I131)&gt;1,"Duplicate","Unique")</f>
        <v>Unique</v>
      </c>
      <c r="K131" s="21" t="str">
        <f t="shared" ref="K131:K194" si="7">IF(COUNTIFS(A:A,A131,C:C,C131)=2,IF(SUMIFS(E:E,A:A,A131,C:C,C131)&lt;&gt;E131*2,"Mismatch","Matched"),"")</f>
        <v/>
      </c>
      <c r="L131" s="4" t="str">
        <f>IF(COUNTIFS(A:A,A131,C:C,C131)=2,IF(K131="Mismatch","Value Mismatch","Matched"),IF(I131= "Tally","Missing in GST","Missing in Tally"))</f>
        <v>Missing in GST</v>
      </c>
      <c r="M131" s="6" t="str">
        <f t="shared" ref="M131:M194" si="8">IF(COUNTIFS(A:A,A131,C:C,C131)=2,SUMIFS(E:E,A:A,A131,C:C,C131)-E131*2,"")</f>
        <v/>
      </c>
    </row>
    <row r="132" spans="1:13" x14ac:dyDescent="0.2">
      <c r="A132" s="1" t="str">
        <v>INV1130</v>
      </c>
      <c r="B132" s="2" t="str">
        <v>06-06-2024</v>
      </c>
      <c r="C132" s="1" t="str">
        <v>07ZXCVB9876M1Z3</v>
      </c>
      <c r="D132" s="4" t="str">
        <v>Gupta Supplies</v>
      </c>
      <c r="E132" s="6">
        <v>27514.05</v>
      </c>
      <c r="F132" s="6">
        <v>2476.2600000000002</v>
      </c>
      <c r="G132" s="6">
        <v>2476.2600000000002</v>
      </c>
      <c r="H132" s="6">
        <v>32466.57</v>
      </c>
      <c r="I132" s="19" t="str">
        <v>Tally</v>
      </c>
      <c r="J132" s="1" t="str">
        <f t="shared" si="6"/>
        <v>Unique</v>
      </c>
      <c r="K132" s="21" t="str">
        <f t="shared" si="7"/>
        <v/>
      </c>
      <c r="L132" s="4" t="str">
        <f>IF(COUNTIFS(A:A,A132,C:C,C132)=2,IF(K132="Mismatch","Value Mismatch","Matched"),IF(I132= "Tally","Missing in GST","Missing in Tally"))</f>
        <v>Missing in GST</v>
      </c>
      <c r="M132" s="6" t="str">
        <f t="shared" si="8"/>
        <v/>
      </c>
    </row>
    <row r="133" spans="1:13" x14ac:dyDescent="0.2">
      <c r="A133" s="1" t="str">
        <v>INV1131</v>
      </c>
      <c r="B133" s="2" t="str">
        <v>01-05-2024</v>
      </c>
      <c r="C133" s="1" t="str">
        <v>07ZXCVB9876M1Z3</v>
      </c>
      <c r="D133" s="4" t="str">
        <v>Gupta Supplies</v>
      </c>
      <c r="E133" s="6">
        <v>49176.07</v>
      </c>
      <c r="F133" s="6">
        <v>4425.8500000000004</v>
      </c>
      <c r="G133" s="6">
        <v>4425.8500000000004</v>
      </c>
      <c r="H133" s="6">
        <v>58027.77</v>
      </c>
      <c r="I133" s="19" t="str">
        <v>Tally</v>
      </c>
      <c r="J133" s="1" t="str">
        <f t="shared" si="6"/>
        <v>Unique</v>
      </c>
      <c r="K133" s="21" t="str">
        <f t="shared" si="7"/>
        <v/>
      </c>
      <c r="L133" s="4" t="str">
        <f>IF(COUNTIFS(A:A,A133,C:C,C133)=2,IF(K133="Mismatch","Value Mismatch","Matched"),IF(I133= "Tally","Missing in GST","Missing in Tally"))</f>
        <v>Missing in GST</v>
      </c>
      <c r="M133" s="6" t="str">
        <f t="shared" si="8"/>
        <v/>
      </c>
    </row>
    <row r="134" spans="1:13" x14ac:dyDescent="0.2">
      <c r="A134" s="1" t="str">
        <v>INV1132</v>
      </c>
      <c r="B134" s="2" t="str">
        <v>02-06-2024</v>
      </c>
      <c r="C134" s="1" t="str">
        <v>24LMNOP4321K1Z7</v>
      </c>
      <c r="D134" s="4" t="str">
        <v>Patel Industries</v>
      </c>
      <c r="E134" s="6">
        <v>44464.6</v>
      </c>
      <c r="F134" s="6">
        <v>4001.81</v>
      </c>
      <c r="G134" s="6">
        <v>4001.81</v>
      </c>
      <c r="H134" s="6">
        <v>52468.22</v>
      </c>
      <c r="I134" s="19" t="str">
        <v>Tally</v>
      </c>
      <c r="J134" s="1" t="str">
        <f t="shared" si="6"/>
        <v>Unique</v>
      </c>
      <c r="K134" s="21" t="str">
        <f t="shared" si="7"/>
        <v/>
      </c>
      <c r="L134" s="4" t="str">
        <f>IF(COUNTIFS(A:A,A134,C:C,C134)=2,IF(K134="Mismatch","Value Mismatch","Matched"),IF(I134= "Tally","Missing in GST","Missing in Tally"))</f>
        <v>Missing in GST</v>
      </c>
      <c r="M134" s="6" t="str">
        <f t="shared" si="8"/>
        <v/>
      </c>
    </row>
    <row r="135" spans="1:13" x14ac:dyDescent="0.2">
      <c r="A135" s="1" t="str">
        <v>INV1133</v>
      </c>
      <c r="B135" s="2" t="str">
        <v>28-04-2024</v>
      </c>
      <c r="C135" s="1" t="str">
        <v>27ABCDE1234F1Z5</v>
      </c>
      <c r="D135" s="4" t="str">
        <v>Sharma Traders</v>
      </c>
      <c r="E135" s="6">
        <v>47113.82</v>
      </c>
      <c r="F135" s="6">
        <v>4240.24</v>
      </c>
      <c r="G135" s="6">
        <v>4240.24</v>
      </c>
      <c r="H135" s="6">
        <v>55594.3</v>
      </c>
      <c r="I135" s="19" t="str">
        <v>Tally</v>
      </c>
      <c r="J135" s="1" t="str">
        <f t="shared" si="6"/>
        <v>Unique</v>
      </c>
      <c r="K135" s="21" t="str">
        <f t="shared" si="7"/>
        <v/>
      </c>
      <c r="L135" s="4" t="str">
        <f>IF(COUNTIFS(A:A,A135,C:C,C135)=2,IF(K135="Mismatch","Value Mismatch","Matched"),IF(I135= "Tally","Missing in GST","Missing in Tally"))</f>
        <v>Missing in GST</v>
      </c>
      <c r="M135" s="6" t="str">
        <f t="shared" si="8"/>
        <v/>
      </c>
    </row>
    <row r="136" spans="1:13" x14ac:dyDescent="0.2">
      <c r="A136" s="1" t="str">
        <v>INV1134</v>
      </c>
      <c r="B136" s="2" t="str">
        <v>19-05-2024</v>
      </c>
      <c r="C136" s="1" t="str">
        <v>19ASDFG2468H1Z9</v>
      </c>
      <c r="D136" s="4" t="str">
        <v>Eastern Distributors</v>
      </c>
      <c r="E136" s="6">
        <v>47712.6</v>
      </c>
      <c r="F136" s="6">
        <v>4294.13</v>
      </c>
      <c r="G136" s="6">
        <v>4294.13</v>
      </c>
      <c r="H136" s="6">
        <v>56300.86</v>
      </c>
      <c r="I136" s="19" t="str">
        <v>Tally</v>
      </c>
      <c r="J136" s="1" t="str">
        <f t="shared" si="6"/>
        <v>Unique</v>
      </c>
      <c r="K136" s="21" t="str">
        <f t="shared" si="7"/>
        <v/>
      </c>
      <c r="L136" s="4" t="str">
        <f>IF(COUNTIFS(A:A,A136,C:C,C136)=2,IF(K136="Mismatch","Value Mismatch","Matched"),IF(I136= "Tally","Missing in GST","Missing in Tally"))</f>
        <v>Missing in GST</v>
      </c>
      <c r="M136" s="6" t="str">
        <f t="shared" si="8"/>
        <v/>
      </c>
    </row>
    <row r="137" spans="1:13" x14ac:dyDescent="0.2">
      <c r="A137" s="1" t="str">
        <v>INV1135</v>
      </c>
      <c r="B137" s="2" t="str">
        <v>03-04-2024</v>
      </c>
      <c r="C137" s="1" t="str">
        <v>27ABCDE1234F1Z5</v>
      </c>
      <c r="D137" s="4" t="str">
        <v>Sharma Traders</v>
      </c>
      <c r="E137" s="6">
        <v>22775.75</v>
      </c>
      <c r="F137" s="6">
        <v>2049.8200000000002</v>
      </c>
      <c r="G137" s="6">
        <v>2049.8200000000002</v>
      </c>
      <c r="H137" s="6">
        <v>26875.39</v>
      </c>
      <c r="I137" s="19" t="str">
        <v>Tally</v>
      </c>
      <c r="J137" s="1" t="str">
        <f t="shared" si="6"/>
        <v>Unique</v>
      </c>
      <c r="K137" s="21" t="str">
        <f t="shared" si="7"/>
        <v/>
      </c>
      <c r="L137" s="4" t="str">
        <f>IF(COUNTIFS(A:A,A137,C:C,C137)=2,IF(K137="Mismatch","Value Mismatch","Matched"),IF(I137= "Tally","Missing in GST","Missing in Tally"))</f>
        <v>Missing in GST</v>
      </c>
      <c r="M137" s="6" t="str">
        <f t="shared" si="8"/>
        <v/>
      </c>
    </row>
    <row r="138" spans="1:13" x14ac:dyDescent="0.2">
      <c r="A138" s="1" t="str">
        <v>INV1136</v>
      </c>
      <c r="B138" s="2" t="str">
        <v>13-05-2024</v>
      </c>
      <c r="C138" s="1" t="str">
        <v>07ZXCVB9876M1Z3</v>
      </c>
      <c r="D138" s="4" t="str">
        <v>Gupta Supplies</v>
      </c>
      <c r="E138" s="6">
        <v>35684.67</v>
      </c>
      <c r="F138" s="6">
        <v>3211.62</v>
      </c>
      <c r="G138" s="6">
        <v>3211.62</v>
      </c>
      <c r="H138" s="6">
        <v>42107.91</v>
      </c>
      <c r="I138" s="19" t="str">
        <v>Tally</v>
      </c>
      <c r="J138" s="1" t="str">
        <f t="shared" si="6"/>
        <v>Unique</v>
      </c>
      <c r="K138" s="21" t="str">
        <f t="shared" si="7"/>
        <v/>
      </c>
      <c r="L138" s="4" t="str">
        <f>IF(COUNTIFS(A:A,A138,C:C,C138)=2,IF(K138="Mismatch","Value Mismatch","Matched"),IF(I138= "Tally","Missing in GST","Missing in Tally"))</f>
        <v>Missing in GST</v>
      </c>
      <c r="M138" s="6" t="str">
        <f t="shared" si="8"/>
        <v/>
      </c>
    </row>
    <row r="139" spans="1:13" x14ac:dyDescent="0.2">
      <c r="A139" s="1" t="str">
        <v>INV1137</v>
      </c>
      <c r="B139" s="2" t="str">
        <v>15-04-2024</v>
      </c>
      <c r="C139" s="1" t="str">
        <v>19ASDFG2468H1Z9</v>
      </c>
      <c r="D139" s="4" t="str">
        <v>Eastern Distributors</v>
      </c>
      <c r="E139" s="6">
        <v>30143.56</v>
      </c>
      <c r="F139" s="6">
        <v>2712.92</v>
      </c>
      <c r="G139" s="6">
        <v>2712.92</v>
      </c>
      <c r="H139" s="6">
        <v>35569.4</v>
      </c>
      <c r="I139" s="19" t="str">
        <v>Tally</v>
      </c>
      <c r="J139" s="1" t="str">
        <f t="shared" si="6"/>
        <v>Unique</v>
      </c>
      <c r="K139" s="21" t="str">
        <f t="shared" si="7"/>
        <v/>
      </c>
      <c r="L139" s="4" t="str">
        <f>IF(COUNTIFS(A:A,A139,C:C,C139)=2,IF(K139="Mismatch","Value Mismatch","Matched"),IF(I139= "Tally","Missing in GST","Missing in Tally"))</f>
        <v>Missing in GST</v>
      </c>
      <c r="M139" s="6" t="str">
        <f t="shared" si="8"/>
        <v/>
      </c>
    </row>
    <row r="140" spans="1:13" x14ac:dyDescent="0.2">
      <c r="A140" s="1" t="str">
        <v>INV1138</v>
      </c>
      <c r="B140" s="2" t="str">
        <v>11-05-2024</v>
      </c>
      <c r="C140" s="1" t="str">
        <v>19ASDFG2468H1Z9</v>
      </c>
      <c r="D140" s="4" t="str">
        <v>Eastern Distributors</v>
      </c>
      <c r="E140" s="6">
        <v>4818.29</v>
      </c>
      <c r="F140" s="6">
        <v>433.65</v>
      </c>
      <c r="G140" s="6">
        <v>433.65</v>
      </c>
      <c r="H140" s="6">
        <v>5685.59</v>
      </c>
      <c r="I140" s="19" t="str">
        <v>Tally</v>
      </c>
      <c r="J140" s="1" t="str">
        <f t="shared" si="6"/>
        <v>Unique</v>
      </c>
      <c r="K140" s="21" t="str">
        <f t="shared" si="7"/>
        <v/>
      </c>
      <c r="L140" s="4" t="str">
        <f>IF(COUNTIFS(A:A,A140,C:C,C140)=2,IF(K140="Mismatch","Value Mismatch","Matched"),IF(I140= "Tally","Missing in GST","Missing in Tally"))</f>
        <v>Missing in GST</v>
      </c>
      <c r="M140" s="6" t="str">
        <f t="shared" si="8"/>
        <v/>
      </c>
    </row>
    <row r="141" spans="1:13" x14ac:dyDescent="0.2">
      <c r="A141" s="1" t="str">
        <v>INV1139</v>
      </c>
      <c r="B141" s="2" t="str">
        <v>01-04-2024</v>
      </c>
      <c r="C141" s="1" t="str">
        <v>07ZXCVB9876M1Z3</v>
      </c>
      <c r="D141" s="4" t="str">
        <v>Gupta Supplies</v>
      </c>
      <c r="E141" s="6">
        <v>7467.08</v>
      </c>
      <c r="F141" s="6">
        <v>672.04</v>
      </c>
      <c r="G141" s="6">
        <v>672.04</v>
      </c>
      <c r="H141" s="6">
        <v>8811.16</v>
      </c>
      <c r="I141" s="19" t="str">
        <v>Tally</v>
      </c>
      <c r="J141" s="1" t="str">
        <f t="shared" si="6"/>
        <v>Unique</v>
      </c>
      <c r="K141" s="21" t="str">
        <f t="shared" si="7"/>
        <v/>
      </c>
      <c r="L141" s="4" t="str">
        <f>IF(COUNTIFS(A:A,A141,C:C,C141)=2,IF(K141="Mismatch","Value Mismatch","Matched"),IF(I141= "Tally","Missing in GST","Missing in Tally"))</f>
        <v>Missing in GST</v>
      </c>
      <c r="M141" s="6" t="str">
        <f t="shared" si="8"/>
        <v/>
      </c>
    </row>
    <row r="142" spans="1:13" x14ac:dyDescent="0.2">
      <c r="A142" s="1" t="str">
        <v>INV1140</v>
      </c>
      <c r="B142" s="2" t="str">
        <v>16-04-2024</v>
      </c>
      <c r="C142" s="1" t="str">
        <v>24LMNOP4321K1Z7</v>
      </c>
      <c r="D142" s="4" t="str">
        <v>Patel Industries</v>
      </c>
      <c r="E142" s="6">
        <v>28382.5</v>
      </c>
      <c r="F142" s="6">
        <v>2554.42</v>
      </c>
      <c r="G142" s="6">
        <v>2554.42</v>
      </c>
      <c r="H142" s="6">
        <v>33491.339999999997</v>
      </c>
      <c r="I142" s="19" t="str">
        <v>Tally</v>
      </c>
      <c r="J142" s="1" t="str">
        <f t="shared" si="6"/>
        <v>Unique</v>
      </c>
      <c r="K142" s="21" t="str">
        <f t="shared" si="7"/>
        <v/>
      </c>
      <c r="L142" s="4" t="str">
        <f>IF(COUNTIFS(A:A,A142,C:C,C142)=2,IF(K142="Mismatch","Value Mismatch","Matched"),IF(I142= "Tally","Missing in GST","Missing in Tally"))</f>
        <v>Missing in GST</v>
      </c>
      <c r="M142" s="6" t="str">
        <f t="shared" si="8"/>
        <v/>
      </c>
    </row>
    <row r="143" spans="1:13" x14ac:dyDescent="0.2">
      <c r="A143" s="1" t="str">
        <v>INV1141</v>
      </c>
      <c r="B143" s="2" t="str">
        <v>09-06-2024</v>
      </c>
      <c r="C143" s="1" t="str">
        <v>29PQRSX5678L1Z2</v>
      </c>
      <c r="D143" s="4" t="str">
        <v>Kiran Enterprises</v>
      </c>
      <c r="E143" s="6">
        <v>22118</v>
      </c>
      <c r="F143" s="6">
        <v>1990.62</v>
      </c>
      <c r="G143" s="6">
        <v>1990.62</v>
      </c>
      <c r="H143" s="6">
        <v>26099.24</v>
      </c>
      <c r="I143" s="19" t="str">
        <v>Tally</v>
      </c>
      <c r="J143" s="1" t="str">
        <f t="shared" si="6"/>
        <v>Unique</v>
      </c>
      <c r="K143" s="21" t="str">
        <f t="shared" si="7"/>
        <v/>
      </c>
      <c r="L143" s="4" t="str">
        <f>IF(COUNTIFS(A:A,A143,C:C,C143)=2,IF(K143="Mismatch","Value Mismatch","Matched"),IF(I143= "Tally","Missing in GST","Missing in Tally"))</f>
        <v>Missing in GST</v>
      </c>
      <c r="M143" s="6" t="str">
        <f t="shared" si="8"/>
        <v/>
      </c>
    </row>
    <row r="144" spans="1:13" x14ac:dyDescent="0.2">
      <c r="A144" s="1" t="str">
        <v>INV1142</v>
      </c>
      <c r="B144" s="2" t="str">
        <v>26-04-2024</v>
      </c>
      <c r="C144" s="1" t="str">
        <v>29PQRSX5678L1Z2</v>
      </c>
      <c r="D144" s="4" t="str">
        <v>Kiran Enterprises</v>
      </c>
      <c r="E144" s="6">
        <v>20304.560000000001</v>
      </c>
      <c r="F144" s="6">
        <v>1827.41</v>
      </c>
      <c r="G144" s="6">
        <v>1827.41</v>
      </c>
      <c r="H144" s="6">
        <v>23959.38</v>
      </c>
      <c r="I144" s="19" t="str">
        <v>Tally</v>
      </c>
      <c r="J144" s="1" t="str">
        <f t="shared" si="6"/>
        <v>Unique</v>
      </c>
      <c r="K144" s="21" t="str">
        <f t="shared" si="7"/>
        <v/>
      </c>
      <c r="L144" s="4" t="str">
        <f>IF(COUNTIFS(A:A,A144,C:C,C144)=2,IF(K144="Mismatch","Value Mismatch","Matched"),IF(I144= "Tally","Missing in GST","Missing in Tally"))</f>
        <v>Missing in GST</v>
      </c>
      <c r="M144" s="6" t="str">
        <f t="shared" si="8"/>
        <v/>
      </c>
    </row>
    <row r="145" spans="1:13" x14ac:dyDescent="0.2">
      <c r="A145" s="1" t="str">
        <v>INV1143</v>
      </c>
      <c r="B145" s="2" t="str">
        <v>27-04-2024</v>
      </c>
      <c r="C145" s="1" t="str">
        <v>19ASDFG2468H1Z9</v>
      </c>
      <c r="D145" s="4" t="str">
        <v>Eastern Distributors</v>
      </c>
      <c r="E145" s="6">
        <v>13147.54</v>
      </c>
      <c r="F145" s="6">
        <v>1183.28</v>
      </c>
      <c r="G145" s="6">
        <v>1183.28</v>
      </c>
      <c r="H145" s="6">
        <v>15514.1</v>
      </c>
      <c r="I145" s="19" t="str">
        <v>Tally</v>
      </c>
      <c r="J145" s="1" t="str">
        <f t="shared" si="6"/>
        <v>Unique</v>
      </c>
      <c r="K145" s="21" t="str">
        <f t="shared" si="7"/>
        <v/>
      </c>
      <c r="L145" s="4" t="str">
        <f>IF(COUNTIFS(A:A,A145,C:C,C145)=2,IF(K145="Mismatch","Value Mismatch","Matched"),IF(I145= "Tally","Missing in GST","Missing in Tally"))</f>
        <v>Missing in GST</v>
      </c>
      <c r="M145" s="6" t="str">
        <f t="shared" si="8"/>
        <v/>
      </c>
    </row>
    <row r="146" spans="1:13" x14ac:dyDescent="0.2">
      <c r="A146" s="1" t="str">
        <v>INV1144</v>
      </c>
      <c r="B146" s="2" t="str">
        <v>15-04-2024</v>
      </c>
      <c r="C146" s="1" t="str">
        <v>19ASDFG2468H1Z9</v>
      </c>
      <c r="D146" s="4" t="str">
        <v>Eastern Distributors</v>
      </c>
      <c r="E146" s="6">
        <v>13876.49</v>
      </c>
      <c r="F146" s="6">
        <v>1248.8800000000001</v>
      </c>
      <c r="G146" s="6">
        <v>1248.8800000000001</v>
      </c>
      <c r="H146" s="6">
        <v>16374.25</v>
      </c>
      <c r="I146" s="19" t="str">
        <v>Tally</v>
      </c>
      <c r="J146" s="1" t="str">
        <f t="shared" si="6"/>
        <v>Unique</v>
      </c>
      <c r="K146" s="21" t="str">
        <f t="shared" si="7"/>
        <v/>
      </c>
      <c r="L146" s="4" t="str">
        <f>IF(COUNTIFS(A:A,A146,C:C,C146)=2,IF(K146="Mismatch","Value Mismatch","Matched"),IF(I146= "Tally","Missing in GST","Missing in Tally"))</f>
        <v>Missing in GST</v>
      </c>
      <c r="M146" s="6" t="str">
        <f t="shared" si="8"/>
        <v/>
      </c>
    </row>
    <row r="147" spans="1:13" x14ac:dyDescent="0.2">
      <c r="A147" s="1" t="str">
        <v>INV1145</v>
      </c>
      <c r="B147" s="2" t="str">
        <v>11-04-2024</v>
      </c>
      <c r="C147" s="1" t="str">
        <v>19ASDFG2468H1Z9</v>
      </c>
      <c r="D147" s="4" t="str">
        <v>Eastern Distributors</v>
      </c>
      <c r="E147" s="6">
        <v>49589.47</v>
      </c>
      <c r="F147" s="6">
        <v>4463.05</v>
      </c>
      <c r="G147" s="6">
        <v>4463.05</v>
      </c>
      <c r="H147" s="6">
        <v>58515.57</v>
      </c>
      <c r="I147" s="19" t="str">
        <v>Tally</v>
      </c>
      <c r="J147" s="1" t="str">
        <f t="shared" si="6"/>
        <v>Unique</v>
      </c>
      <c r="K147" s="21" t="str">
        <f t="shared" si="7"/>
        <v/>
      </c>
      <c r="L147" s="4" t="str">
        <f>IF(COUNTIFS(A:A,A147,C:C,C147)=2,IF(K147="Mismatch","Value Mismatch","Matched"),IF(I147= "Tally","Missing in GST","Missing in Tally"))</f>
        <v>Missing in GST</v>
      </c>
      <c r="M147" s="6" t="str">
        <f t="shared" si="8"/>
        <v/>
      </c>
    </row>
    <row r="148" spans="1:13" x14ac:dyDescent="0.2">
      <c r="A148" s="1" t="str">
        <v>INV1146</v>
      </c>
      <c r="B148" s="2" t="str">
        <v>05-05-2024</v>
      </c>
      <c r="C148" s="1" t="str">
        <v>07ZXCVB9876M1Z3</v>
      </c>
      <c r="D148" s="4" t="str">
        <v>Gupta Supplies</v>
      </c>
      <c r="E148" s="6">
        <v>33740.379999999997</v>
      </c>
      <c r="F148" s="6">
        <v>3036.63</v>
      </c>
      <c r="G148" s="6">
        <v>3036.63</v>
      </c>
      <c r="H148" s="6">
        <v>39813.64</v>
      </c>
      <c r="I148" s="19" t="str">
        <v>Tally</v>
      </c>
      <c r="J148" s="1" t="str">
        <f t="shared" si="6"/>
        <v>Unique</v>
      </c>
      <c r="K148" s="21" t="str">
        <f t="shared" si="7"/>
        <v>Matched</v>
      </c>
      <c r="L148" s="4" t="str">
        <f>IF(COUNTIFS(A:A,A148,C:C,C148)=2,IF(K148="Mismatch","Value Mismatch","Matched"),IF(I148= "Tally","Missing in GST","Missing in Tally"))</f>
        <v>Matched</v>
      </c>
      <c r="M148" s="6">
        <f t="shared" si="8"/>
        <v>0</v>
      </c>
    </row>
    <row r="149" spans="1:13" x14ac:dyDescent="0.2">
      <c r="A149" s="1" t="str">
        <v>INV1147</v>
      </c>
      <c r="B149" s="2" t="str">
        <v>25-05-2024</v>
      </c>
      <c r="C149" s="1" t="str">
        <v>07ZXCVB9876M1Z3</v>
      </c>
      <c r="D149" s="4" t="str">
        <v>Gupta Supplies</v>
      </c>
      <c r="E149" s="6">
        <v>23799.17</v>
      </c>
      <c r="F149" s="6">
        <v>2141.9299999999998</v>
      </c>
      <c r="G149" s="6">
        <v>2141.9299999999998</v>
      </c>
      <c r="H149" s="6">
        <v>28083.03</v>
      </c>
      <c r="I149" s="19" t="str">
        <v>Tally</v>
      </c>
      <c r="J149" s="1" t="str">
        <f t="shared" si="6"/>
        <v>Unique</v>
      </c>
      <c r="K149" s="21" t="str">
        <f t="shared" si="7"/>
        <v/>
      </c>
      <c r="L149" s="4" t="str">
        <f>IF(COUNTIFS(A:A,A149,C:C,C149)=2,IF(K149="Mismatch","Value Mismatch","Matched"),IF(I149= "Tally","Missing in GST","Missing in Tally"))</f>
        <v>Missing in GST</v>
      </c>
      <c r="M149" s="6" t="str">
        <f t="shared" si="8"/>
        <v/>
      </c>
    </row>
    <row r="150" spans="1:13" x14ac:dyDescent="0.2">
      <c r="A150" s="1" t="str">
        <v>INV1148</v>
      </c>
      <c r="B150" s="2" t="str">
        <v>07-04-2024</v>
      </c>
      <c r="C150" s="1" t="str">
        <v>19ASDFG2468H1Z9</v>
      </c>
      <c r="D150" s="4" t="str">
        <v>Eastern Distributors</v>
      </c>
      <c r="E150" s="6">
        <v>8211.99</v>
      </c>
      <c r="F150" s="6">
        <v>739.08</v>
      </c>
      <c r="G150" s="6">
        <v>739.08</v>
      </c>
      <c r="H150" s="6">
        <v>9690.15</v>
      </c>
      <c r="I150" s="19" t="str">
        <v>Tally</v>
      </c>
      <c r="J150" s="1" t="str">
        <f t="shared" si="6"/>
        <v>Unique</v>
      </c>
      <c r="K150" s="21" t="str">
        <f t="shared" si="7"/>
        <v/>
      </c>
      <c r="L150" s="4" t="str">
        <f>IF(COUNTIFS(A:A,A150,C:C,C150)=2,IF(K150="Mismatch","Value Mismatch","Matched"),IF(I150= "Tally","Missing in GST","Missing in Tally"))</f>
        <v>Missing in GST</v>
      </c>
      <c r="M150" s="6" t="str">
        <f t="shared" si="8"/>
        <v/>
      </c>
    </row>
    <row r="151" spans="1:13" x14ac:dyDescent="0.2">
      <c r="A151" s="1" t="str">
        <v>INV1149</v>
      </c>
      <c r="B151" s="2" t="str">
        <v>16-06-2024</v>
      </c>
      <c r="C151" s="1" t="str">
        <v>27ABCDE1234F1Z5</v>
      </c>
      <c r="D151" s="4" t="str">
        <v>Sharma Traders</v>
      </c>
      <c r="E151" s="6">
        <v>35420.04</v>
      </c>
      <c r="F151" s="6">
        <v>3187.8</v>
      </c>
      <c r="G151" s="6">
        <v>3187.8</v>
      </c>
      <c r="H151" s="6">
        <v>41795.64</v>
      </c>
      <c r="I151" s="19" t="str">
        <v>Tally</v>
      </c>
      <c r="J151" s="1" t="str">
        <f t="shared" si="6"/>
        <v>Unique</v>
      </c>
      <c r="K151" s="21" t="str">
        <f t="shared" si="7"/>
        <v/>
      </c>
      <c r="L151" s="4" t="str">
        <f>IF(COUNTIFS(A:A,A151,C:C,C151)=2,IF(K151="Mismatch","Value Mismatch","Matched"),IF(I151= "Tally","Missing in GST","Missing in Tally"))</f>
        <v>Missing in GST</v>
      </c>
      <c r="M151" s="6" t="str">
        <f t="shared" si="8"/>
        <v/>
      </c>
    </row>
    <row r="152" spans="1:13" x14ac:dyDescent="0.2">
      <c r="A152" s="1" t="str">
        <v>INV1150</v>
      </c>
      <c r="B152" s="2" t="str">
        <v>05-06-2024</v>
      </c>
      <c r="C152" s="1" t="str">
        <v>19ASDFG2468H1Z9</v>
      </c>
      <c r="D152" s="4" t="str">
        <v>Eastern Distributors</v>
      </c>
      <c r="E152" s="6">
        <v>45742.6</v>
      </c>
      <c r="F152" s="6">
        <v>4116.83</v>
      </c>
      <c r="G152" s="6">
        <v>4116.83</v>
      </c>
      <c r="H152" s="6">
        <v>53976.26</v>
      </c>
      <c r="I152" s="19" t="str">
        <v>Tally</v>
      </c>
      <c r="J152" s="1" t="str">
        <f t="shared" si="6"/>
        <v>Unique</v>
      </c>
      <c r="K152" s="21" t="str">
        <f t="shared" si="7"/>
        <v/>
      </c>
      <c r="L152" s="4" t="str">
        <f>IF(COUNTIFS(A:A,A152,C:C,C152)=2,IF(K152="Mismatch","Value Mismatch","Matched"),IF(I152= "Tally","Missing in GST","Missing in Tally"))</f>
        <v>Missing in GST</v>
      </c>
      <c r="M152" s="6" t="str">
        <f t="shared" si="8"/>
        <v/>
      </c>
    </row>
    <row r="153" spans="1:13" x14ac:dyDescent="0.2">
      <c r="A153" s="1" t="str">
        <v>INV1151</v>
      </c>
      <c r="B153" s="2" t="str">
        <v>28-05-2024</v>
      </c>
      <c r="C153" s="1" t="str">
        <v>19ASDFG2468H1Z9</v>
      </c>
      <c r="D153" s="4" t="str">
        <v>Eastern Distributors</v>
      </c>
      <c r="E153" s="6">
        <v>46069.67</v>
      </c>
      <c r="F153" s="6">
        <v>4146.2700000000004</v>
      </c>
      <c r="G153" s="6">
        <v>4146.2700000000004</v>
      </c>
      <c r="H153" s="6">
        <v>54362.21</v>
      </c>
      <c r="I153" s="19" t="str">
        <v>Tally</v>
      </c>
      <c r="J153" s="1" t="str">
        <f t="shared" si="6"/>
        <v>Unique</v>
      </c>
      <c r="K153" s="21" t="str">
        <f t="shared" si="7"/>
        <v/>
      </c>
      <c r="L153" s="4" t="str">
        <f>IF(COUNTIFS(A:A,A153,C:C,C153)=2,IF(K153="Mismatch","Value Mismatch","Matched"),IF(I153= "Tally","Missing in GST","Missing in Tally"))</f>
        <v>Missing in GST</v>
      </c>
      <c r="M153" s="6" t="str">
        <f t="shared" si="8"/>
        <v/>
      </c>
    </row>
    <row r="154" spans="1:13" x14ac:dyDescent="0.2">
      <c r="A154" s="1" t="str">
        <v>INV1152</v>
      </c>
      <c r="B154" s="2" t="str">
        <v>19-05-2024</v>
      </c>
      <c r="C154" s="1" t="str">
        <v>27ABCDE1234F1Z5</v>
      </c>
      <c r="D154" s="4" t="str">
        <v>Sharma Traders</v>
      </c>
      <c r="E154" s="6">
        <v>3139.98</v>
      </c>
      <c r="F154" s="6">
        <v>282.60000000000002</v>
      </c>
      <c r="G154" s="6">
        <v>282.60000000000002</v>
      </c>
      <c r="H154" s="6">
        <v>3705.18</v>
      </c>
      <c r="I154" s="19" t="str">
        <v>Tally</v>
      </c>
      <c r="J154" s="1" t="str">
        <f t="shared" si="6"/>
        <v>Unique</v>
      </c>
      <c r="K154" s="21" t="str">
        <f t="shared" si="7"/>
        <v/>
      </c>
      <c r="L154" s="4" t="str">
        <f>IF(COUNTIFS(A:A,A154,C:C,C154)=2,IF(K154="Mismatch","Value Mismatch","Matched"),IF(I154= "Tally","Missing in GST","Missing in Tally"))</f>
        <v>Missing in GST</v>
      </c>
      <c r="M154" s="6" t="str">
        <f t="shared" si="8"/>
        <v/>
      </c>
    </row>
    <row r="155" spans="1:13" x14ac:dyDescent="0.2">
      <c r="A155" s="1" t="str">
        <v>INV1153</v>
      </c>
      <c r="B155" s="2" t="str">
        <v>19-04-2024</v>
      </c>
      <c r="C155" s="1" t="str">
        <v>27ABCDE1234F1Z5</v>
      </c>
      <c r="D155" s="4" t="str">
        <v>Sharma Traders</v>
      </c>
      <c r="E155" s="6">
        <v>47608.46</v>
      </c>
      <c r="F155" s="6">
        <v>4284.76</v>
      </c>
      <c r="G155" s="6">
        <v>4284.76</v>
      </c>
      <c r="H155" s="6">
        <v>56177.98</v>
      </c>
      <c r="I155" s="19" t="str">
        <v>Tally</v>
      </c>
      <c r="J155" s="1" t="str">
        <f t="shared" si="6"/>
        <v>Unique</v>
      </c>
      <c r="K155" s="21" t="str">
        <f t="shared" si="7"/>
        <v/>
      </c>
      <c r="L155" s="4" t="str">
        <f>IF(COUNTIFS(A:A,A155,C:C,C155)=2,IF(K155="Mismatch","Value Mismatch","Matched"),IF(I155= "Tally","Missing in GST","Missing in Tally"))</f>
        <v>Missing in GST</v>
      </c>
      <c r="M155" s="6" t="str">
        <f t="shared" si="8"/>
        <v/>
      </c>
    </row>
    <row r="156" spans="1:13" x14ac:dyDescent="0.2">
      <c r="A156" s="1" t="str">
        <v>INV1154</v>
      </c>
      <c r="B156" s="2" t="str">
        <v>13-06-2024</v>
      </c>
      <c r="C156" s="1" t="str">
        <v>27ABCDE1234F1Z5</v>
      </c>
      <c r="D156" s="4" t="str">
        <v>Sharma Traders</v>
      </c>
      <c r="E156" s="6">
        <v>38310.33</v>
      </c>
      <c r="F156" s="6">
        <v>3447.93</v>
      </c>
      <c r="G156" s="6">
        <v>3447.93</v>
      </c>
      <c r="H156" s="6">
        <v>45206.19</v>
      </c>
      <c r="I156" s="19" t="str">
        <v>Tally</v>
      </c>
      <c r="J156" s="1" t="str">
        <f t="shared" si="6"/>
        <v>Unique</v>
      </c>
      <c r="K156" s="21" t="str">
        <f t="shared" si="7"/>
        <v/>
      </c>
      <c r="L156" s="4" t="str">
        <f>IF(COUNTIFS(A:A,A156,C:C,C156)=2,IF(K156="Mismatch","Value Mismatch","Matched"),IF(I156= "Tally","Missing in GST","Missing in Tally"))</f>
        <v>Missing in GST</v>
      </c>
      <c r="M156" s="6" t="str">
        <f t="shared" si="8"/>
        <v/>
      </c>
    </row>
    <row r="157" spans="1:13" x14ac:dyDescent="0.2">
      <c r="A157" s="1" t="str">
        <v>INV1155</v>
      </c>
      <c r="B157" s="2" t="str">
        <v>06-04-2024</v>
      </c>
      <c r="C157" s="1" t="str">
        <v>07ZXCVB9876M1Z3</v>
      </c>
      <c r="D157" s="4" t="str">
        <v>Gupta Supplies</v>
      </c>
      <c r="E157" s="6">
        <v>32570.53</v>
      </c>
      <c r="F157" s="6">
        <v>2931.35</v>
      </c>
      <c r="G157" s="6">
        <v>2931.35</v>
      </c>
      <c r="H157" s="6">
        <v>38433.230000000003</v>
      </c>
      <c r="I157" s="19" t="str">
        <v>Tally</v>
      </c>
      <c r="J157" s="1" t="str">
        <f t="shared" si="6"/>
        <v>Unique</v>
      </c>
      <c r="K157" s="21" t="str">
        <f t="shared" si="7"/>
        <v/>
      </c>
      <c r="L157" s="4" t="str">
        <f>IF(COUNTIFS(A:A,A157,C:C,C157)=2,IF(K157="Mismatch","Value Mismatch","Matched"),IF(I157= "Tally","Missing in GST","Missing in Tally"))</f>
        <v>Missing in GST</v>
      </c>
      <c r="M157" s="6" t="str">
        <f t="shared" si="8"/>
        <v/>
      </c>
    </row>
    <row r="158" spans="1:13" x14ac:dyDescent="0.2">
      <c r="A158" s="1" t="str">
        <v>INV1156</v>
      </c>
      <c r="B158" s="2" t="str">
        <v>12-05-2024</v>
      </c>
      <c r="C158" s="1" t="str">
        <v>19ASDFG2468H1Z9</v>
      </c>
      <c r="D158" s="4" t="str">
        <v>Eastern Distributors</v>
      </c>
      <c r="E158" s="6">
        <v>5997.26</v>
      </c>
      <c r="F158" s="6">
        <v>539.75</v>
      </c>
      <c r="G158" s="6">
        <v>539.75</v>
      </c>
      <c r="H158" s="6">
        <v>7076.76</v>
      </c>
      <c r="I158" s="19" t="str">
        <v>Tally</v>
      </c>
      <c r="J158" s="1" t="str">
        <f t="shared" si="6"/>
        <v>Unique</v>
      </c>
      <c r="K158" s="21" t="str">
        <f t="shared" si="7"/>
        <v/>
      </c>
      <c r="L158" s="4" t="str">
        <f>IF(COUNTIFS(A:A,A158,C:C,C158)=2,IF(K158="Mismatch","Value Mismatch","Matched"),IF(I158= "Tally","Missing in GST","Missing in Tally"))</f>
        <v>Missing in GST</v>
      </c>
      <c r="M158" s="6" t="str">
        <f t="shared" si="8"/>
        <v/>
      </c>
    </row>
    <row r="159" spans="1:13" x14ac:dyDescent="0.2">
      <c r="A159" s="1" t="str">
        <v>INV1157</v>
      </c>
      <c r="B159" s="2" t="str">
        <v>10-04-2024</v>
      </c>
      <c r="C159" s="1" t="str">
        <v>19ASDFG2468H1Z9</v>
      </c>
      <c r="D159" s="4" t="str">
        <v>Eastern Distributors</v>
      </c>
      <c r="E159" s="6">
        <v>30012.38</v>
      </c>
      <c r="F159" s="6">
        <v>2701.11</v>
      </c>
      <c r="G159" s="6">
        <v>2701.11</v>
      </c>
      <c r="H159" s="6">
        <v>35414.6</v>
      </c>
      <c r="I159" s="19" t="str">
        <v>Tally</v>
      </c>
      <c r="J159" s="1" t="str">
        <f t="shared" si="6"/>
        <v>Unique</v>
      </c>
      <c r="K159" s="21" t="str">
        <f t="shared" si="7"/>
        <v/>
      </c>
      <c r="L159" s="4" t="str">
        <f>IF(COUNTIFS(A:A,A159,C:C,C159)=2,IF(K159="Mismatch","Value Mismatch","Matched"),IF(I159= "Tally","Missing in GST","Missing in Tally"))</f>
        <v>Missing in GST</v>
      </c>
      <c r="M159" s="6" t="str">
        <f t="shared" si="8"/>
        <v/>
      </c>
    </row>
    <row r="160" spans="1:13" x14ac:dyDescent="0.2">
      <c r="A160" s="1" t="str">
        <v>INV1158</v>
      </c>
      <c r="B160" s="2" t="str">
        <v>24-06-2024</v>
      </c>
      <c r="C160" s="1" t="str">
        <v>19ASDFG2468H1Z9</v>
      </c>
      <c r="D160" s="4" t="str">
        <v>Eastern Distributors</v>
      </c>
      <c r="E160" s="6">
        <v>16235.75</v>
      </c>
      <c r="F160" s="6">
        <v>1461.22</v>
      </c>
      <c r="G160" s="6">
        <v>1461.22</v>
      </c>
      <c r="H160" s="6">
        <v>19158.189999999999</v>
      </c>
      <c r="I160" s="19" t="str">
        <v>Tally</v>
      </c>
      <c r="J160" s="1" t="str">
        <f t="shared" si="6"/>
        <v>Unique</v>
      </c>
      <c r="K160" s="21" t="str">
        <f t="shared" si="7"/>
        <v/>
      </c>
      <c r="L160" s="4" t="str">
        <f>IF(COUNTIFS(A:A,A160,C:C,C160)=2,IF(K160="Mismatch","Value Mismatch","Matched"),IF(I160= "Tally","Missing in GST","Missing in Tally"))</f>
        <v>Missing in GST</v>
      </c>
      <c r="M160" s="6" t="str">
        <f t="shared" si="8"/>
        <v/>
      </c>
    </row>
    <row r="161" spans="1:13" x14ac:dyDescent="0.2">
      <c r="A161" s="1" t="str">
        <v>INV1159</v>
      </c>
      <c r="B161" s="2" t="str">
        <v>08-04-2024</v>
      </c>
      <c r="C161" s="1" t="str">
        <v>24LMNOP4321K1Z7</v>
      </c>
      <c r="D161" s="4" t="str">
        <v>Patel Industries</v>
      </c>
      <c r="E161" s="6">
        <v>22001.57</v>
      </c>
      <c r="F161" s="6">
        <v>1980.14</v>
      </c>
      <c r="G161" s="6">
        <v>1980.14</v>
      </c>
      <c r="H161" s="6">
        <v>25961.85</v>
      </c>
      <c r="I161" s="19" t="str">
        <v>Tally</v>
      </c>
      <c r="J161" s="1" t="str">
        <f t="shared" si="6"/>
        <v>Unique</v>
      </c>
      <c r="K161" s="21" t="str">
        <f t="shared" si="7"/>
        <v/>
      </c>
      <c r="L161" s="4" t="str">
        <f>IF(COUNTIFS(A:A,A161,C:C,C161)=2,IF(K161="Mismatch","Value Mismatch","Matched"),IF(I161= "Tally","Missing in GST","Missing in Tally"))</f>
        <v>Missing in GST</v>
      </c>
      <c r="M161" s="6" t="str">
        <f t="shared" si="8"/>
        <v/>
      </c>
    </row>
    <row r="162" spans="1:13" x14ac:dyDescent="0.2">
      <c r="A162" s="1" t="str">
        <v>INV1160</v>
      </c>
      <c r="B162" s="2" t="str">
        <v>15-05-2024</v>
      </c>
      <c r="C162" s="1" t="str">
        <v>19ASDFG2468H1Z9</v>
      </c>
      <c r="D162" s="4" t="str">
        <v>Eastern Distributors</v>
      </c>
      <c r="E162" s="6">
        <v>6011.29</v>
      </c>
      <c r="F162" s="6">
        <v>541.02</v>
      </c>
      <c r="G162" s="6">
        <v>541.02</v>
      </c>
      <c r="H162" s="6">
        <v>7093.33</v>
      </c>
      <c r="I162" s="19" t="str">
        <v>Tally</v>
      </c>
      <c r="J162" s="1" t="str">
        <f t="shared" si="6"/>
        <v>Unique</v>
      </c>
      <c r="K162" s="21" t="str">
        <f t="shared" si="7"/>
        <v/>
      </c>
      <c r="L162" s="4" t="str">
        <f>IF(COUNTIFS(A:A,A162,C:C,C162)=2,IF(K162="Mismatch","Value Mismatch","Matched"),IF(I162= "Tally","Missing in GST","Missing in Tally"))</f>
        <v>Missing in GST</v>
      </c>
      <c r="M162" s="6" t="str">
        <f t="shared" si="8"/>
        <v/>
      </c>
    </row>
    <row r="163" spans="1:13" x14ac:dyDescent="0.2">
      <c r="A163" s="1" t="str">
        <v>INV1161</v>
      </c>
      <c r="B163" s="2" t="str">
        <v>29-04-2024</v>
      </c>
      <c r="C163" s="1" t="str">
        <v>07ZXCVB9876M1Z3</v>
      </c>
      <c r="D163" s="4" t="str">
        <v>Gupta Supplies</v>
      </c>
      <c r="E163" s="6">
        <v>38781.81</v>
      </c>
      <c r="F163" s="6">
        <v>3490.36</v>
      </c>
      <c r="G163" s="6">
        <v>3490.36</v>
      </c>
      <c r="H163" s="6">
        <v>45762.53</v>
      </c>
      <c r="I163" s="19" t="str">
        <v>Tally</v>
      </c>
      <c r="J163" s="1" t="str">
        <f t="shared" si="6"/>
        <v>Unique</v>
      </c>
      <c r="K163" s="21" t="str">
        <f t="shared" si="7"/>
        <v/>
      </c>
      <c r="L163" s="4" t="str">
        <f>IF(COUNTIFS(A:A,A163,C:C,C163)=2,IF(K163="Mismatch","Value Mismatch","Matched"),IF(I163= "Tally","Missing in GST","Missing in Tally"))</f>
        <v>Missing in GST</v>
      </c>
      <c r="M163" s="6" t="str">
        <f t="shared" si="8"/>
        <v/>
      </c>
    </row>
    <row r="164" spans="1:13" x14ac:dyDescent="0.2">
      <c r="A164" s="1" t="str">
        <v>INV1162</v>
      </c>
      <c r="B164" s="2" t="str">
        <v>29-06-2024</v>
      </c>
      <c r="C164" s="1" t="str">
        <v>19ASDFG2468H1Z9</v>
      </c>
      <c r="D164" s="4" t="str">
        <v>Eastern Distributors</v>
      </c>
      <c r="E164" s="6">
        <v>9561.7099999999991</v>
      </c>
      <c r="F164" s="6">
        <v>860.55</v>
      </c>
      <c r="G164" s="6">
        <v>860.55</v>
      </c>
      <c r="H164" s="6">
        <v>11282.81</v>
      </c>
      <c r="I164" s="19" t="str">
        <v>Tally</v>
      </c>
      <c r="J164" s="1" t="str">
        <f t="shared" si="6"/>
        <v>Unique</v>
      </c>
      <c r="K164" s="21" t="str">
        <f t="shared" si="7"/>
        <v/>
      </c>
      <c r="L164" s="4" t="str">
        <f>IF(COUNTIFS(A:A,A164,C:C,C164)=2,IF(K164="Mismatch","Value Mismatch","Matched"),IF(I164= "Tally","Missing in GST","Missing in Tally"))</f>
        <v>Missing in GST</v>
      </c>
      <c r="M164" s="6" t="str">
        <f t="shared" si="8"/>
        <v/>
      </c>
    </row>
    <row r="165" spans="1:13" x14ac:dyDescent="0.2">
      <c r="A165" s="1" t="str">
        <v>INV1163</v>
      </c>
      <c r="B165" s="2" t="str">
        <v>27-05-2024</v>
      </c>
      <c r="C165" s="1" t="str">
        <v>27ABCDE1234F1Z5</v>
      </c>
      <c r="D165" s="4" t="str">
        <v>Sharma Traders</v>
      </c>
      <c r="E165" s="6">
        <v>9671.06</v>
      </c>
      <c r="F165" s="6">
        <v>870.4</v>
      </c>
      <c r="G165" s="6">
        <v>870.4</v>
      </c>
      <c r="H165" s="6">
        <v>11411.86</v>
      </c>
      <c r="I165" s="19" t="str">
        <v>Tally</v>
      </c>
      <c r="J165" s="1" t="str">
        <f t="shared" si="6"/>
        <v>Unique</v>
      </c>
      <c r="K165" s="21" t="str">
        <f t="shared" si="7"/>
        <v/>
      </c>
      <c r="L165" s="4" t="str">
        <f>IF(COUNTIFS(A:A,A165,C:C,C165)=2,IF(K165="Mismatch","Value Mismatch","Matched"),IF(I165= "Tally","Missing in GST","Missing in Tally"))</f>
        <v>Missing in GST</v>
      </c>
      <c r="M165" s="6" t="str">
        <f t="shared" si="8"/>
        <v/>
      </c>
    </row>
    <row r="166" spans="1:13" x14ac:dyDescent="0.2">
      <c r="A166" s="1" t="str">
        <v>INV1164</v>
      </c>
      <c r="B166" s="2" t="str">
        <v>29-05-2024</v>
      </c>
      <c r="C166" s="1" t="str">
        <v>07ZXCVB9876M1Z3</v>
      </c>
      <c r="D166" s="4" t="str">
        <v>Gupta Supplies</v>
      </c>
      <c r="E166" s="6">
        <v>45948.44</v>
      </c>
      <c r="F166" s="6">
        <v>4135.3599999999997</v>
      </c>
      <c r="G166" s="6">
        <v>4135.3599999999997</v>
      </c>
      <c r="H166" s="6">
        <v>54219.16</v>
      </c>
      <c r="I166" s="19" t="str">
        <v>Tally</v>
      </c>
      <c r="J166" s="1" t="str">
        <f t="shared" si="6"/>
        <v>Unique</v>
      </c>
      <c r="K166" s="21" t="str">
        <f t="shared" si="7"/>
        <v/>
      </c>
      <c r="L166" s="4" t="str">
        <f>IF(COUNTIFS(A:A,A166,C:C,C166)=2,IF(K166="Mismatch","Value Mismatch","Matched"),IF(I166= "Tally","Missing in GST","Missing in Tally"))</f>
        <v>Missing in GST</v>
      </c>
      <c r="M166" s="6" t="str">
        <f t="shared" si="8"/>
        <v/>
      </c>
    </row>
    <row r="167" spans="1:13" x14ac:dyDescent="0.2">
      <c r="A167" s="1" t="str">
        <v>INV1165</v>
      </c>
      <c r="B167" s="2" t="str">
        <v>20-05-2024</v>
      </c>
      <c r="C167" s="1" t="str">
        <v>27ABCDE1234F1Z5</v>
      </c>
      <c r="D167" s="4" t="str">
        <v>Sharma Traders</v>
      </c>
      <c r="E167" s="6">
        <v>30492.83</v>
      </c>
      <c r="F167" s="6">
        <v>2744.35</v>
      </c>
      <c r="G167" s="6">
        <v>2744.35</v>
      </c>
      <c r="H167" s="6">
        <v>35981.53</v>
      </c>
      <c r="I167" s="19" t="str">
        <v>Tally</v>
      </c>
      <c r="J167" s="1" t="str">
        <f t="shared" si="6"/>
        <v>Unique</v>
      </c>
      <c r="K167" s="21" t="str">
        <f t="shared" si="7"/>
        <v/>
      </c>
      <c r="L167" s="4" t="str">
        <f>IF(COUNTIFS(A:A,A167,C:C,C167)=2,IF(K167="Mismatch","Value Mismatch","Matched"),IF(I167= "Tally","Missing in GST","Missing in Tally"))</f>
        <v>Missing in GST</v>
      </c>
      <c r="M167" s="6" t="str">
        <f t="shared" si="8"/>
        <v/>
      </c>
    </row>
    <row r="168" spans="1:13" x14ac:dyDescent="0.2">
      <c r="A168" s="1" t="str">
        <v>INV1166</v>
      </c>
      <c r="B168" s="2" t="str">
        <v>19-06-2024</v>
      </c>
      <c r="C168" s="1" t="str">
        <v>27ABCDE1234F1Z5</v>
      </c>
      <c r="D168" s="4" t="str">
        <v>Sharma Traders</v>
      </c>
      <c r="E168" s="6">
        <v>43930.58</v>
      </c>
      <c r="F168" s="6">
        <v>3953.75</v>
      </c>
      <c r="G168" s="6">
        <v>3953.75</v>
      </c>
      <c r="H168" s="6">
        <v>51838.080000000002</v>
      </c>
      <c r="I168" s="19" t="str">
        <v>Tally</v>
      </c>
      <c r="J168" s="1" t="str">
        <f t="shared" si="6"/>
        <v>Unique</v>
      </c>
      <c r="K168" s="21" t="str">
        <f t="shared" si="7"/>
        <v/>
      </c>
      <c r="L168" s="4" t="str">
        <f>IF(COUNTIFS(A:A,A168,C:C,C168)=2,IF(K168="Mismatch","Value Mismatch","Matched"),IF(I168= "Tally","Missing in GST","Missing in Tally"))</f>
        <v>Missing in GST</v>
      </c>
      <c r="M168" s="6" t="str">
        <f t="shared" si="8"/>
        <v/>
      </c>
    </row>
    <row r="169" spans="1:13" x14ac:dyDescent="0.2">
      <c r="A169" s="1" t="str">
        <v>INV1167</v>
      </c>
      <c r="B169" s="2" t="str">
        <v>30-04-2024</v>
      </c>
      <c r="C169" s="1" t="str">
        <v>29PQRSX5678L1Z2</v>
      </c>
      <c r="D169" s="4" t="str">
        <v>Kiran Enterprises</v>
      </c>
      <c r="E169" s="6">
        <v>11173.41</v>
      </c>
      <c r="F169" s="6">
        <v>1005.61</v>
      </c>
      <c r="G169" s="6">
        <v>1005.61</v>
      </c>
      <c r="H169" s="6">
        <v>13184.63</v>
      </c>
      <c r="I169" s="19" t="str">
        <v>Tally</v>
      </c>
      <c r="J169" s="1" t="str">
        <f t="shared" si="6"/>
        <v>Unique</v>
      </c>
      <c r="K169" s="21" t="str">
        <f t="shared" si="7"/>
        <v/>
      </c>
      <c r="L169" s="4" t="str">
        <f>IF(COUNTIFS(A:A,A169,C:C,C169)=2,IF(K169="Mismatch","Value Mismatch","Matched"),IF(I169= "Tally","Missing in GST","Missing in Tally"))</f>
        <v>Missing in GST</v>
      </c>
      <c r="M169" s="6" t="str">
        <f t="shared" si="8"/>
        <v/>
      </c>
    </row>
    <row r="170" spans="1:13" x14ac:dyDescent="0.2">
      <c r="A170" s="1" t="str">
        <v>INV1168</v>
      </c>
      <c r="B170" s="2" t="str">
        <v>28-05-2024</v>
      </c>
      <c r="C170" s="1" t="str">
        <v>19ASDFG2468H1Z9</v>
      </c>
      <c r="D170" s="4" t="str">
        <v>Eastern Distributors</v>
      </c>
      <c r="E170" s="6">
        <v>22548.93</v>
      </c>
      <c r="F170" s="6">
        <v>2029.4</v>
      </c>
      <c r="G170" s="6">
        <v>2029.4</v>
      </c>
      <c r="H170" s="6">
        <v>26607.73</v>
      </c>
      <c r="I170" s="19" t="str">
        <v>Tally</v>
      </c>
      <c r="J170" s="1" t="str">
        <f t="shared" si="6"/>
        <v>Unique</v>
      </c>
      <c r="K170" s="21" t="str">
        <f t="shared" si="7"/>
        <v>Matched</v>
      </c>
      <c r="L170" s="4" t="str">
        <f>IF(COUNTIFS(A:A,A170,C:C,C170)=2,IF(K170="Mismatch","Value Mismatch","Matched"),IF(I170= "Tally","Missing in GST","Missing in Tally"))</f>
        <v>Matched</v>
      </c>
      <c r="M170" s="6">
        <f t="shared" si="8"/>
        <v>0</v>
      </c>
    </row>
    <row r="171" spans="1:13" x14ac:dyDescent="0.2">
      <c r="A171" s="1" t="str">
        <v>INV1169</v>
      </c>
      <c r="B171" s="2" t="str">
        <v>17-06-2024</v>
      </c>
      <c r="C171" s="1" t="str">
        <v>07ZXCVB9876M1Z3</v>
      </c>
      <c r="D171" s="4" t="str">
        <v>Gupta Supplies</v>
      </c>
      <c r="E171" s="6">
        <v>5678.86</v>
      </c>
      <c r="F171" s="6">
        <v>511.1</v>
      </c>
      <c r="G171" s="6">
        <v>511.1</v>
      </c>
      <c r="H171" s="6">
        <v>6701.06</v>
      </c>
      <c r="I171" s="19" t="str">
        <v>Tally</v>
      </c>
      <c r="J171" s="1" t="str">
        <f t="shared" si="6"/>
        <v>Unique</v>
      </c>
      <c r="K171" s="21" t="str">
        <f t="shared" si="7"/>
        <v/>
      </c>
      <c r="L171" s="4" t="str">
        <f>IF(COUNTIFS(A:A,A171,C:C,C171)=2,IF(K171="Mismatch","Value Mismatch","Matched"),IF(I171= "Tally","Missing in GST","Missing in Tally"))</f>
        <v>Missing in GST</v>
      </c>
      <c r="M171" s="6" t="str">
        <f t="shared" si="8"/>
        <v/>
      </c>
    </row>
    <row r="172" spans="1:13" x14ac:dyDescent="0.2">
      <c r="A172" s="1" t="str">
        <v>INV1170</v>
      </c>
      <c r="B172" s="2" t="str">
        <v>10-05-2024</v>
      </c>
      <c r="C172" s="1" t="str">
        <v>29PQRSX5678L1Z2</v>
      </c>
      <c r="D172" s="4" t="str">
        <v>Kiran Enterprises</v>
      </c>
      <c r="E172" s="6">
        <v>33198.550000000003</v>
      </c>
      <c r="F172" s="6">
        <v>2987.87</v>
      </c>
      <c r="G172" s="6">
        <v>2987.87</v>
      </c>
      <c r="H172" s="6">
        <v>39174.29</v>
      </c>
      <c r="I172" s="19" t="str">
        <v>Tally</v>
      </c>
      <c r="J172" s="1" t="str">
        <f t="shared" si="6"/>
        <v>Unique</v>
      </c>
      <c r="K172" s="21" t="str">
        <f t="shared" si="7"/>
        <v/>
      </c>
      <c r="L172" s="4" t="str">
        <f>IF(COUNTIFS(A:A,A172,C:C,C172)=2,IF(K172="Mismatch","Value Mismatch","Matched"),IF(I172= "Tally","Missing in GST","Missing in Tally"))</f>
        <v>Missing in GST</v>
      </c>
      <c r="M172" s="6" t="str">
        <f t="shared" si="8"/>
        <v/>
      </c>
    </row>
    <row r="173" spans="1:13" x14ac:dyDescent="0.2">
      <c r="A173" s="1" t="str">
        <v>INV1171</v>
      </c>
      <c r="B173" s="2" t="str">
        <v>16-05-2024</v>
      </c>
      <c r="C173" s="1" t="str">
        <v>24LMNOP4321K1Z7</v>
      </c>
      <c r="D173" s="4" t="str">
        <v>Patel Industries</v>
      </c>
      <c r="E173" s="6">
        <v>5448.09</v>
      </c>
      <c r="F173" s="6">
        <v>490.33</v>
      </c>
      <c r="G173" s="6">
        <v>490.33</v>
      </c>
      <c r="H173" s="6">
        <v>6428.75</v>
      </c>
      <c r="I173" s="19" t="str">
        <v>Tally</v>
      </c>
      <c r="J173" s="1" t="str">
        <f t="shared" si="6"/>
        <v>Unique</v>
      </c>
      <c r="K173" s="21" t="str">
        <f t="shared" si="7"/>
        <v/>
      </c>
      <c r="L173" s="4" t="str">
        <f>IF(COUNTIFS(A:A,A173,C:C,C173)=2,IF(K173="Mismatch","Value Mismatch","Matched"),IF(I173= "Tally","Missing in GST","Missing in Tally"))</f>
        <v>Missing in GST</v>
      </c>
      <c r="M173" s="6" t="str">
        <f t="shared" si="8"/>
        <v/>
      </c>
    </row>
    <row r="174" spans="1:13" x14ac:dyDescent="0.2">
      <c r="A174" s="1" t="str">
        <v>INV1172</v>
      </c>
      <c r="B174" s="2" t="str">
        <v>23-04-2024</v>
      </c>
      <c r="C174" s="1" t="str">
        <v>29PQRSX5678L1Z2</v>
      </c>
      <c r="D174" s="4" t="str">
        <v>Kiran Enterprises</v>
      </c>
      <c r="E174" s="6">
        <v>29514.97</v>
      </c>
      <c r="F174" s="6">
        <v>2656.35</v>
      </c>
      <c r="G174" s="6">
        <v>2656.35</v>
      </c>
      <c r="H174" s="6">
        <v>34827.67</v>
      </c>
      <c r="I174" s="19" t="str">
        <v>Tally</v>
      </c>
      <c r="J174" s="1" t="str">
        <f t="shared" si="6"/>
        <v>Unique</v>
      </c>
      <c r="K174" s="21" t="str">
        <f t="shared" si="7"/>
        <v/>
      </c>
      <c r="L174" s="4" t="str">
        <f>IF(COUNTIFS(A:A,A174,C:C,C174)=2,IF(K174="Mismatch","Value Mismatch","Matched"),IF(I174= "Tally","Missing in GST","Missing in Tally"))</f>
        <v>Missing in GST</v>
      </c>
      <c r="M174" s="6" t="str">
        <f t="shared" si="8"/>
        <v/>
      </c>
    </row>
    <row r="175" spans="1:13" x14ac:dyDescent="0.2">
      <c r="A175" s="1" t="str">
        <v>INV1173</v>
      </c>
      <c r="B175" s="2" t="str">
        <v>06-05-2024</v>
      </c>
      <c r="C175" s="1" t="str">
        <v>24LMNOP4321K1Z7</v>
      </c>
      <c r="D175" s="4" t="str">
        <v>Patel Industries</v>
      </c>
      <c r="E175" s="6">
        <v>20803.75</v>
      </c>
      <c r="F175" s="6">
        <v>1872.34</v>
      </c>
      <c r="G175" s="6">
        <v>1872.34</v>
      </c>
      <c r="H175" s="6">
        <v>24548.43</v>
      </c>
      <c r="I175" s="19" t="str">
        <v>Tally</v>
      </c>
      <c r="J175" s="1" t="str">
        <f t="shared" si="6"/>
        <v>Unique</v>
      </c>
      <c r="K175" s="21" t="str">
        <f t="shared" si="7"/>
        <v/>
      </c>
      <c r="L175" s="4" t="str">
        <f>IF(COUNTIFS(A:A,A175,C:C,C175)=2,IF(K175="Mismatch","Value Mismatch","Matched"),IF(I175= "Tally","Missing in GST","Missing in Tally"))</f>
        <v>Missing in GST</v>
      </c>
      <c r="M175" s="6" t="str">
        <f t="shared" si="8"/>
        <v/>
      </c>
    </row>
    <row r="176" spans="1:13" x14ac:dyDescent="0.2">
      <c r="A176" s="1" t="str">
        <v>INV1174</v>
      </c>
      <c r="B176" s="2" t="str">
        <v>23-05-2024</v>
      </c>
      <c r="C176" s="1" t="str">
        <v>19ASDFG2468H1Z9</v>
      </c>
      <c r="D176" s="4" t="str">
        <v>Eastern Distributors</v>
      </c>
      <c r="E176" s="6">
        <v>30367.1</v>
      </c>
      <c r="F176" s="6">
        <v>2733.04</v>
      </c>
      <c r="G176" s="6">
        <v>2733.04</v>
      </c>
      <c r="H176" s="6">
        <v>35833.18</v>
      </c>
      <c r="I176" s="19" t="str">
        <v>Tally</v>
      </c>
      <c r="J176" s="1" t="str">
        <f t="shared" si="6"/>
        <v>Unique</v>
      </c>
      <c r="K176" s="21" t="str">
        <f t="shared" si="7"/>
        <v/>
      </c>
      <c r="L176" s="4" t="str">
        <f>IF(COUNTIFS(A:A,A176,C:C,C176)=2,IF(K176="Mismatch","Value Mismatch","Matched"),IF(I176= "Tally","Missing in GST","Missing in Tally"))</f>
        <v>Missing in GST</v>
      </c>
      <c r="M176" s="6" t="str">
        <f t="shared" si="8"/>
        <v/>
      </c>
    </row>
    <row r="177" spans="1:13" x14ac:dyDescent="0.2">
      <c r="A177" s="1" t="str">
        <v>INV1175</v>
      </c>
      <c r="B177" s="2" t="str">
        <v>26-04-2024</v>
      </c>
      <c r="C177" s="1" t="str">
        <v>29PQRSX5678L1Z2</v>
      </c>
      <c r="D177" s="4" t="str">
        <v>Kiran Enterprises</v>
      </c>
      <c r="E177" s="6">
        <v>48340.11</v>
      </c>
      <c r="F177" s="6">
        <v>4350.6099999999997</v>
      </c>
      <c r="G177" s="6">
        <v>4350.6099999999997</v>
      </c>
      <c r="H177" s="6">
        <v>57041.33</v>
      </c>
      <c r="I177" s="19" t="str">
        <v>Tally</v>
      </c>
      <c r="J177" s="1" t="str">
        <f t="shared" si="6"/>
        <v>Unique</v>
      </c>
      <c r="K177" s="21" t="str">
        <f t="shared" si="7"/>
        <v/>
      </c>
      <c r="L177" s="4" t="str">
        <f>IF(COUNTIFS(A:A,A177,C:C,C177)=2,IF(K177="Mismatch","Value Mismatch","Matched"),IF(I177= "Tally","Missing in GST","Missing in Tally"))</f>
        <v>Missing in GST</v>
      </c>
      <c r="M177" s="6" t="str">
        <f t="shared" si="8"/>
        <v/>
      </c>
    </row>
    <row r="178" spans="1:13" x14ac:dyDescent="0.2">
      <c r="A178" s="1" t="str">
        <v>INV1176</v>
      </c>
      <c r="B178" s="2" t="str">
        <v>08-05-2024</v>
      </c>
      <c r="C178" s="1" t="str">
        <v>27ABCDE1234F1Z5</v>
      </c>
      <c r="D178" s="4" t="str">
        <v>Sharma Traders</v>
      </c>
      <c r="E178" s="6">
        <v>18802.759999999998</v>
      </c>
      <c r="F178" s="6">
        <v>1692.25</v>
      </c>
      <c r="G178" s="6">
        <v>1692.25</v>
      </c>
      <c r="H178" s="6">
        <v>22187.26</v>
      </c>
      <c r="I178" s="19" t="str">
        <v>Tally</v>
      </c>
      <c r="J178" s="1" t="str">
        <f t="shared" si="6"/>
        <v>Unique</v>
      </c>
      <c r="K178" s="21" t="str">
        <f t="shared" si="7"/>
        <v/>
      </c>
      <c r="L178" s="4" t="str">
        <f>IF(COUNTIFS(A:A,A178,C:C,C178)=2,IF(K178="Mismatch","Value Mismatch","Matched"),IF(I178= "Tally","Missing in GST","Missing in Tally"))</f>
        <v>Missing in GST</v>
      </c>
      <c r="M178" s="6" t="str">
        <f t="shared" si="8"/>
        <v/>
      </c>
    </row>
    <row r="179" spans="1:13" x14ac:dyDescent="0.2">
      <c r="A179" s="1" t="str">
        <v>INV1177</v>
      </c>
      <c r="B179" s="2" t="str">
        <v>10-06-2024</v>
      </c>
      <c r="C179" s="1" t="str">
        <v>24LMNOP4321K1Z7</v>
      </c>
      <c r="D179" s="4" t="str">
        <v>Patel Industries</v>
      </c>
      <c r="E179" s="6">
        <v>30917.27</v>
      </c>
      <c r="F179" s="6">
        <v>2782.55</v>
      </c>
      <c r="G179" s="6">
        <v>2782.55</v>
      </c>
      <c r="H179" s="6">
        <v>36482.370000000003</v>
      </c>
      <c r="I179" s="19" t="str">
        <v>Tally</v>
      </c>
      <c r="J179" s="1" t="str">
        <f t="shared" si="6"/>
        <v>Unique</v>
      </c>
      <c r="K179" s="21" t="str">
        <f t="shared" si="7"/>
        <v/>
      </c>
      <c r="L179" s="4" t="str">
        <f>IF(COUNTIFS(A:A,A179,C:C,C179)=2,IF(K179="Mismatch","Value Mismatch","Matched"),IF(I179= "Tally","Missing in GST","Missing in Tally"))</f>
        <v>Missing in GST</v>
      </c>
      <c r="M179" s="6" t="str">
        <f t="shared" si="8"/>
        <v/>
      </c>
    </row>
    <row r="180" spans="1:13" x14ac:dyDescent="0.2">
      <c r="A180" s="1" t="str">
        <v>INV1178</v>
      </c>
      <c r="B180" s="2" t="str">
        <v>13-05-2024</v>
      </c>
      <c r="C180" s="1" t="str">
        <v>19ASDFG2468H1Z9</v>
      </c>
      <c r="D180" s="4" t="str">
        <v>Eastern Distributors</v>
      </c>
      <c r="E180" s="6">
        <v>34759.61</v>
      </c>
      <c r="F180" s="6">
        <v>3128.36</v>
      </c>
      <c r="G180" s="6">
        <v>3128.36</v>
      </c>
      <c r="H180" s="6">
        <v>41016.33</v>
      </c>
      <c r="I180" s="19" t="str">
        <v>Tally</v>
      </c>
      <c r="J180" s="1" t="str">
        <f t="shared" si="6"/>
        <v>Unique</v>
      </c>
      <c r="K180" s="21" t="str">
        <f t="shared" si="7"/>
        <v/>
      </c>
      <c r="L180" s="4" t="str">
        <f>IF(COUNTIFS(A:A,A180,C:C,C180)=2,IF(K180="Mismatch","Value Mismatch","Matched"),IF(I180= "Tally","Missing in GST","Missing in Tally"))</f>
        <v>Missing in GST</v>
      </c>
      <c r="M180" s="6" t="str">
        <f t="shared" si="8"/>
        <v/>
      </c>
    </row>
    <row r="181" spans="1:13" x14ac:dyDescent="0.2">
      <c r="A181" s="1" t="str">
        <v>INV1179</v>
      </c>
      <c r="B181" s="2" t="str">
        <v>21-04-2024</v>
      </c>
      <c r="C181" s="1" t="str">
        <v>27ABCDE1234F1Z5</v>
      </c>
      <c r="D181" s="4" t="str">
        <v>Sharma Traders</v>
      </c>
      <c r="E181" s="6">
        <v>16405.45</v>
      </c>
      <c r="F181" s="6">
        <v>1476.49</v>
      </c>
      <c r="G181" s="6">
        <v>1476.49</v>
      </c>
      <c r="H181" s="6">
        <v>19358.43</v>
      </c>
      <c r="I181" s="19" t="str">
        <v>Tally</v>
      </c>
      <c r="J181" s="1" t="str">
        <f t="shared" si="6"/>
        <v>Unique</v>
      </c>
      <c r="K181" s="21" t="str">
        <f t="shared" si="7"/>
        <v/>
      </c>
      <c r="L181" s="4" t="str">
        <f>IF(COUNTIFS(A:A,A181,C:C,C181)=2,IF(K181="Mismatch","Value Mismatch","Matched"),IF(I181= "Tally","Missing in GST","Missing in Tally"))</f>
        <v>Missing in GST</v>
      </c>
      <c r="M181" s="6" t="str">
        <f t="shared" si="8"/>
        <v/>
      </c>
    </row>
    <row r="182" spans="1:13" x14ac:dyDescent="0.2">
      <c r="A182" s="1" t="str">
        <v>INV1180</v>
      </c>
      <c r="B182" s="2" t="str">
        <v>25-06-2024</v>
      </c>
      <c r="C182" s="1" t="str">
        <v>27ABCDE1234F1Z5</v>
      </c>
      <c r="D182" s="4" t="str">
        <v>Sharma Traders</v>
      </c>
      <c r="E182" s="6">
        <v>19299.490000000002</v>
      </c>
      <c r="F182" s="6">
        <v>1736.95</v>
      </c>
      <c r="G182" s="6">
        <v>1736.95</v>
      </c>
      <c r="H182" s="6">
        <v>22773.39</v>
      </c>
      <c r="I182" s="19" t="str">
        <v>Tally</v>
      </c>
      <c r="J182" s="1" t="str">
        <f t="shared" si="6"/>
        <v>Unique</v>
      </c>
      <c r="K182" s="21" t="str">
        <f t="shared" si="7"/>
        <v/>
      </c>
      <c r="L182" s="4" t="str">
        <f>IF(COUNTIFS(A:A,A182,C:C,C182)=2,IF(K182="Mismatch","Value Mismatch","Matched"),IF(I182= "Tally","Missing in GST","Missing in Tally"))</f>
        <v>Missing in GST</v>
      </c>
      <c r="M182" s="6" t="str">
        <f t="shared" si="8"/>
        <v/>
      </c>
    </row>
    <row r="183" spans="1:13" x14ac:dyDescent="0.2">
      <c r="A183" s="1" t="str">
        <v>INV1181</v>
      </c>
      <c r="B183" s="2" t="str">
        <v>05-04-2024</v>
      </c>
      <c r="C183" s="1" t="str">
        <v>07ZXCVB9876M1Z3</v>
      </c>
      <c r="D183" s="4" t="str">
        <v>Gupta Supplies</v>
      </c>
      <c r="E183" s="6">
        <v>27351.45</v>
      </c>
      <c r="F183" s="6">
        <v>2461.63</v>
      </c>
      <c r="G183" s="6">
        <v>2461.63</v>
      </c>
      <c r="H183" s="6">
        <v>32274.71</v>
      </c>
      <c r="I183" s="19" t="str">
        <v>Tally</v>
      </c>
      <c r="J183" s="1" t="str">
        <f t="shared" si="6"/>
        <v>Unique</v>
      </c>
      <c r="K183" s="21" t="str">
        <f t="shared" si="7"/>
        <v/>
      </c>
      <c r="L183" s="4" t="str">
        <f>IF(COUNTIFS(A:A,A183,C:C,C183)=2,IF(K183="Mismatch","Value Mismatch","Matched"),IF(I183= "Tally","Missing in GST","Missing in Tally"))</f>
        <v>Missing in GST</v>
      </c>
      <c r="M183" s="6" t="str">
        <f t="shared" si="8"/>
        <v/>
      </c>
    </row>
    <row r="184" spans="1:13" x14ac:dyDescent="0.2">
      <c r="A184" s="1" t="str">
        <v>INV1182</v>
      </c>
      <c r="B184" s="2" t="str">
        <v>05-04-2024</v>
      </c>
      <c r="C184" s="1" t="str">
        <v>19ASDFG2468H1Z9</v>
      </c>
      <c r="D184" s="4" t="str">
        <v>Eastern Distributors</v>
      </c>
      <c r="E184" s="6">
        <v>23346.58</v>
      </c>
      <c r="F184" s="6">
        <v>2101.19</v>
      </c>
      <c r="G184" s="6">
        <v>2101.19</v>
      </c>
      <c r="H184" s="6">
        <v>27548.959999999999</v>
      </c>
      <c r="I184" s="19" t="str">
        <v>Tally</v>
      </c>
      <c r="J184" s="1" t="str">
        <f t="shared" si="6"/>
        <v>Unique</v>
      </c>
      <c r="K184" s="21" t="str">
        <f t="shared" si="7"/>
        <v/>
      </c>
      <c r="L184" s="4" t="str">
        <f>IF(COUNTIFS(A:A,A184,C:C,C184)=2,IF(K184="Mismatch","Value Mismatch","Matched"),IF(I184= "Tally","Missing in GST","Missing in Tally"))</f>
        <v>Missing in GST</v>
      </c>
      <c r="M184" s="6" t="str">
        <f t="shared" si="8"/>
        <v/>
      </c>
    </row>
    <row r="185" spans="1:13" x14ac:dyDescent="0.2">
      <c r="A185" s="1" t="str">
        <v>INV1183</v>
      </c>
      <c r="B185" s="2" t="str">
        <v>25-06-2024</v>
      </c>
      <c r="C185" s="1" t="str">
        <v>19ASDFG2468H1Z9</v>
      </c>
      <c r="D185" s="4" t="str">
        <v>Eastern Distributors</v>
      </c>
      <c r="E185" s="6">
        <v>38999.15</v>
      </c>
      <c r="F185" s="6">
        <v>3509.92</v>
      </c>
      <c r="G185" s="6">
        <v>3509.92</v>
      </c>
      <c r="H185" s="6">
        <v>46018.99</v>
      </c>
      <c r="I185" s="19" t="str">
        <v>Tally</v>
      </c>
      <c r="J185" s="1" t="str">
        <f t="shared" si="6"/>
        <v>Unique</v>
      </c>
      <c r="K185" s="21" t="str">
        <f t="shared" si="7"/>
        <v/>
      </c>
      <c r="L185" s="4" t="str">
        <f>IF(COUNTIFS(A:A,A185,C:C,C185)=2,IF(K185="Mismatch","Value Mismatch","Matched"),IF(I185= "Tally","Missing in GST","Missing in Tally"))</f>
        <v>Missing in GST</v>
      </c>
      <c r="M185" s="6" t="str">
        <f t="shared" si="8"/>
        <v/>
      </c>
    </row>
    <row r="186" spans="1:13" x14ac:dyDescent="0.2">
      <c r="A186" s="1" t="str">
        <v>INV1184</v>
      </c>
      <c r="B186" s="2" t="str">
        <v>26-05-2024</v>
      </c>
      <c r="C186" s="1" t="str">
        <v>24LMNOP4321K1Z7</v>
      </c>
      <c r="D186" s="4" t="str">
        <v>Patel Industries</v>
      </c>
      <c r="E186" s="6">
        <v>32711.71</v>
      </c>
      <c r="F186" s="6">
        <v>2944.05</v>
      </c>
      <c r="G186" s="6">
        <v>2944.05</v>
      </c>
      <c r="H186" s="6">
        <v>38599.81</v>
      </c>
      <c r="I186" s="19" t="str">
        <v>Tally</v>
      </c>
      <c r="J186" s="1" t="str">
        <f t="shared" si="6"/>
        <v>Unique</v>
      </c>
      <c r="K186" s="21" t="str">
        <f t="shared" si="7"/>
        <v/>
      </c>
      <c r="L186" s="4" t="str">
        <f>IF(COUNTIFS(A:A,A186,C:C,C186)=2,IF(K186="Mismatch","Value Mismatch","Matched"),IF(I186= "Tally","Missing in GST","Missing in Tally"))</f>
        <v>Missing in GST</v>
      </c>
      <c r="M186" s="6" t="str">
        <f t="shared" si="8"/>
        <v/>
      </c>
    </row>
    <row r="187" spans="1:13" x14ac:dyDescent="0.2">
      <c r="A187" s="1" t="str">
        <v>INV1185</v>
      </c>
      <c r="B187" s="2" t="str">
        <v>14-04-2024</v>
      </c>
      <c r="C187" s="1" t="str">
        <v>07ZXCVB9876M1Z3</v>
      </c>
      <c r="D187" s="4" t="str">
        <v>Gupta Supplies</v>
      </c>
      <c r="E187" s="6">
        <v>41013.74</v>
      </c>
      <c r="F187" s="6">
        <v>3691.24</v>
      </c>
      <c r="G187" s="6">
        <v>3691.24</v>
      </c>
      <c r="H187" s="6">
        <v>48396.22</v>
      </c>
      <c r="I187" s="19" t="str">
        <v>Tally</v>
      </c>
      <c r="J187" s="1" t="str">
        <f t="shared" si="6"/>
        <v>Unique</v>
      </c>
      <c r="K187" s="21" t="str">
        <f t="shared" si="7"/>
        <v/>
      </c>
      <c r="L187" s="4" t="str">
        <f>IF(COUNTIFS(A:A,A187,C:C,C187)=2,IF(K187="Mismatch","Value Mismatch","Matched"),IF(I187= "Tally","Missing in GST","Missing in Tally"))</f>
        <v>Missing in GST</v>
      </c>
      <c r="M187" s="6" t="str">
        <f t="shared" si="8"/>
        <v/>
      </c>
    </row>
    <row r="188" spans="1:13" x14ac:dyDescent="0.2">
      <c r="A188" s="1" t="str">
        <v>INV1186</v>
      </c>
      <c r="B188" s="2" t="str">
        <v>20-04-2024</v>
      </c>
      <c r="C188" s="1" t="str">
        <v>29PQRSX5678L1Z2</v>
      </c>
      <c r="D188" s="4" t="str">
        <v>Kiran Enterprises</v>
      </c>
      <c r="E188" s="6">
        <v>35378.230000000003</v>
      </c>
      <c r="F188" s="6">
        <v>3184.04</v>
      </c>
      <c r="G188" s="6">
        <v>3184.04</v>
      </c>
      <c r="H188" s="6">
        <v>41746.31</v>
      </c>
      <c r="I188" s="19" t="str">
        <v>Tally</v>
      </c>
      <c r="J188" s="1" t="str">
        <f t="shared" si="6"/>
        <v>Unique</v>
      </c>
      <c r="K188" s="21" t="str">
        <f t="shared" si="7"/>
        <v/>
      </c>
      <c r="L188" s="4" t="str">
        <f>IF(COUNTIFS(A:A,A188,C:C,C188)=2,IF(K188="Mismatch","Value Mismatch","Matched"),IF(I188= "Tally","Missing in GST","Missing in Tally"))</f>
        <v>Missing in GST</v>
      </c>
      <c r="M188" s="6" t="str">
        <f t="shared" si="8"/>
        <v/>
      </c>
    </row>
    <row r="189" spans="1:13" x14ac:dyDescent="0.2">
      <c r="A189" s="1" t="str">
        <v>INV1187</v>
      </c>
      <c r="B189" s="2" t="str">
        <v>19-06-2024</v>
      </c>
      <c r="C189" s="1" t="str">
        <v>07ZXCVB9876M1Z3</v>
      </c>
      <c r="D189" s="4" t="str">
        <v>Gupta Supplies</v>
      </c>
      <c r="E189" s="6">
        <v>37053.94</v>
      </c>
      <c r="F189" s="6">
        <v>3334.85</v>
      </c>
      <c r="G189" s="6">
        <v>3334.85</v>
      </c>
      <c r="H189" s="6">
        <v>43723.64</v>
      </c>
      <c r="I189" s="19" t="str">
        <v>Tally</v>
      </c>
      <c r="J189" s="1" t="str">
        <f t="shared" si="6"/>
        <v>Unique</v>
      </c>
      <c r="K189" s="21" t="str">
        <f t="shared" si="7"/>
        <v/>
      </c>
      <c r="L189" s="4" t="str">
        <f>IF(COUNTIFS(A:A,A189,C:C,C189)=2,IF(K189="Mismatch","Value Mismatch","Matched"),IF(I189= "Tally","Missing in GST","Missing in Tally"))</f>
        <v>Missing in GST</v>
      </c>
      <c r="M189" s="6" t="str">
        <f t="shared" si="8"/>
        <v/>
      </c>
    </row>
    <row r="190" spans="1:13" x14ac:dyDescent="0.2">
      <c r="A190" s="1" t="str">
        <v>INV1188</v>
      </c>
      <c r="B190" s="2" t="str">
        <v>08-05-2024</v>
      </c>
      <c r="C190" s="1" t="str">
        <v>29PQRSX5678L1Z2</v>
      </c>
      <c r="D190" s="4" t="str">
        <v>Kiran Enterprises</v>
      </c>
      <c r="E190" s="6">
        <v>47134.9</v>
      </c>
      <c r="F190" s="6">
        <v>4242.1400000000003</v>
      </c>
      <c r="G190" s="6">
        <v>4242.1400000000003</v>
      </c>
      <c r="H190" s="6">
        <v>55619.18</v>
      </c>
      <c r="I190" s="19" t="str">
        <v>Tally</v>
      </c>
      <c r="J190" s="1" t="str">
        <f t="shared" si="6"/>
        <v>Unique</v>
      </c>
      <c r="K190" s="21" t="str">
        <f t="shared" si="7"/>
        <v/>
      </c>
      <c r="L190" s="4" t="str">
        <f>IF(COUNTIFS(A:A,A190,C:C,C190)=2,IF(K190="Mismatch","Value Mismatch","Matched"),IF(I190= "Tally","Missing in GST","Missing in Tally"))</f>
        <v>Missing in GST</v>
      </c>
      <c r="M190" s="6" t="str">
        <f t="shared" si="8"/>
        <v/>
      </c>
    </row>
    <row r="191" spans="1:13" x14ac:dyDescent="0.2">
      <c r="A191" s="1" t="str">
        <v>INV1189</v>
      </c>
      <c r="B191" s="2" t="str">
        <v>18-05-2024</v>
      </c>
      <c r="C191" s="1" t="str">
        <v>07ZXCVB9876M1Z3</v>
      </c>
      <c r="D191" s="4" t="str">
        <v>Gupta Supplies</v>
      </c>
      <c r="E191" s="6">
        <v>9660.06</v>
      </c>
      <c r="F191" s="6">
        <v>869.41</v>
      </c>
      <c r="G191" s="6">
        <v>869.41</v>
      </c>
      <c r="H191" s="6">
        <v>11398.88</v>
      </c>
      <c r="I191" s="19" t="str">
        <v>Tally</v>
      </c>
      <c r="J191" s="1" t="str">
        <f t="shared" si="6"/>
        <v>Unique</v>
      </c>
      <c r="K191" s="21" t="str">
        <f t="shared" si="7"/>
        <v/>
      </c>
      <c r="L191" s="4" t="str">
        <f>IF(COUNTIFS(A:A,A191,C:C,C191)=2,IF(K191="Mismatch","Value Mismatch","Matched"),IF(I191= "Tally","Missing in GST","Missing in Tally"))</f>
        <v>Missing in GST</v>
      </c>
      <c r="M191" s="6" t="str">
        <f t="shared" si="8"/>
        <v/>
      </c>
    </row>
    <row r="192" spans="1:13" x14ac:dyDescent="0.2">
      <c r="A192" s="1" t="str">
        <v>INV1190</v>
      </c>
      <c r="B192" s="2" t="str">
        <v>12-04-2024</v>
      </c>
      <c r="C192" s="1" t="str">
        <v>29PQRSX5678L1Z2</v>
      </c>
      <c r="D192" s="4" t="str">
        <v>Kiran Enterprises</v>
      </c>
      <c r="E192" s="6">
        <v>20527.2</v>
      </c>
      <c r="F192" s="6">
        <v>1847.45</v>
      </c>
      <c r="G192" s="6">
        <v>1847.45</v>
      </c>
      <c r="H192" s="6">
        <v>24222.1</v>
      </c>
      <c r="I192" s="19" t="str">
        <v>Tally</v>
      </c>
      <c r="J192" s="1" t="str">
        <f t="shared" si="6"/>
        <v>Unique</v>
      </c>
      <c r="K192" s="21" t="str">
        <f t="shared" si="7"/>
        <v/>
      </c>
      <c r="L192" s="4" t="str">
        <f>IF(COUNTIFS(A:A,A192,C:C,C192)=2,IF(K192="Mismatch","Value Mismatch","Matched"),IF(I192= "Tally","Missing in GST","Missing in Tally"))</f>
        <v>Missing in GST</v>
      </c>
      <c r="M192" s="6" t="str">
        <f t="shared" si="8"/>
        <v/>
      </c>
    </row>
    <row r="193" spans="1:13" x14ac:dyDescent="0.2">
      <c r="A193" s="1" t="str">
        <v>INV1191</v>
      </c>
      <c r="B193" s="2" t="str">
        <v>18-04-2024</v>
      </c>
      <c r="C193" s="1" t="str">
        <v>27ABCDE1234F1Z5</v>
      </c>
      <c r="D193" s="4" t="str">
        <v>Sharma Traders</v>
      </c>
      <c r="E193" s="6">
        <v>6738.15</v>
      </c>
      <c r="F193" s="6">
        <v>606.42999999999995</v>
      </c>
      <c r="G193" s="6">
        <v>606.42999999999995</v>
      </c>
      <c r="H193" s="6">
        <v>7951.01</v>
      </c>
      <c r="I193" s="19" t="str">
        <v>Tally</v>
      </c>
      <c r="J193" s="1" t="str">
        <f t="shared" si="6"/>
        <v>Unique</v>
      </c>
      <c r="K193" s="21" t="str">
        <f t="shared" si="7"/>
        <v/>
      </c>
      <c r="L193" s="4" t="str">
        <f>IF(COUNTIFS(A:A,A193,C:C,C193)=2,IF(K193="Mismatch","Value Mismatch","Matched"),IF(I193= "Tally","Missing in GST","Missing in Tally"))</f>
        <v>Missing in GST</v>
      </c>
      <c r="M193" s="6" t="str">
        <f t="shared" si="8"/>
        <v/>
      </c>
    </row>
    <row r="194" spans="1:13" x14ac:dyDescent="0.2">
      <c r="A194" s="1" t="str">
        <v>INV1192</v>
      </c>
      <c r="B194" s="2" t="str">
        <v>11-04-2024</v>
      </c>
      <c r="C194" s="1" t="str">
        <v>29PQRSX5678L1Z2</v>
      </c>
      <c r="D194" s="4" t="str">
        <v>Kiran Enterprises</v>
      </c>
      <c r="E194" s="6">
        <v>45453.72</v>
      </c>
      <c r="F194" s="6">
        <v>4090.83</v>
      </c>
      <c r="G194" s="6">
        <v>4090.83</v>
      </c>
      <c r="H194" s="6">
        <v>53635.38</v>
      </c>
      <c r="I194" s="19" t="str">
        <v>Tally</v>
      </c>
      <c r="J194" s="1" t="str">
        <f t="shared" si="6"/>
        <v>Unique</v>
      </c>
      <c r="K194" s="21" t="str">
        <f t="shared" si="7"/>
        <v/>
      </c>
      <c r="L194" s="4" t="str">
        <f>IF(COUNTIFS(A:A,A194,C:C,C194)=2,IF(K194="Mismatch","Value Mismatch","Matched"),IF(I194= "Tally","Missing in GST","Missing in Tally"))</f>
        <v>Missing in GST</v>
      </c>
      <c r="M194" s="6" t="str">
        <f t="shared" si="8"/>
        <v/>
      </c>
    </row>
    <row r="195" spans="1:13" x14ac:dyDescent="0.2">
      <c r="A195" s="1" t="str">
        <v>INV1193</v>
      </c>
      <c r="B195" s="2" t="str">
        <v>22-05-2024</v>
      </c>
      <c r="C195" s="1" t="str">
        <v>29PQRSX5678L1Z2</v>
      </c>
      <c r="D195" s="4" t="str">
        <v>Kiran Enterprises</v>
      </c>
      <c r="E195" s="6">
        <v>18922.849999999999</v>
      </c>
      <c r="F195" s="6">
        <v>1703.06</v>
      </c>
      <c r="G195" s="6">
        <v>1703.06</v>
      </c>
      <c r="H195" s="6">
        <v>22328.97</v>
      </c>
      <c r="I195" s="19" t="str">
        <v>Tally</v>
      </c>
      <c r="J195" s="1" t="str">
        <f t="shared" ref="J195:J258" si="9">IF(COUNTIFS(A:A,A195,D:D,D195,I:I,I195)&gt;1,"Duplicate","Unique")</f>
        <v>Unique</v>
      </c>
      <c r="K195" s="21" t="str">
        <f t="shared" ref="K195:K258" si="10">IF(COUNTIFS(A:A,A195,C:C,C195)=2,IF(SUMIFS(E:E,A:A,A195,C:C,C195)&lt;&gt;E195*2,"Mismatch","Matched"),"")</f>
        <v/>
      </c>
      <c r="L195" s="4" t="str">
        <f>IF(COUNTIFS(A:A,A195,C:C,C195)=2,IF(K195="Mismatch","Value Mismatch","Matched"),IF(I195= "Tally","Missing in GST","Missing in Tally"))</f>
        <v>Missing in GST</v>
      </c>
      <c r="M195" s="6" t="str">
        <f t="shared" ref="M195:M258" si="11">IF(COUNTIFS(A:A,A195,C:C,C195)=2,SUMIFS(E:E,A:A,A195,C:C,C195)-E195*2,"")</f>
        <v/>
      </c>
    </row>
    <row r="196" spans="1:13" x14ac:dyDescent="0.2">
      <c r="A196" s="1" t="str">
        <v>INV1194</v>
      </c>
      <c r="B196" s="2" t="str">
        <v>14-04-2024</v>
      </c>
      <c r="C196" s="1" t="str">
        <v>07ZXCVB9876M1Z3</v>
      </c>
      <c r="D196" s="4" t="str">
        <v>Gupta Supplies</v>
      </c>
      <c r="E196" s="6">
        <v>13533.61</v>
      </c>
      <c r="F196" s="6">
        <v>1218.02</v>
      </c>
      <c r="G196" s="6">
        <v>1218.02</v>
      </c>
      <c r="H196" s="6">
        <v>15969.65</v>
      </c>
      <c r="I196" s="19" t="str">
        <v>Tally</v>
      </c>
      <c r="J196" s="1" t="str">
        <f t="shared" si="9"/>
        <v>Unique</v>
      </c>
      <c r="K196" s="21" t="str">
        <f t="shared" si="10"/>
        <v/>
      </c>
      <c r="L196" s="4" t="str">
        <f>IF(COUNTIFS(A:A,A196,C:C,C196)=2,IF(K196="Mismatch","Value Mismatch","Matched"),IF(I196= "Tally","Missing in GST","Missing in Tally"))</f>
        <v>Missing in GST</v>
      </c>
      <c r="M196" s="6" t="str">
        <f t="shared" si="11"/>
        <v/>
      </c>
    </row>
    <row r="197" spans="1:13" x14ac:dyDescent="0.2">
      <c r="A197" s="1" t="str">
        <v>INV1195</v>
      </c>
      <c r="B197" s="2" t="str">
        <v>16-05-2024</v>
      </c>
      <c r="C197" s="1" t="str">
        <v>07ZXCVB9876M1Z3</v>
      </c>
      <c r="D197" s="4" t="str">
        <v>Gupta Supplies</v>
      </c>
      <c r="E197" s="6">
        <v>2226.9899999999998</v>
      </c>
      <c r="F197" s="6">
        <v>200.43</v>
      </c>
      <c r="G197" s="6">
        <v>200.43</v>
      </c>
      <c r="H197" s="6">
        <v>2627.85</v>
      </c>
      <c r="I197" s="19" t="str">
        <v>Tally</v>
      </c>
      <c r="J197" s="1" t="str">
        <f t="shared" si="9"/>
        <v>Unique</v>
      </c>
      <c r="K197" s="21" t="str">
        <f t="shared" si="10"/>
        <v/>
      </c>
      <c r="L197" s="4" t="str">
        <f>IF(COUNTIFS(A:A,A197,C:C,C197)=2,IF(K197="Mismatch","Value Mismatch","Matched"),IF(I197= "Tally","Missing in GST","Missing in Tally"))</f>
        <v>Missing in GST</v>
      </c>
      <c r="M197" s="6" t="str">
        <f t="shared" si="11"/>
        <v/>
      </c>
    </row>
    <row r="198" spans="1:13" x14ac:dyDescent="0.2">
      <c r="A198" s="1" t="str">
        <v>INV1196</v>
      </c>
      <c r="B198" s="2" t="str">
        <v>12-06-2024</v>
      </c>
      <c r="C198" s="1" t="str">
        <v>19ASDFG2468H1Z9</v>
      </c>
      <c r="D198" s="4" t="str">
        <v>Eastern Distributors</v>
      </c>
      <c r="E198" s="6">
        <v>1417.82</v>
      </c>
      <c r="F198" s="6">
        <v>127.6</v>
      </c>
      <c r="G198" s="6">
        <v>127.6</v>
      </c>
      <c r="H198" s="6">
        <v>1673.02</v>
      </c>
      <c r="I198" s="19" t="str">
        <v>Tally</v>
      </c>
      <c r="J198" s="1" t="str">
        <f t="shared" si="9"/>
        <v>Unique</v>
      </c>
      <c r="K198" s="21" t="str">
        <f t="shared" si="10"/>
        <v/>
      </c>
      <c r="L198" s="4" t="str">
        <f>IF(COUNTIFS(A:A,A198,C:C,C198)=2,IF(K198="Mismatch","Value Mismatch","Matched"),IF(I198= "Tally","Missing in GST","Missing in Tally"))</f>
        <v>Missing in GST</v>
      </c>
      <c r="M198" s="6" t="str">
        <f t="shared" si="11"/>
        <v/>
      </c>
    </row>
    <row r="199" spans="1:13" x14ac:dyDescent="0.2">
      <c r="A199" s="1" t="str">
        <v>INV1197</v>
      </c>
      <c r="B199" s="2" t="str">
        <v>11-04-2024</v>
      </c>
      <c r="C199" s="1" t="str">
        <v>19ASDFG2468H1Z9</v>
      </c>
      <c r="D199" s="4" t="str">
        <v>Eastern Distributors</v>
      </c>
      <c r="E199" s="6">
        <v>45323.6</v>
      </c>
      <c r="F199" s="6">
        <v>4079.12</v>
      </c>
      <c r="G199" s="6">
        <v>4079.12</v>
      </c>
      <c r="H199" s="6">
        <v>53481.84</v>
      </c>
      <c r="I199" s="19" t="str">
        <v>Tally</v>
      </c>
      <c r="J199" s="1" t="str">
        <f t="shared" si="9"/>
        <v>Unique</v>
      </c>
      <c r="K199" s="21" t="str">
        <f t="shared" si="10"/>
        <v/>
      </c>
      <c r="L199" s="4" t="str">
        <f>IF(COUNTIFS(A:A,A199,C:C,C199)=2,IF(K199="Mismatch","Value Mismatch","Matched"),IF(I199= "Tally","Missing in GST","Missing in Tally"))</f>
        <v>Missing in GST</v>
      </c>
      <c r="M199" s="6" t="str">
        <f t="shared" si="11"/>
        <v/>
      </c>
    </row>
    <row r="200" spans="1:13" x14ac:dyDescent="0.2">
      <c r="A200" s="1" t="str">
        <v>INV1198</v>
      </c>
      <c r="B200" s="2" t="str">
        <v>09-06-2024</v>
      </c>
      <c r="C200" s="1" t="str">
        <v>07ZXCVB9876M1Z3</v>
      </c>
      <c r="D200" s="4" t="str">
        <v>Gupta Supplies</v>
      </c>
      <c r="E200" s="6">
        <v>20341.29</v>
      </c>
      <c r="F200" s="6">
        <v>1830.72</v>
      </c>
      <c r="G200" s="6">
        <v>1830.72</v>
      </c>
      <c r="H200" s="6">
        <v>24002.73</v>
      </c>
      <c r="I200" s="19" t="str">
        <v>Tally</v>
      </c>
      <c r="J200" s="1" t="str">
        <f t="shared" si="9"/>
        <v>Unique</v>
      </c>
      <c r="K200" s="21" t="str">
        <f t="shared" si="10"/>
        <v/>
      </c>
      <c r="L200" s="4" t="str">
        <f>IF(COUNTIFS(A:A,A200,C:C,C200)=2,IF(K200="Mismatch","Value Mismatch","Matched"),IF(I200= "Tally","Missing in GST","Missing in Tally"))</f>
        <v>Missing in GST</v>
      </c>
      <c r="M200" s="6" t="str">
        <f t="shared" si="11"/>
        <v/>
      </c>
    </row>
    <row r="201" spans="1:13" x14ac:dyDescent="0.2">
      <c r="A201" s="1" t="str">
        <v>INV1199</v>
      </c>
      <c r="B201" s="2" t="str">
        <v>14-06-2024</v>
      </c>
      <c r="C201" s="1" t="str">
        <v>29PQRSX5678L1Z2</v>
      </c>
      <c r="D201" s="4" t="str">
        <v>Kiran Enterprises</v>
      </c>
      <c r="E201" s="6">
        <v>17723.39</v>
      </c>
      <c r="F201" s="6">
        <v>1595.11</v>
      </c>
      <c r="G201" s="6">
        <v>1595.11</v>
      </c>
      <c r="H201" s="6">
        <v>20913.61</v>
      </c>
      <c r="I201" s="19" t="str">
        <v>Tally</v>
      </c>
      <c r="J201" s="1" t="str">
        <f t="shared" si="9"/>
        <v>Unique</v>
      </c>
      <c r="K201" s="21" t="str">
        <f t="shared" si="10"/>
        <v/>
      </c>
      <c r="L201" s="4" t="str">
        <f>IF(COUNTIFS(A:A,A201,C:C,C201)=2,IF(K201="Mismatch","Value Mismatch","Matched"),IF(I201= "Tally","Missing in GST","Missing in Tally"))</f>
        <v>Missing in GST</v>
      </c>
      <c r="M201" s="6" t="str">
        <f t="shared" si="11"/>
        <v/>
      </c>
    </row>
    <row r="202" spans="1:13" x14ac:dyDescent="0.2">
      <c r="A202" s="1" t="str">
        <v>INV1200</v>
      </c>
      <c r="B202" s="2" t="str">
        <v>23-05-2024</v>
      </c>
      <c r="C202" s="1" t="str">
        <v>27ABCDE1234F1Z5</v>
      </c>
      <c r="D202" s="4" t="str">
        <v>Sharma Traders</v>
      </c>
      <c r="E202" s="6">
        <v>9459.85</v>
      </c>
      <c r="F202" s="6">
        <v>851.39</v>
      </c>
      <c r="G202" s="6">
        <v>851.39</v>
      </c>
      <c r="H202" s="6">
        <v>11162.63</v>
      </c>
      <c r="I202" s="19" t="str">
        <v>Tally</v>
      </c>
      <c r="J202" s="1" t="str">
        <f t="shared" si="9"/>
        <v>Unique</v>
      </c>
      <c r="K202" s="21" t="str">
        <f t="shared" si="10"/>
        <v/>
      </c>
      <c r="L202" s="4" t="str">
        <f>IF(COUNTIFS(A:A,A202,C:C,C202)=2,IF(K202="Mismatch","Value Mismatch","Matched"),IF(I202= "Tally","Missing in GST","Missing in Tally"))</f>
        <v>Missing in GST</v>
      </c>
      <c r="M202" s="6" t="str">
        <f t="shared" si="11"/>
        <v/>
      </c>
    </row>
    <row r="203" spans="1:13" x14ac:dyDescent="0.2">
      <c r="A203" s="1" t="str">
        <v>INV1201</v>
      </c>
      <c r="B203" s="2" t="str">
        <v>04-05-2024</v>
      </c>
      <c r="C203" s="1" t="str">
        <v>07ZXCVB9876M1Z3</v>
      </c>
      <c r="D203" s="4" t="str">
        <v>Gupta Supplies</v>
      </c>
      <c r="E203" s="6">
        <v>2957.26</v>
      </c>
      <c r="F203" s="6">
        <v>266.14999999999998</v>
      </c>
      <c r="G203" s="6">
        <v>266.14999999999998</v>
      </c>
      <c r="H203" s="6">
        <v>3489.56</v>
      </c>
      <c r="I203" s="19" t="str">
        <v>Tally</v>
      </c>
      <c r="J203" s="1" t="str">
        <f t="shared" si="9"/>
        <v>Unique</v>
      </c>
      <c r="K203" s="21" t="str">
        <f t="shared" si="10"/>
        <v/>
      </c>
      <c r="L203" s="4" t="str">
        <f>IF(COUNTIFS(A:A,A203,C:C,C203)=2,IF(K203="Mismatch","Value Mismatch","Matched"),IF(I203= "Tally","Missing in GST","Missing in Tally"))</f>
        <v>Missing in GST</v>
      </c>
      <c r="M203" s="6" t="str">
        <f t="shared" si="11"/>
        <v/>
      </c>
    </row>
    <row r="204" spans="1:13" x14ac:dyDescent="0.2">
      <c r="A204" s="1" t="str">
        <v>INV1202</v>
      </c>
      <c r="B204" s="2" t="str">
        <v>14-05-2024</v>
      </c>
      <c r="C204" s="1" t="str">
        <v>07ZXCVB9876M1Z3</v>
      </c>
      <c r="D204" s="4" t="str">
        <v>Gupta Supplies</v>
      </c>
      <c r="E204" s="6">
        <v>3982.01</v>
      </c>
      <c r="F204" s="6">
        <v>358.38</v>
      </c>
      <c r="G204" s="6">
        <v>358.38</v>
      </c>
      <c r="H204" s="6">
        <v>4698.7700000000004</v>
      </c>
      <c r="I204" s="19" t="str">
        <v>Tally</v>
      </c>
      <c r="J204" s="1" t="str">
        <f t="shared" si="9"/>
        <v>Unique</v>
      </c>
      <c r="K204" s="21" t="str">
        <f t="shared" si="10"/>
        <v/>
      </c>
      <c r="L204" s="4" t="str">
        <f>IF(COUNTIFS(A:A,A204,C:C,C204)=2,IF(K204="Mismatch","Value Mismatch","Matched"),IF(I204= "Tally","Missing in GST","Missing in Tally"))</f>
        <v>Missing in GST</v>
      </c>
      <c r="M204" s="6" t="str">
        <f t="shared" si="11"/>
        <v/>
      </c>
    </row>
    <row r="205" spans="1:13" x14ac:dyDescent="0.2">
      <c r="A205" s="1" t="str">
        <v>INV1203</v>
      </c>
      <c r="B205" s="2" t="str">
        <v>10-04-2024</v>
      </c>
      <c r="C205" s="1" t="str">
        <v>29PQRSX5678L1Z2</v>
      </c>
      <c r="D205" s="4" t="str">
        <v>Kiran Enterprises</v>
      </c>
      <c r="E205" s="6">
        <v>26341.67</v>
      </c>
      <c r="F205" s="6">
        <v>2370.75</v>
      </c>
      <c r="G205" s="6">
        <v>2370.75</v>
      </c>
      <c r="H205" s="6">
        <v>31083.17</v>
      </c>
      <c r="I205" s="19" t="str">
        <v>Tally</v>
      </c>
      <c r="J205" s="1" t="str">
        <f t="shared" si="9"/>
        <v>Unique</v>
      </c>
      <c r="K205" s="21" t="str">
        <f t="shared" si="10"/>
        <v/>
      </c>
      <c r="L205" s="4" t="str">
        <f>IF(COUNTIFS(A:A,A205,C:C,C205)=2,IF(K205="Mismatch","Value Mismatch","Matched"),IF(I205= "Tally","Missing in GST","Missing in Tally"))</f>
        <v>Missing in GST</v>
      </c>
      <c r="M205" s="6" t="str">
        <f t="shared" si="11"/>
        <v/>
      </c>
    </row>
    <row r="206" spans="1:13" x14ac:dyDescent="0.2">
      <c r="A206" s="1" t="str">
        <v>INV1204</v>
      </c>
      <c r="B206" s="2" t="str">
        <v>10-05-2024</v>
      </c>
      <c r="C206" s="1" t="str">
        <v>29PQRSX5678L1Z2</v>
      </c>
      <c r="D206" s="4" t="str">
        <v>Kiran Enterprises</v>
      </c>
      <c r="E206" s="6">
        <v>23644.28</v>
      </c>
      <c r="F206" s="6">
        <v>2127.9899999999998</v>
      </c>
      <c r="G206" s="6">
        <v>2127.9899999999998</v>
      </c>
      <c r="H206" s="6">
        <v>27900.26</v>
      </c>
      <c r="I206" s="19" t="str">
        <v>Tally</v>
      </c>
      <c r="J206" s="1" t="str">
        <f t="shared" si="9"/>
        <v>Unique</v>
      </c>
      <c r="K206" s="21" t="str">
        <f t="shared" si="10"/>
        <v/>
      </c>
      <c r="L206" s="4" t="str">
        <f>IF(COUNTIFS(A:A,A206,C:C,C206)=2,IF(K206="Mismatch","Value Mismatch","Matched"),IF(I206= "Tally","Missing in GST","Missing in Tally"))</f>
        <v>Missing in GST</v>
      </c>
      <c r="M206" s="6" t="str">
        <f t="shared" si="11"/>
        <v/>
      </c>
    </row>
    <row r="207" spans="1:13" x14ac:dyDescent="0.2">
      <c r="A207" s="1" t="str">
        <v>INV1205</v>
      </c>
      <c r="B207" s="2" t="str">
        <v>08-05-2024</v>
      </c>
      <c r="C207" s="1" t="str">
        <v>19ASDFG2468H1Z9</v>
      </c>
      <c r="D207" s="4" t="str">
        <v>Eastern Distributors</v>
      </c>
      <c r="E207" s="6">
        <v>31275.58</v>
      </c>
      <c r="F207" s="6">
        <v>2814.8</v>
      </c>
      <c r="G207" s="6">
        <v>2814.8</v>
      </c>
      <c r="H207" s="6">
        <v>36905.18</v>
      </c>
      <c r="I207" s="19" t="str">
        <v>Tally</v>
      </c>
      <c r="J207" s="1" t="str">
        <f t="shared" si="9"/>
        <v>Unique</v>
      </c>
      <c r="K207" s="21" t="str">
        <f t="shared" si="10"/>
        <v/>
      </c>
      <c r="L207" s="4" t="str">
        <f>IF(COUNTIFS(A:A,A207,C:C,C207)=2,IF(K207="Mismatch","Value Mismatch","Matched"),IF(I207= "Tally","Missing in GST","Missing in Tally"))</f>
        <v>Missing in GST</v>
      </c>
      <c r="M207" s="6" t="str">
        <f t="shared" si="11"/>
        <v/>
      </c>
    </row>
    <row r="208" spans="1:13" x14ac:dyDescent="0.2">
      <c r="A208" s="1" t="str">
        <v>INV1206</v>
      </c>
      <c r="B208" s="2" t="str">
        <v>17-06-2024</v>
      </c>
      <c r="C208" s="1" t="str">
        <v>19ASDFG2468H1Z9</v>
      </c>
      <c r="D208" s="4" t="str">
        <v>Eastern Distributors</v>
      </c>
      <c r="E208" s="6">
        <v>21938.69</v>
      </c>
      <c r="F208" s="6">
        <v>1974.48</v>
      </c>
      <c r="G208" s="6">
        <v>1974.48</v>
      </c>
      <c r="H208" s="6">
        <v>25887.65</v>
      </c>
      <c r="I208" s="19" t="str">
        <v>Tally</v>
      </c>
      <c r="J208" s="1" t="str">
        <f t="shared" si="9"/>
        <v>Unique</v>
      </c>
      <c r="K208" s="21" t="str">
        <f t="shared" si="10"/>
        <v/>
      </c>
      <c r="L208" s="4" t="str">
        <f>IF(COUNTIFS(A:A,A208,C:C,C208)=2,IF(K208="Mismatch","Value Mismatch","Matched"),IF(I208= "Tally","Missing in GST","Missing in Tally"))</f>
        <v>Missing in GST</v>
      </c>
      <c r="M208" s="6" t="str">
        <f t="shared" si="11"/>
        <v/>
      </c>
    </row>
    <row r="209" spans="1:13" x14ac:dyDescent="0.2">
      <c r="A209" s="1" t="str">
        <v>INV1207</v>
      </c>
      <c r="B209" s="2" t="str">
        <v>29-06-2024</v>
      </c>
      <c r="C209" s="1" t="str">
        <v>29PQRSX5678L1Z2</v>
      </c>
      <c r="D209" s="4" t="str">
        <v>Kiran Enterprises</v>
      </c>
      <c r="E209" s="6">
        <v>24208.84</v>
      </c>
      <c r="F209" s="6">
        <v>2178.8000000000002</v>
      </c>
      <c r="G209" s="6">
        <v>2178.8000000000002</v>
      </c>
      <c r="H209" s="6">
        <v>28566.44</v>
      </c>
      <c r="I209" s="19" t="str">
        <v>Tally</v>
      </c>
      <c r="J209" s="1" t="str">
        <f t="shared" si="9"/>
        <v>Unique</v>
      </c>
      <c r="K209" s="21" t="str">
        <f t="shared" si="10"/>
        <v/>
      </c>
      <c r="L209" s="4" t="str">
        <f>IF(COUNTIFS(A:A,A209,C:C,C209)=2,IF(K209="Mismatch","Value Mismatch","Matched"),IF(I209= "Tally","Missing in GST","Missing in Tally"))</f>
        <v>Missing in GST</v>
      </c>
      <c r="M209" s="6" t="str">
        <f t="shared" si="11"/>
        <v/>
      </c>
    </row>
    <row r="210" spans="1:13" x14ac:dyDescent="0.2">
      <c r="A210" s="1" t="str">
        <v>INV1208</v>
      </c>
      <c r="B210" s="2" t="str">
        <v>25-04-2024</v>
      </c>
      <c r="C210" s="1" t="str">
        <v>07ZXCVB9876M1Z3</v>
      </c>
      <c r="D210" s="4" t="str">
        <v>Gupta Supplies</v>
      </c>
      <c r="E210" s="6">
        <v>36328.53</v>
      </c>
      <c r="F210" s="6">
        <v>3269.57</v>
      </c>
      <c r="G210" s="6">
        <v>3269.57</v>
      </c>
      <c r="H210" s="6">
        <v>42867.67</v>
      </c>
      <c r="I210" s="19" t="str">
        <v>Tally</v>
      </c>
      <c r="J210" s="1" t="str">
        <f t="shared" si="9"/>
        <v>Unique</v>
      </c>
      <c r="K210" s="21" t="str">
        <f t="shared" si="10"/>
        <v/>
      </c>
      <c r="L210" s="4" t="str">
        <f>IF(COUNTIFS(A:A,A210,C:C,C210)=2,IF(K210="Mismatch","Value Mismatch","Matched"),IF(I210= "Tally","Missing in GST","Missing in Tally"))</f>
        <v>Missing in GST</v>
      </c>
      <c r="M210" s="6" t="str">
        <f t="shared" si="11"/>
        <v/>
      </c>
    </row>
    <row r="211" spans="1:13" x14ac:dyDescent="0.2">
      <c r="A211" s="1" t="str">
        <v>INV1209</v>
      </c>
      <c r="B211" s="2" t="str">
        <v>17-05-2024</v>
      </c>
      <c r="C211" s="1" t="str">
        <v>29PQRSX5678L1Z2</v>
      </c>
      <c r="D211" s="4" t="str">
        <v>Kiran Enterprises</v>
      </c>
      <c r="E211" s="6">
        <v>12343.86</v>
      </c>
      <c r="F211" s="6">
        <v>1110.95</v>
      </c>
      <c r="G211" s="6">
        <v>1110.95</v>
      </c>
      <c r="H211" s="6">
        <v>14565.76</v>
      </c>
      <c r="I211" s="19" t="str">
        <v>Tally</v>
      </c>
      <c r="J211" s="1" t="str">
        <f t="shared" si="9"/>
        <v>Unique</v>
      </c>
      <c r="K211" s="21" t="str">
        <f t="shared" si="10"/>
        <v/>
      </c>
      <c r="L211" s="4" t="str">
        <f>IF(COUNTIFS(A:A,A211,C:C,C211)=2,IF(K211="Mismatch","Value Mismatch","Matched"),IF(I211= "Tally","Missing in GST","Missing in Tally"))</f>
        <v>Missing in GST</v>
      </c>
      <c r="M211" s="6" t="str">
        <f t="shared" si="11"/>
        <v/>
      </c>
    </row>
    <row r="212" spans="1:13" x14ac:dyDescent="0.2">
      <c r="A212" s="1" t="str">
        <v>INV1210</v>
      </c>
      <c r="B212" s="2" t="str">
        <v>02-04-2024</v>
      </c>
      <c r="C212" s="1" t="str">
        <v>19ASDFG2468H1Z9</v>
      </c>
      <c r="D212" s="4" t="str">
        <v>Eastern Distributors</v>
      </c>
      <c r="E212" s="6">
        <v>18019.599999999999</v>
      </c>
      <c r="F212" s="6">
        <v>1621.76</v>
      </c>
      <c r="G212" s="6">
        <v>1621.76</v>
      </c>
      <c r="H212" s="6">
        <v>21263.119999999999</v>
      </c>
      <c r="I212" s="19" t="str">
        <v>Tally</v>
      </c>
      <c r="J212" s="1" t="str">
        <f t="shared" si="9"/>
        <v>Unique</v>
      </c>
      <c r="K212" s="21" t="str">
        <f t="shared" si="10"/>
        <v/>
      </c>
      <c r="L212" s="4" t="str">
        <f>IF(COUNTIFS(A:A,A212,C:C,C212)=2,IF(K212="Mismatch","Value Mismatch","Matched"),IF(I212= "Tally","Missing in GST","Missing in Tally"))</f>
        <v>Missing in GST</v>
      </c>
      <c r="M212" s="6" t="str">
        <f t="shared" si="11"/>
        <v/>
      </c>
    </row>
    <row r="213" spans="1:13" x14ac:dyDescent="0.2">
      <c r="A213" s="1" t="str">
        <v>INV1211</v>
      </c>
      <c r="B213" s="2" t="str">
        <v>06-04-2024</v>
      </c>
      <c r="C213" s="1" t="str">
        <v>29PQRSX5678L1Z2</v>
      </c>
      <c r="D213" s="4" t="str">
        <v>Kiran Enterprises</v>
      </c>
      <c r="E213" s="6">
        <v>15944.27</v>
      </c>
      <c r="F213" s="6">
        <v>1434.98</v>
      </c>
      <c r="G213" s="6">
        <v>1434.98</v>
      </c>
      <c r="H213" s="6">
        <v>18814.23</v>
      </c>
      <c r="I213" s="19" t="str">
        <v>Tally</v>
      </c>
      <c r="J213" s="1" t="str">
        <f t="shared" si="9"/>
        <v>Unique</v>
      </c>
      <c r="K213" s="21" t="str">
        <f t="shared" si="10"/>
        <v/>
      </c>
      <c r="L213" s="4" t="str">
        <f>IF(COUNTIFS(A:A,A213,C:C,C213)=2,IF(K213="Mismatch","Value Mismatch","Matched"),IF(I213= "Tally","Missing in GST","Missing in Tally"))</f>
        <v>Missing in GST</v>
      </c>
      <c r="M213" s="6" t="str">
        <f t="shared" si="11"/>
        <v/>
      </c>
    </row>
    <row r="214" spans="1:13" x14ac:dyDescent="0.2">
      <c r="A214" s="1" t="str">
        <v>INV1212</v>
      </c>
      <c r="B214" s="2" t="str">
        <v>10-04-2024</v>
      </c>
      <c r="C214" s="1" t="str">
        <v>29PQRSX5678L1Z2</v>
      </c>
      <c r="D214" s="4" t="str">
        <v>Kiran Enterprises</v>
      </c>
      <c r="E214" s="6">
        <v>32366.32</v>
      </c>
      <c r="F214" s="6">
        <v>2912.97</v>
      </c>
      <c r="G214" s="6">
        <v>2912.97</v>
      </c>
      <c r="H214" s="6">
        <v>38192.26</v>
      </c>
      <c r="I214" s="19" t="str">
        <v>Tally</v>
      </c>
      <c r="J214" s="1" t="str">
        <f t="shared" si="9"/>
        <v>Unique</v>
      </c>
      <c r="K214" s="21" t="str">
        <f t="shared" si="10"/>
        <v/>
      </c>
      <c r="L214" s="4" t="str">
        <f>IF(COUNTIFS(A:A,A214,C:C,C214)=2,IF(K214="Mismatch","Value Mismatch","Matched"),IF(I214= "Tally","Missing in GST","Missing in Tally"))</f>
        <v>Missing in GST</v>
      </c>
      <c r="M214" s="6" t="str">
        <f t="shared" si="11"/>
        <v/>
      </c>
    </row>
    <row r="215" spans="1:13" x14ac:dyDescent="0.2">
      <c r="A215" s="1" t="str">
        <v>INV1213</v>
      </c>
      <c r="B215" s="2" t="str">
        <v>09-06-2024</v>
      </c>
      <c r="C215" s="1" t="str">
        <v>29PQRSX5678L1Z2</v>
      </c>
      <c r="D215" s="4" t="str">
        <v>Kiran Enterprises</v>
      </c>
      <c r="E215" s="6">
        <v>38720.49</v>
      </c>
      <c r="F215" s="6">
        <v>3484.84</v>
      </c>
      <c r="G215" s="6">
        <v>3484.84</v>
      </c>
      <c r="H215" s="6">
        <v>45690.17</v>
      </c>
      <c r="I215" s="19" t="str">
        <v>Tally</v>
      </c>
      <c r="J215" s="1" t="str">
        <f t="shared" si="9"/>
        <v>Unique</v>
      </c>
      <c r="K215" s="21" t="str">
        <f t="shared" si="10"/>
        <v/>
      </c>
      <c r="L215" s="4" t="str">
        <f>IF(COUNTIFS(A:A,A215,C:C,C215)=2,IF(K215="Mismatch","Value Mismatch","Matched"),IF(I215= "Tally","Missing in GST","Missing in Tally"))</f>
        <v>Missing in GST</v>
      </c>
      <c r="M215" s="6" t="str">
        <f t="shared" si="11"/>
        <v/>
      </c>
    </row>
    <row r="216" spans="1:13" x14ac:dyDescent="0.2">
      <c r="A216" s="1" t="str">
        <v>INV1214</v>
      </c>
      <c r="B216" s="2" t="str">
        <v>24-04-2024</v>
      </c>
      <c r="C216" s="1" t="str">
        <v>24LMNOP4321K1Z7</v>
      </c>
      <c r="D216" s="4" t="str">
        <v>Patel Industries</v>
      </c>
      <c r="E216" s="6">
        <v>21682.68</v>
      </c>
      <c r="F216" s="6">
        <v>1951.44</v>
      </c>
      <c r="G216" s="6">
        <v>1951.44</v>
      </c>
      <c r="H216" s="6">
        <v>25585.56</v>
      </c>
      <c r="I216" s="19" t="str">
        <v>Tally</v>
      </c>
      <c r="J216" s="1" t="str">
        <f t="shared" si="9"/>
        <v>Unique</v>
      </c>
      <c r="K216" s="21" t="str">
        <f t="shared" si="10"/>
        <v/>
      </c>
      <c r="L216" s="4" t="str">
        <f>IF(COUNTIFS(A:A,A216,C:C,C216)=2,IF(K216="Mismatch","Value Mismatch","Matched"),IF(I216= "Tally","Missing in GST","Missing in Tally"))</f>
        <v>Missing in GST</v>
      </c>
      <c r="M216" s="6" t="str">
        <f t="shared" si="11"/>
        <v/>
      </c>
    </row>
    <row r="217" spans="1:13" x14ac:dyDescent="0.2">
      <c r="A217" s="1" t="str">
        <v>INV1215</v>
      </c>
      <c r="B217" s="2" t="str">
        <v>07-06-2024</v>
      </c>
      <c r="C217" s="1" t="str">
        <v>19ASDFG2468H1Z9</v>
      </c>
      <c r="D217" s="4" t="str">
        <v>Eastern Distributors</v>
      </c>
      <c r="E217" s="6">
        <v>8344.31</v>
      </c>
      <c r="F217" s="6">
        <v>750.99</v>
      </c>
      <c r="G217" s="6">
        <v>750.99</v>
      </c>
      <c r="H217" s="6">
        <v>9846.2900000000009</v>
      </c>
      <c r="I217" s="19" t="str">
        <v>Tally</v>
      </c>
      <c r="J217" s="1" t="str">
        <f t="shared" si="9"/>
        <v>Unique</v>
      </c>
      <c r="K217" s="21" t="str">
        <f t="shared" si="10"/>
        <v/>
      </c>
      <c r="L217" s="4" t="str">
        <f>IF(COUNTIFS(A:A,A217,C:C,C217)=2,IF(K217="Mismatch","Value Mismatch","Matched"),IF(I217= "Tally","Missing in GST","Missing in Tally"))</f>
        <v>Missing in GST</v>
      </c>
      <c r="M217" s="6" t="str">
        <f t="shared" si="11"/>
        <v/>
      </c>
    </row>
    <row r="218" spans="1:13" x14ac:dyDescent="0.2">
      <c r="A218" s="1" t="str">
        <v>INV1216</v>
      </c>
      <c r="B218" s="2" t="str">
        <v>27-05-2024</v>
      </c>
      <c r="C218" s="1" t="str">
        <v>19ASDFG2468H1Z9</v>
      </c>
      <c r="D218" s="4" t="str">
        <v>Eastern Distributors</v>
      </c>
      <c r="E218" s="6">
        <v>17857.29</v>
      </c>
      <c r="F218" s="6">
        <v>1607.16</v>
      </c>
      <c r="G218" s="6">
        <v>1607.16</v>
      </c>
      <c r="H218" s="6">
        <v>21071.61</v>
      </c>
      <c r="I218" s="19" t="str">
        <v>Tally</v>
      </c>
      <c r="J218" s="1" t="str">
        <f t="shared" si="9"/>
        <v>Unique</v>
      </c>
      <c r="K218" s="21" t="str">
        <f t="shared" si="10"/>
        <v/>
      </c>
      <c r="L218" s="4" t="str">
        <f>IF(COUNTIFS(A:A,A218,C:C,C218)=2,IF(K218="Mismatch","Value Mismatch","Matched"),IF(I218= "Tally","Missing in GST","Missing in Tally"))</f>
        <v>Missing in GST</v>
      </c>
      <c r="M218" s="6" t="str">
        <f t="shared" si="11"/>
        <v/>
      </c>
    </row>
    <row r="219" spans="1:13" x14ac:dyDescent="0.2">
      <c r="A219" s="1" t="str">
        <v>INV1217</v>
      </c>
      <c r="B219" s="2" t="str">
        <v>17-04-2024</v>
      </c>
      <c r="C219" s="1" t="str">
        <v>19ASDFG2468H1Z9</v>
      </c>
      <c r="D219" s="4" t="str">
        <v>Eastern Distributors</v>
      </c>
      <c r="E219" s="6">
        <v>3538.62</v>
      </c>
      <c r="F219" s="6">
        <v>318.48</v>
      </c>
      <c r="G219" s="6">
        <v>318.48</v>
      </c>
      <c r="H219" s="6">
        <v>4175.58</v>
      </c>
      <c r="I219" s="19" t="str">
        <v>Tally</v>
      </c>
      <c r="J219" s="1" t="str">
        <f t="shared" si="9"/>
        <v>Unique</v>
      </c>
      <c r="K219" s="21" t="str">
        <f t="shared" si="10"/>
        <v>Matched</v>
      </c>
      <c r="L219" s="4" t="str">
        <f>IF(COUNTIFS(A:A,A219,C:C,C219)=2,IF(K219="Mismatch","Value Mismatch","Matched"),IF(I219= "Tally","Missing in GST","Missing in Tally"))</f>
        <v>Matched</v>
      </c>
      <c r="M219" s="6">
        <f t="shared" si="11"/>
        <v>0</v>
      </c>
    </row>
    <row r="220" spans="1:13" x14ac:dyDescent="0.2">
      <c r="A220" s="1" t="str">
        <v>INV1218</v>
      </c>
      <c r="B220" s="2" t="str">
        <v>07-05-2024</v>
      </c>
      <c r="C220" s="1" t="str">
        <v>29PQRSX5678L1Z2</v>
      </c>
      <c r="D220" s="4" t="str">
        <v>Kiran Enterprises</v>
      </c>
      <c r="E220" s="6">
        <v>20141.11</v>
      </c>
      <c r="F220" s="6">
        <v>1812.7</v>
      </c>
      <c r="G220" s="6">
        <v>1812.7</v>
      </c>
      <c r="H220" s="6">
        <v>23766.51</v>
      </c>
      <c r="I220" s="19" t="str">
        <v>Tally</v>
      </c>
      <c r="J220" s="1" t="str">
        <f t="shared" si="9"/>
        <v>Unique</v>
      </c>
      <c r="K220" s="21" t="str">
        <f t="shared" si="10"/>
        <v/>
      </c>
      <c r="L220" s="4" t="str">
        <f>IF(COUNTIFS(A:A,A220,C:C,C220)=2,IF(K220="Mismatch","Value Mismatch","Matched"),IF(I220= "Tally","Missing in GST","Missing in Tally"))</f>
        <v>Missing in GST</v>
      </c>
      <c r="M220" s="6" t="str">
        <f t="shared" si="11"/>
        <v/>
      </c>
    </row>
    <row r="221" spans="1:13" x14ac:dyDescent="0.2">
      <c r="A221" s="1" t="str">
        <v>INV1219</v>
      </c>
      <c r="B221" s="2" t="str">
        <v>26-06-2024</v>
      </c>
      <c r="C221" s="1" t="str">
        <v>19ASDFG2468H1Z9</v>
      </c>
      <c r="D221" s="4" t="str">
        <v>Eastern Distributors</v>
      </c>
      <c r="E221" s="6">
        <v>7351.22</v>
      </c>
      <c r="F221" s="6">
        <v>661.61</v>
      </c>
      <c r="G221" s="6">
        <v>661.61</v>
      </c>
      <c r="H221" s="6">
        <v>8674.44</v>
      </c>
      <c r="I221" s="19" t="str">
        <v>Tally</v>
      </c>
      <c r="J221" s="1" t="str">
        <f t="shared" si="9"/>
        <v>Unique</v>
      </c>
      <c r="K221" s="21" t="str">
        <f t="shared" si="10"/>
        <v/>
      </c>
      <c r="L221" s="4" t="str">
        <f>IF(COUNTIFS(A:A,A221,C:C,C221)=2,IF(K221="Mismatch","Value Mismatch","Matched"),IF(I221= "Tally","Missing in GST","Missing in Tally"))</f>
        <v>Missing in GST</v>
      </c>
      <c r="M221" s="6" t="str">
        <f t="shared" si="11"/>
        <v/>
      </c>
    </row>
    <row r="222" spans="1:13" x14ac:dyDescent="0.2">
      <c r="A222" s="1" t="str">
        <v>INV1220</v>
      </c>
      <c r="B222" s="2" t="str">
        <v>20-04-2024</v>
      </c>
      <c r="C222" s="1" t="str">
        <v>29PQRSX5678L1Z2</v>
      </c>
      <c r="D222" s="4" t="str">
        <v>Kiran Enterprises</v>
      </c>
      <c r="E222" s="6">
        <v>36446.15</v>
      </c>
      <c r="F222" s="6">
        <v>3280.15</v>
      </c>
      <c r="G222" s="6">
        <v>3280.15</v>
      </c>
      <c r="H222" s="6">
        <v>43006.45</v>
      </c>
      <c r="I222" s="19" t="str">
        <v>Tally</v>
      </c>
      <c r="J222" s="1" t="str">
        <f t="shared" si="9"/>
        <v>Unique</v>
      </c>
      <c r="K222" s="21" t="str">
        <f t="shared" si="10"/>
        <v/>
      </c>
      <c r="L222" s="4" t="str">
        <f>IF(COUNTIFS(A:A,A222,C:C,C222)=2,IF(K222="Mismatch","Value Mismatch","Matched"),IF(I222= "Tally","Missing in GST","Missing in Tally"))</f>
        <v>Missing in GST</v>
      </c>
      <c r="M222" s="6" t="str">
        <f t="shared" si="11"/>
        <v/>
      </c>
    </row>
    <row r="223" spans="1:13" x14ac:dyDescent="0.2">
      <c r="A223" s="1" t="str">
        <v>INV1221</v>
      </c>
      <c r="B223" s="2" t="str">
        <v>21-05-2024</v>
      </c>
      <c r="C223" s="1" t="str">
        <v>07ZXCVB9876M1Z3</v>
      </c>
      <c r="D223" s="4" t="str">
        <v>Gupta Supplies</v>
      </c>
      <c r="E223" s="6">
        <v>9342.43</v>
      </c>
      <c r="F223" s="6">
        <v>840.82</v>
      </c>
      <c r="G223" s="6">
        <v>840.82</v>
      </c>
      <c r="H223" s="6">
        <v>11024.07</v>
      </c>
      <c r="I223" s="19" t="str">
        <v>Tally</v>
      </c>
      <c r="J223" s="1" t="str">
        <f t="shared" si="9"/>
        <v>Unique</v>
      </c>
      <c r="K223" s="21" t="str">
        <f t="shared" si="10"/>
        <v/>
      </c>
      <c r="L223" s="4" t="str">
        <f>IF(COUNTIFS(A:A,A223,C:C,C223)=2,IF(K223="Mismatch","Value Mismatch","Matched"),IF(I223= "Tally","Missing in GST","Missing in Tally"))</f>
        <v>Missing in GST</v>
      </c>
      <c r="M223" s="6" t="str">
        <f t="shared" si="11"/>
        <v/>
      </c>
    </row>
    <row r="224" spans="1:13" x14ac:dyDescent="0.2">
      <c r="A224" s="1" t="str">
        <v>INV1222</v>
      </c>
      <c r="B224" s="2" t="str">
        <v>21-05-2024</v>
      </c>
      <c r="C224" s="1" t="str">
        <v>27ABCDE1234F1Z5</v>
      </c>
      <c r="D224" s="4" t="str">
        <v>Sharma Traders</v>
      </c>
      <c r="E224" s="6">
        <v>34797.71</v>
      </c>
      <c r="F224" s="6">
        <v>3131.79</v>
      </c>
      <c r="G224" s="6">
        <v>3131.79</v>
      </c>
      <c r="H224" s="6">
        <v>41061.29</v>
      </c>
      <c r="I224" s="19" t="str">
        <v>Tally</v>
      </c>
      <c r="J224" s="1" t="str">
        <f t="shared" si="9"/>
        <v>Unique</v>
      </c>
      <c r="K224" s="21" t="str">
        <f t="shared" si="10"/>
        <v/>
      </c>
      <c r="L224" s="4" t="str">
        <f>IF(COUNTIFS(A:A,A224,C:C,C224)=2,IF(K224="Mismatch","Value Mismatch","Matched"),IF(I224= "Tally","Missing in GST","Missing in Tally"))</f>
        <v>Missing in GST</v>
      </c>
      <c r="M224" s="6" t="str">
        <f t="shared" si="11"/>
        <v/>
      </c>
    </row>
    <row r="225" spans="1:13" x14ac:dyDescent="0.2">
      <c r="A225" s="1" t="str">
        <v>INV1223</v>
      </c>
      <c r="B225" s="2" t="str">
        <v>05-04-2024</v>
      </c>
      <c r="C225" s="1" t="str">
        <v>27ABCDE1234F1Z5</v>
      </c>
      <c r="D225" s="4" t="str">
        <v>Sharma Traders</v>
      </c>
      <c r="E225" s="6">
        <v>46403.1</v>
      </c>
      <c r="F225" s="6">
        <v>4176.28</v>
      </c>
      <c r="G225" s="6">
        <v>4176.28</v>
      </c>
      <c r="H225" s="6">
        <v>54755.66</v>
      </c>
      <c r="I225" s="19" t="str">
        <v>Tally</v>
      </c>
      <c r="J225" s="1" t="str">
        <f t="shared" si="9"/>
        <v>Unique</v>
      </c>
      <c r="K225" s="21" t="str">
        <f t="shared" si="10"/>
        <v/>
      </c>
      <c r="L225" s="4" t="str">
        <f>IF(COUNTIFS(A:A,A225,C:C,C225)=2,IF(K225="Mismatch","Value Mismatch","Matched"),IF(I225= "Tally","Missing in GST","Missing in Tally"))</f>
        <v>Missing in GST</v>
      </c>
      <c r="M225" s="6" t="str">
        <f t="shared" si="11"/>
        <v/>
      </c>
    </row>
    <row r="226" spans="1:13" x14ac:dyDescent="0.2">
      <c r="A226" s="1" t="str">
        <v>INV1224</v>
      </c>
      <c r="B226" s="2" t="str">
        <v>03-04-2024</v>
      </c>
      <c r="C226" s="1" t="str">
        <v>27ABCDE1234F1Z5</v>
      </c>
      <c r="D226" s="4" t="str">
        <v>Sharma Traders</v>
      </c>
      <c r="E226" s="6">
        <v>21444.38</v>
      </c>
      <c r="F226" s="6">
        <v>1929.99</v>
      </c>
      <c r="G226" s="6">
        <v>1929.99</v>
      </c>
      <c r="H226" s="6">
        <v>25304.36</v>
      </c>
      <c r="I226" s="19" t="str">
        <v>Tally</v>
      </c>
      <c r="J226" s="1" t="str">
        <f t="shared" si="9"/>
        <v>Unique</v>
      </c>
      <c r="K226" s="21" t="str">
        <f t="shared" si="10"/>
        <v/>
      </c>
      <c r="L226" s="4" t="str">
        <f>IF(COUNTIFS(A:A,A226,C:C,C226)=2,IF(K226="Mismatch","Value Mismatch","Matched"),IF(I226= "Tally","Missing in GST","Missing in Tally"))</f>
        <v>Missing in GST</v>
      </c>
      <c r="M226" s="6" t="str">
        <f t="shared" si="11"/>
        <v/>
      </c>
    </row>
    <row r="227" spans="1:13" x14ac:dyDescent="0.2">
      <c r="A227" s="1" t="str">
        <v>INV1225</v>
      </c>
      <c r="B227" s="2" t="str">
        <v>20-05-2024</v>
      </c>
      <c r="C227" s="1" t="str">
        <v>07ZXCVB9876M1Z3</v>
      </c>
      <c r="D227" s="4" t="str">
        <v>Gupta Supplies</v>
      </c>
      <c r="E227" s="6">
        <v>8108.53</v>
      </c>
      <c r="F227" s="6">
        <v>729.77</v>
      </c>
      <c r="G227" s="6">
        <v>729.77</v>
      </c>
      <c r="H227" s="6">
        <v>9568.07</v>
      </c>
      <c r="I227" s="19" t="str">
        <v>Tally</v>
      </c>
      <c r="J227" s="1" t="str">
        <f t="shared" si="9"/>
        <v>Unique</v>
      </c>
      <c r="K227" s="21" t="str">
        <f t="shared" si="10"/>
        <v/>
      </c>
      <c r="L227" s="4" t="str">
        <f>IF(COUNTIFS(A:A,A227,C:C,C227)=2,IF(K227="Mismatch","Value Mismatch","Matched"),IF(I227= "Tally","Missing in GST","Missing in Tally"))</f>
        <v>Missing in GST</v>
      </c>
      <c r="M227" s="6" t="str">
        <f t="shared" si="11"/>
        <v/>
      </c>
    </row>
    <row r="228" spans="1:13" x14ac:dyDescent="0.2">
      <c r="A228" s="1" t="str">
        <v>INV1226</v>
      </c>
      <c r="B228" s="2" t="str">
        <v>04-06-2024</v>
      </c>
      <c r="C228" s="1" t="str">
        <v>29PQRSX5678L1Z2</v>
      </c>
      <c r="D228" s="4" t="str">
        <v>Kiran Enterprises</v>
      </c>
      <c r="E228" s="6">
        <v>14845.35</v>
      </c>
      <c r="F228" s="6">
        <v>1336.08</v>
      </c>
      <c r="G228" s="6">
        <v>1336.08</v>
      </c>
      <c r="H228" s="6">
        <v>17517.509999999998</v>
      </c>
      <c r="I228" s="19" t="str">
        <v>Tally</v>
      </c>
      <c r="J228" s="1" t="str">
        <f t="shared" si="9"/>
        <v>Unique</v>
      </c>
      <c r="K228" s="21" t="str">
        <f t="shared" si="10"/>
        <v/>
      </c>
      <c r="L228" s="4" t="str">
        <f>IF(COUNTIFS(A:A,A228,C:C,C228)=2,IF(K228="Mismatch","Value Mismatch","Matched"),IF(I228= "Tally","Missing in GST","Missing in Tally"))</f>
        <v>Missing in GST</v>
      </c>
      <c r="M228" s="6" t="str">
        <f t="shared" si="11"/>
        <v/>
      </c>
    </row>
    <row r="229" spans="1:13" x14ac:dyDescent="0.2">
      <c r="A229" s="1" t="str">
        <v>INV1227</v>
      </c>
      <c r="B229" s="2" t="str">
        <v>13-06-2024</v>
      </c>
      <c r="C229" s="1" t="str">
        <v>19ASDFG2468H1Z9</v>
      </c>
      <c r="D229" s="4" t="str">
        <v>Eastern Distributors</v>
      </c>
      <c r="E229" s="6">
        <v>26430.48</v>
      </c>
      <c r="F229" s="6">
        <v>2378.7399999999998</v>
      </c>
      <c r="G229" s="6">
        <v>2378.7399999999998</v>
      </c>
      <c r="H229" s="6">
        <v>31187.96</v>
      </c>
      <c r="I229" s="19" t="str">
        <v>Tally</v>
      </c>
      <c r="J229" s="1" t="str">
        <f t="shared" si="9"/>
        <v>Unique</v>
      </c>
      <c r="K229" s="21" t="str">
        <f t="shared" si="10"/>
        <v/>
      </c>
      <c r="L229" s="4" t="str">
        <f>IF(COUNTIFS(A:A,A229,C:C,C229)=2,IF(K229="Mismatch","Value Mismatch","Matched"),IF(I229= "Tally","Missing in GST","Missing in Tally"))</f>
        <v>Missing in GST</v>
      </c>
      <c r="M229" s="6" t="str">
        <f t="shared" si="11"/>
        <v/>
      </c>
    </row>
    <row r="230" spans="1:13" x14ac:dyDescent="0.2">
      <c r="A230" s="1" t="str">
        <v>INV1228</v>
      </c>
      <c r="B230" s="2" t="str">
        <v>07-06-2024</v>
      </c>
      <c r="C230" s="1" t="str">
        <v>19ASDFG2468H1Z9</v>
      </c>
      <c r="D230" s="4" t="str">
        <v>Eastern Distributors</v>
      </c>
      <c r="E230" s="6">
        <v>37054.17</v>
      </c>
      <c r="F230" s="6">
        <v>3334.88</v>
      </c>
      <c r="G230" s="6">
        <v>3334.88</v>
      </c>
      <c r="H230" s="6">
        <v>43723.93</v>
      </c>
      <c r="I230" s="19" t="str">
        <v>Tally</v>
      </c>
      <c r="J230" s="1" t="str">
        <f t="shared" si="9"/>
        <v>Unique</v>
      </c>
      <c r="K230" s="21" t="str">
        <f t="shared" si="10"/>
        <v/>
      </c>
      <c r="L230" s="4" t="str">
        <f>IF(COUNTIFS(A:A,A230,C:C,C230)=2,IF(K230="Mismatch","Value Mismatch","Matched"),IF(I230= "Tally","Missing in GST","Missing in Tally"))</f>
        <v>Missing in GST</v>
      </c>
      <c r="M230" s="6" t="str">
        <f t="shared" si="11"/>
        <v/>
      </c>
    </row>
    <row r="231" spans="1:13" x14ac:dyDescent="0.2">
      <c r="A231" s="1" t="str">
        <v>INV1229</v>
      </c>
      <c r="B231" s="2" t="str">
        <v>13-06-2024</v>
      </c>
      <c r="C231" s="1" t="str">
        <v>29PQRSX5678L1Z2</v>
      </c>
      <c r="D231" s="4" t="str">
        <v>Kiran Enterprises</v>
      </c>
      <c r="E231" s="6">
        <v>34464.76</v>
      </c>
      <c r="F231" s="6">
        <v>3101.83</v>
      </c>
      <c r="G231" s="6">
        <v>3101.83</v>
      </c>
      <c r="H231" s="6">
        <v>40668.42</v>
      </c>
      <c r="I231" s="19" t="str">
        <v>Tally</v>
      </c>
      <c r="J231" s="1" t="str">
        <f t="shared" si="9"/>
        <v>Unique</v>
      </c>
      <c r="K231" s="21" t="str">
        <f t="shared" si="10"/>
        <v/>
      </c>
      <c r="L231" s="4" t="str">
        <f>IF(COUNTIFS(A:A,A231,C:C,C231)=2,IF(K231="Mismatch","Value Mismatch","Matched"),IF(I231= "Tally","Missing in GST","Missing in Tally"))</f>
        <v>Missing in GST</v>
      </c>
      <c r="M231" s="6" t="str">
        <f t="shared" si="11"/>
        <v/>
      </c>
    </row>
    <row r="232" spans="1:13" x14ac:dyDescent="0.2">
      <c r="A232" s="1" t="str">
        <v>INV1230</v>
      </c>
      <c r="B232" s="2" t="str">
        <v>28-06-2024</v>
      </c>
      <c r="C232" s="1" t="str">
        <v>24LMNOP4321K1Z7</v>
      </c>
      <c r="D232" s="4" t="str">
        <v>Patel Industries</v>
      </c>
      <c r="E232" s="6">
        <v>31758.31</v>
      </c>
      <c r="F232" s="6">
        <v>2858.25</v>
      </c>
      <c r="G232" s="6">
        <v>2858.25</v>
      </c>
      <c r="H232" s="6">
        <v>37474.81</v>
      </c>
      <c r="I232" s="19" t="str">
        <v>Tally</v>
      </c>
      <c r="J232" s="1" t="str">
        <f t="shared" si="9"/>
        <v>Unique</v>
      </c>
      <c r="K232" s="21" t="str">
        <f t="shared" si="10"/>
        <v/>
      </c>
      <c r="L232" s="4" t="str">
        <f>IF(COUNTIFS(A:A,A232,C:C,C232)=2,IF(K232="Mismatch","Value Mismatch","Matched"),IF(I232= "Tally","Missing in GST","Missing in Tally"))</f>
        <v>Missing in GST</v>
      </c>
      <c r="M232" s="6" t="str">
        <f t="shared" si="11"/>
        <v/>
      </c>
    </row>
    <row r="233" spans="1:13" x14ac:dyDescent="0.2">
      <c r="A233" s="1" t="str">
        <v>INV1231</v>
      </c>
      <c r="B233" s="2" t="str">
        <v>03-05-2024</v>
      </c>
      <c r="C233" s="1" t="str">
        <v>07ZXCVB9876M1Z3</v>
      </c>
      <c r="D233" s="4" t="str">
        <v>Gupta Supplies</v>
      </c>
      <c r="E233" s="6">
        <v>40189.93</v>
      </c>
      <c r="F233" s="6">
        <v>3617.09</v>
      </c>
      <c r="G233" s="6">
        <v>3617.09</v>
      </c>
      <c r="H233" s="6">
        <v>47424.11</v>
      </c>
      <c r="I233" s="19" t="str">
        <v>Tally</v>
      </c>
      <c r="J233" s="1" t="str">
        <f t="shared" si="9"/>
        <v>Unique</v>
      </c>
      <c r="K233" s="21" t="str">
        <f t="shared" si="10"/>
        <v/>
      </c>
      <c r="L233" s="4" t="str">
        <f>IF(COUNTIFS(A:A,A233,C:C,C233)=2,IF(K233="Mismatch","Value Mismatch","Matched"),IF(I233= "Tally","Missing in GST","Missing in Tally"))</f>
        <v>Missing in GST</v>
      </c>
      <c r="M233" s="6" t="str">
        <f t="shared" si="11"/>
        <v/>
      </c>
    </row>
    <row r="234" spans="1:13" x14ac:dyDescent="0.2">
      <c r="A234" s="1" t="str">
        <v>INV1232</v>
      </c>
      <c r="B234" s="2" t="str">
        <v>18-06-2024</v>
      </c>
      <c r="C234" s="1" t="str">
        <v>29PQRSX5678L1Z2</v>
      </c>
      <c r="D234" s="4" t="str">
        <v>Kiran Enterprises</v>
      </c>
      <c r="E234" s="6">
        <v>47240.25</v>
      </c>
      <c r="F234" s="6">
        <v>4251.62</v>
      </c>
      <c r="G234" s="6">
        <v>4251.62</v>
      </c>
      <c r="H234" s="6">
        <v>55743.49</v>
      </c>
      <c r="I234" s="19" t="str">
        <v>Tally</v>
      </c>
      <c r="J234" s="1" t="str">
        <f t="shared" si="9"/>
        <v>Unique</v>
      </c>
      <c r="K234" s="21" t="str">
        <f t="shared" si="10"/>
        <v/>
      </c>
      <c r="L234" s="4" t="str">
        <f>IF(COUNTIFS(A:A,A234,C:C,C234)=2,IF(K234="Mismatch","Value Mismatch","Matched"),IF(I234= "Tally","Missing in GST","Missing in Tally"))</f>
        <v>Missing in GST</v>
      </c>
      <c r="M234" s="6" t="str">
        <f t="shared" si="11"/>
        <v/>
      </c>
    </row>
    <row r="235" spans="1:13" x14ac:dyDescent="0.2">
      <c r="A235" s="1" t="str">
        <v>INV1233</v>
      </c>
      <c r="B235" s="2" t="str">
        <v>01-06-2024</v>
      </c>
      <c r="C235" s="1" t="str">
        <v>29PQRSX5678L1Z2</v>
      </c>
      <c r="D235" s="4" t="str">
        <v>Kiran Enterprises</v>
      </c>
      <c r="E235" s="6">
        <v>36242.53</v>
      </c>
      <c r="F235" s="6">
        <v>3261.83</v>
      </c>
      <c r="G235" s="6">
        <v>3261.83</v>
      </c>
      <c r="H235" s="6">
        <v>42766.19</v>
      </c>
      <c r="I235" s="19" t="str">
        <v>Tally</v>
      </c>
      <c r="J235" s="1" t="str">
        <f t="shared" si="9"/>
        <v>Unique</v>
      </c>
      <c r="K235" s="21" t="str">
        <f t="shared" si="10"/>
        <v/>
      </c>
      <c r="L235" s="4" t="str">
        <f>IF(COUNTIFS(A:A,A235,C:C,C235)=2,IF(K235="Mismatch","Value Mismatch","Matched"),IF(I235= "Tally","Missing in GST","Missing in Tally"))</f>
        <v>Missing in GST</v>
      </c>
      <c r="M235" s="6" t="str">
        <f t="shared" si="11"/>
        <v/>
      </c>
    </row>
    <row r="236" spans="1:13" x14ac:dyDescent="0.2">
      <c r="A236" s="1" t="str">
        <v>INV1234</v>
      </c>
      <c r="B236" s="2" t="str">
        <v>14-05-2024</v>
      </c>
      <c r="C236" s="1" t="str">
        <v>24LMNOP4321K1Z7</v>
      </c>
      <c r="D236" s="4" t="str">
        <v>Patel Industries</v>
      </c>
      <c r="E236" s="6">
        <v>40357.14</v>
      </c>
      <c r="F236" s="6">
        <v>3632.14</v>
      </c>
      <c r="G236" s="6">
        <v>3632.14</v>
      </c>
      <c r="H236" s="6">
        <v>47621.42</v>
      </c>
      <c r="I236" s="19" t="str">
        <v>Tally</v>
      </c>
      <c r="J236" s="1" t="str">
        <f t="shared" si="9"/>
        <v>Unique</v>
      </c>
      <c r="K236" s="21" t="str">
        <f t="shared" si="10"/>
        <v/>
      </c>
      <c r="L236" s="4" t="str">
        <f>IF(COUNTIFS(A:A,A236,C:C,C236)=2,IF(K236="Mismatch","Value Mismatch","Matched"),IF(I236= "Tally","Missing in GST","Missing in Tally"))</f>
        <v>Missing in GST</v>
      </c>
      <c r="M236" s="6" t="str">
        <f t="shared" si="11"/>
        <v/>
      </c>
    </row>
    <row r="237" spans="1:13" x14ac:dyDescent="0.2">
      <c r="A237" s="1" t="str">
        <v>INV1235</v>
      </c>
      <c r="B237" s="2" t="str">
        <v>11-06-2024</v>
      </c>
      <c r="C237" s="1" t="str">
        <v>27ABCDE1234F1Z5</v>
      </c>
      <c r="D237" s="4" t="str">
        <v>Sharma Traders</v>
      </c>
      <c r="E237" s="6">
        <v>47641.82</v>
      </c>
      <c r="F237" s="6">
        <v>4287.76</v>
      </c>
      <c r="G237" s="6">
        <v>4287.76</v>
      </c>
      <c r="H237" s="6">
        <v>56217.34</v>
      </c>
      <c r="I237" s="19" t="str">
        <v>Tally</v>
      </c>
      <c r="J237" s="1" t="str">
        <f t="shared" si="9"/>
        <v>Unique</v>
      </c>
      <c r="K237" s="21" t="str">
        <f t="shared" si="10"/>
        <v/>
      </c>
      <c r="L237" s="4" t="str">
        <f>IF(COUNTIFS(A:A,A237,C:C,C237)=2,IF(K237="Mismatch","Value Mismatch","Matched"),IF(I237= "Tally","Missing in GST","Missing in Tally"))</f>
        <v>Missing in GST</v>
      </c>
      <c r="M237" s="6" t="str">
        <f t="shared" si="11"/>
        <v/>
      </c>
    </row>
    <row r="238" spans="1:13" x14ac:dyDescent="0.2">
      <c r="A238" s="1" t="str">
        <v>INV1236</v>
      </c>
      <c r="B238" s="2" t="str">
        <v>13-06-2024</v>
      </c>
      <c r="C238" s="1" t="str">
        <v>19ASDFG2468H1Z9</v>
      </c>
      <c r="D238" s="4" t="str">
        <v>Eastern Distributors</v>
      </c>
      <c r="E238" s="6">
        <v>45506.27</v>
      </c>
      <c r="F238" s="6">
        <v>4095.56</v>
      </c>
      <c r="G238" s="6">
        <v>4095.56</v>
      </c>
      <c r="H238" s="6">
        <v>53697.39</v>
      </c>
      <c r="I238" s="19" t="str">
        <v>Tally</v>
      </c>
      <c r="J238" s="1" t="str">
        <f t="shared" si="9"/>
        <v>Unique</v>
      </c>
      <c r="K238" s="21" t="str">
        <f t="shared" si="10"/>
        <v/>
      </c>
      <c r="L238" s="4" t="str">
        <f>IF(COUNTIFS(A:A,A238,C:C,C238)=2,IF(K238="Mismatch","Value Mismatch","Matched"),IF(I238= "Tally","Missing in GST","Missing in Tally"))</f>
        <v>Missing in GST</v>
      </c>
      <c r="M238" s="6" t="str">
        <f t="shared" si="11"/>
        <v/>
      </c>
    </row>
    <row r="239" spans="1:13" x14ac:dyDescent="0.2">
      <c r="A239" s="1" t="str">
        <v>INV1237</v>
      </c>
      <c r="B239" s="2" t="str">
        <v>09-05-2024</v>
      </c>
      <c r="C239" s="1" t="str">
        <v>07ZXCVB9876M1Z3</v>
      </c>
      <c r="D239" s="4" t="str">
        <v>Gupta Supplies</v>
      </c>
      <c r="E239" s="6">
        <v>16307.26</v>
      </c>
      <c r="F239" s="6">
        <v>1467.65</v>
      </c>
      <c r="G239" s="6">
        <v>1467.65</v>
      </c>
      <c r="H239" s="6">
        <v>19242.560000000001</v>
      </c>
      <c r="I239" s="19" t="str">
        <v>Tally</v>
      </c>
      <c r="J239" s="1" t="str">
        <f t="shared" si="9"/>
        <v>Unique</v>
      </c>
      <c r="K239" s="21" t="str">
        <f t="shared" si="10"/>
        <v/>
      </c>
      <c r="L239" s="4" t="str">
        <f>IF(COUNTIFS(A:A,A239,C:C,C239)=2,IF(K239="Mismatch","Value Mismatch","Matched"),IF(I239= "Tally","Missing in GST","Missing in Tally"))</f>
        <v>Missing in GST</v>
      </c>
      <c r="M239" s="6" t="str">
        <f t="shared" si="11"/>
        <v/>
      </c>
    </row>
    <row r="240" spans="1:13" x14ac:dyDescent="0.2">
      <c r="A240" s="1" t="str">
        <v>INV1238</v>
      </c>
      <c r="B240" s="2" t="str">
        <v>22-06-2024</v>
      </c>
      <c r="C240" s="1" t="str">
        <v>07ZXCVB9876M1Z3</v>
      </c>
      <c r="D240" s="4" t="str">
        <v>Gupta Supplies</v>
      </c>
      <c r="E240" s="6">
        <v>6342.33</v>
      </c>
      <c r="F240" s="6">
        <v>570.80999999999995</v>
      </c>
      <c r="G240" s="6">
        <v>570.80999999999995</v>
      </c>
      <c r="H240" s="6">
        <v>7483.95</v>
      </c>
      <c r="I240" s="19" t="str">
        <v>Tally</v>
      </c>
      <c r="J240" s="1" t="str">
        <f t="shared" si="9"/>
        <v>Unique</v>
      </c>
      <c r="K240" s="21" t="str">
        <f t="shared" si="10"/>
        <v/>
      </c>
      <c r="L240" s="4" t="str">
        <f>IF(COUNTIFS(A:A,A240,C:C,C240)=2,IF(K240="Mismatch","Value Mismatch","Matched"),IF(I240= "Tally","Missing in GST","Missing in Tally"))</f>
        <v>Missing in GST</v>
      </c>
      <c r="M240" s="6" t="str">
        <f t="shared" si="11"/>
        <v/>
      </c>
    </row>
    <row r="241" spans="1:13" x14ac:dyDescent="0.2">
      <c r="A241" s="1" t="str">
        <v>INV1239</v>
      </c>
      <c r="B241" s="2" t="str">
        <v>11-04-2024</v>
      </c>
      <c r="C241" s="1" t="str">
        <v>27ABCDE1234F1Z5</v>
      </c>
      <c r="D241" s="4" t="str">
        <v>Sharma Traders</v>
      </c>
      <c r="E241" s="6">
        <v>25187.01</v>
      </c>
      <c r="F241" s="6">
        <v>2266.83</v>
      </c>
      <c r="G241" s="6">
        <v>2266.83</v>
      </c>
      <c r="H241" s="6">
        <v>29720.67</v>
      </c>
      <c r="I241" s="19" t="str">
        <v>Tally</v>
      </c>
      <c r="J241" s="1" t="str">
        <f t="shared" si="9"/>
        <v>Unique</v>
      </c>
      <c r="K241" s="21" t="str">
        <f t="shared" si="10"/>
        <v/>
      </c>
      <c r="L241" s="4" t="str">
        <f>IF(COUNTIFS(A:A,A241,C:C,C241)=2,IF(K241="Mismatch","Value Mismatch","Matched"),IF(I241= "Tally","Missing in GST","Missing in Tally"))</f>
        <v>Missing in GST</v>
      </c>
      <c r="M241" s="6" t="str">
        <f t="shared" si="11"/>
        <v/>
      </c>
    </row>
    <row r="242" spans="1:13" x14ac:dyDescent="0.2">
      <c r="A242" s="1" t="str">
        <v>INV1240</v>
      </c>
      <c r="B242" s="2" t="str">
        <v>07-04-2024</v>
      </c>
      <c r="C242" s="1" t="str">
        <v>07ZXCVB9876M1Z3</v>
      </c>
      <c r="D242" s="4" t="str">
        <v>Gupta Supplies</v>
      </c>
      <c r="E242" s="6">
        <v>34108.69</v>
      </c>
      <c r="F242" s="6">
        <v>3069.78</v>
      </c>
      <c r="G242" s="6">
        <v>3069.78</v>
      </c>
      <c r="H242" s="6">
        <v>40248.25</v>
      </c>
      <c r="I242" s="19" t="str">
        <v>Tally</v>
      </c>
      <c r="J242" s="1" t="str">
        <f t="shared" si="9"/>
        <v>Unique</v>
      </c>
      <c r="K242" s="21" t="str">
        <f t="shared" si="10"/>
        <v/>
      </c>
      <c r="L242" s="4" t="str">
        <f>IF(COUNTIFS(A:A,A242,C:C,C242)=2,IF(K242="Mismatch","Value Mismatch","Matched"),IF(I242= "Tally","Missing in GST","Missing in Tally"))</f>
        <v>Missing in GST</v>
      </c>
      <c r="M242" s="6" t="str">
        <f t="shared" si="11"/>
        <v/>
      </c>
    </row>
    <row r="243" spans="1:13" x14ac:dyDescent="0.2">
      <c r="A243" s="1" t="str">
        <v>INV1241</v>
      </c>
      <c r="B243" s="2" t="str">
        <v>13-05-2024</v>
      </c>
      <c r="C243" s="1" t="str">
        <v>19ASDFG2468H1Z9</v>
      </c>
      <c r="D243" s="4" t="str">
        <v>Eastern Distributors</v>
      </c>
      <c r="E243" s="6">
        <v>3350.28</v>
      </c>
      <c r="F243" s="6">
        <v>301.52999999999997</v>
      </c>
      <c r="G243" s="6">
        <v>301.52999999999997</v>
      </c>
      <c r="H243" s="6">
        <v>3953.34</v>
      </c>
      <c r="I243" s="19" t="str">
        <v>Tally</v>
      </c>
      <c r="J243" s="1" t="str">
        <f t="shared" si="9"/>
        <v>Unique</v>
      </c>
      <c r="K243" s="21" t="str">
        <f t="shared" si="10"/>
        <v/>
      </c>
      <c r="L243" s="4" t="str">
        <f>IF(COUNTIFS(A:A,A243,C:C,C243)=2,IF(K243="Mismatch","Value Mismatch","Matched"),IF(I243= "Tally","Missing in GST","Missing in Tally"))</f>
        <v>Missing in GST</v>
      </c>
      <c r="M243" s="6" t="str">
        <f t="shared" si="11"/>
        <v/>
      </c>
    </row>
    <row r="244" spans="1:13" x14ac:dyDescent="0.2">
      <c r="A244" s="1" t="str">
        <v>INV1242</v>
      </c>
      <c r="B244" s="2" t="str">
        <v>07-05-2024</v>
      </c>
      <c r="C244" s="1" t="str">
        <v>29PQRSX5678L1Z2</v>
      </c>
      <c r="D244" s="4" t="str">
        <v>Kiran Enterprises</v>
      </c>
      <c r="E244" s="6">
        <v>49970.97</v>
      </c>
      <c r="F244" s="6">
        <v>4497.3900000000003</v>
      </c>
      <c r="G244" s="6">
        <v>4497.3900000000003</v>
      </c>
      <c r="H244" s="6">
        <v>58965.75</v>
      </c>
      <c r="I244" s="19" t="str">
        <v>Tally</v>
      </c>
      <c r="J244" s="1" t="str">
        <f t="shared" si="9"/>
        <v>Unique</v>
      </c>
      <c r="K244" s="21" t="str">
        <f t="shared" si="10"/>
        <v/>
      </c>
      <c r="L244" s="4" t="str">
        <f>IF(COUNTIFS(A:A,A244,C:C,C244)=2,IF(K244="Mismatch","Value Mismatch","Matched"),IF(I244= "Tally","Missing in GST","Missing in Tally"))</f>
        <v>Missing in GST</v>
      </c>
      <c r="M244" s="6" t="str">
        <f t="shared" si="11"/>
        <v/>
      </c>
    </row>
    <row r="245" spans="1:13" x14ac:dyDescent="0.2">
      <c r="A245" s="1" t="str">
        <v>INV1243</v>
      </c>
      <c r="B245" s="2" t="str">
        <v>26-06-2024</v>
      </c>
      <c r="C245" s="1" t="str">
        <v>19ASDFG2468H1Z9</v>
      </c>
      <c r="D245" s="4" t="str">
        <v>Eastern Distributors</v>
      </c>
      <c r="E245" s="6">
        <v>8951.81</v>
      </c>
      <c r="F245" s="6">
        <v>805.66</v>
      </c>
      <c r="G245" s="6">
        <v>805.66</v>
      </c>
      <c r="H245" s="6">
        <v>10563.13</v>
      </c>
      <c r="I245" s="19" t="str">
        <v>Tally</v>
      </c>
      <c r="J245" s="1" t="str">
        <f t="shared" si="9"/>
        <v>Unique</v>
      </c>
      <c r="K245" s="21" t="str">
        <f t="shared" si="10"/>
        <v>Matched</v>
      </c>
      <c r="L245" s="4" t="str">
        <f>IF(COUNTIFS(A:A,A245,C:C,C245)=2,IF(K245="Mismatch","Value Mismatch","Matched"),IF(I245= "Tally","Missing in GST","Missing in Tally"))</f>
        <v>Matched</v>
      </c>
      <c r="M245" s="6">
        <f t="shared" si="11"/>
        <v>0</v>
      </c>
    </row>
    <row r="246" spans="1:13" x14ac:dyDescent="0.2">
      <c r="A246" s="1" t="str">
        <v>INV1244</v>
      </c>
      <c r="B246" s="2" t="str">
        <v>20-06-2024</v>
      </c>
      <c r="C246" s="1" t="str">
        <v>07ZXCVB9876M1Z3</v>
      </c>
      <c r="D246" s="4" t="str">
        <v>Gupta Supplies</v>
      </c>
      <c r="E246" s="6">
        <v>28602.66</v>
      </c>
      <c r="F246" s="6">
        <v>2574.2399999999998</v>
      </c>
      <c r="G246" s="6">
        <v>2574.2399999999998</v>
      </c>
      <c r="H246" s="6">
        <v>33751.14</v>
      </c>
      <c r="I246" s="19" t="str">
        <v>Tally</v>
      </c>
      <c r="J246" s="1" t="str">
        <f t="shared" si="9"/>
        <v>Unique</v>
      </c>
      <c r="K246" s="21" t="str">
        <f t="shared" si="10"/>
        <v/>
      </c>
      <c r="L246" s="4" t="str">
        <f>IF(COUNTIFS(A:A,A246,C:C,C246)=2,IF(K246="Mismatch","Value Mismatch","Matched"),IF(I246= "Tally","Missing in GST","Missing in Tally"))</f>
        <v>Missing in GST</v>
      </c>
      <c r="M246" s="6" t="str">
        <f t="shared" si="11"/>
        <v/>
      </c>
    </row>
    <row r="247" spans="1:13" x14ac:dyDescent="0.2">
      <c r="A247" s="1" t="str">
        <v>INV1245</v>
      </c>
      <c r="B247" s="2" t="str">
        <v>09-04-2024</v>
      </c>
      <c r="C247" s="1" t="str">
        <v>19ASDFG2468H1Z9</v>
      </c>
      <c r="D247" s="4" t="str">
        <v>Eastern Distributors</v>
      </c>
      <c r="E247" s="6">
        <v>9898.69</v>
      </c>
      <c r="F247" s="6">
        <v>890.88</v>
      </c>
      <c r="G247" s="6">
        <v>890.88</v>
      </c>
      <c r="H247" s="6">
        <v>11680.45</v>
      </c>
      <c r="I247" s="19" t="str">
        <v>Tally</v>
      </c>
      <c r="J247" s="1" t="str">
        <f t="shared" si="9"/>
        <v>Unique</v>
      </c>
      <c r="K247" s="21" t="str">
        <f t="shared" si="10"/>
        <v>Matched</v>
      </c>
      <c r="L247" s="4" t="str">
        <f>IF(COUNTIFS(A:A,A247,C:C,C247)=2,IF(K247="Mismatch","Value Mismatch","Matched"),IF(I247= "Tally","Missing in GST","Missing in Tally"))</f>
        <v>Matched</v>
      </c>
      <c r="M247" s="6">
        <f t="shared" si="11"/>
        <v>0</v>
      </c>
    </row>
    <row r="248" spans="1:13" x14ac:dyDescent="0.2">
      <c r="A248" s="1" t="str">
        <v>INV1246</v>
      </c>
      <c r="B248" s="2" t="str">
        <v>29-04-2024</v>
      </c>
      <c r="C248" s="1" t="str">
        <v>24LMNOP4321K1Z7</v>
      </c>
      <c r="D248" s="4" t="str">
        <v>Patel Industries</v>
      </c>
      <c r="E248" s="6">
        <v>48810.26</v>
      </c>
      <c r="F248" s="6">
        <v>4392.92</v>
      </c>
      <c r="G248" s="6">
        <v>4392.92</v>
      </c>
      <c r="H248" s="6">
        <v>57596.1</v>
      </c>
      <c r="I248" s="19" t="str">
        <v>Tally</v>
      </c>
      <c r="J248" s="1" t="str">
        <f t="shared" si="9"/>
        <v>Unique</v>
      </c>
      <c r="K248" s="21" t="str">
        <f t="shared" si="10"/>
        <v/>
      </c>
      <c r="L248" s="4" t="str">
        <f>IF(COUNTIFS(A:A,A248,C:C,C248)=2,IF(K248="Mismatch","Value Mismatch","Matched"),IF(I248= "Tally","Missing in GST","Missing in Tally"))</f>
        <v>Missing in GST</v>
      </c>
      <c r="M248" s="6" t="str">
        <f t="shared" si="11"/>
        <v/>
      </c>
    </row>
    <row r="249" spans="1:13" x14ac:dyDescent="0.2">
      <c r="A249" s="1" t="str">
        <v>INV1247</v>
      </c>
      <c r="B249" s="2" t="str">
        <v>14-04-2024</v>
      </c>
      <c r="C249" s="1" t="str">
        <v>29PQRSX5678L1Z2</v>
      </c>
      <c r="D249" s="4" t="str">
        <v>Kiran Enterprises</v>
      </c>
      <c r="E249" s="6">
        <v>48488.39</v>
      </c>
      <c r="F249" s="6">
        <v>4363.96</v>
      </c>
      <c r="G249" s="6">
        <v>4363.96</v>
      </c>
      <c r="H249" s="6">
        <v>57216.31</v>
      </c>
      <c r="I249" s="19" t="str">
        <v>Tally</v>
      </c>
      <c r="J249" s="1" t="str">
        <f t="shared" si="9"/>
        <v>Unique</v>
      </c>
      <c r="K249" s="21" t="str">
        <f t="shared" si="10"/>
        <v/>
      </c>
      <c r="L249" s="4" t="str">
        <f>IF(COUNTIFS(A:A,A249,C:C,C249)=2,IF(K249="Mismatch","Value Mismatch","Matched"),IF(I249= "Tally","Missing in GST","Missing in Tally"))</f>
        <v>Missing in GST</v>
      </c>
      <c r="M249" s="6" t="str">
        <f t="shared" si="11"/>
        <v/>
      </c>
    </row>
    <row r="250" spans="1:13" x14ac:dyDescent="0.2">
      <c r="A250" s="1" t="str">
        <v>INV1248</v>
      </c>
      <c r="B250" s="2" t="str">
        <v>22-04-2024</v>
      </c>
      <c r="C250" s="1" t="str">
        <v>19ASDFG2468H1Z9</v>
      </c>
      <c r="D250" s="4" t="str">
        <v>Eastern Distributors</v>
      </c>
      <c r="E250" s="6">
        <v>4027.77</v>
      </c>
      <c r="F250" s="6">
        <v>362.5</v>
      </c>
      <c r="G250" s="6">
        <v>362.5</v>
      </c>
      <c r="H250" s="6">
        <v>4752.7700000000004</v>
      </c>
      <c r="I250" s="19" t="str">
        <v>Tally</v>
      </c>
      <c r="J250" s="1" t="str">
        <f t="shared" si="9"/>
        <v>Unique</v>
      </c>
      <c r="K250" s="21" t="str">
        <f t="shared" si="10"/>
        <v/>
      </c>
      <c r="L250" s="4" t="str">
        <f>IF(COUNTIFS(A:A,A250,C:C,C250)=2,IF(K250="Mismatch","Value Mismatch","Matched"),IF(I250= "Tally","Missing in GST","Missing in Tally"))</f>
        <v>Missing in GST</v>
      </c>
      <c r="M250" s="6" t="str">
        <f t="shared" si="11"/>
        <v/>
      </c>
    </row>
    <row r="251" spans="1:13" x14ac:dyDescent="0.2">
      <c r="A251" s="1" t="str">
        <v>INV1249</v>
      </c>
      <c r="B251" s="2" t="str">
        <v>14-04-2024</v>
      </c>
      <c r="C251" s="1" t="str">
        <v>29PQRSX5678L1Z2</v>
      </c>
      <c r="D251" s="4" t="str">
        <v>Kiran Enterprises</v>
      </c>
      <c r="E251" s="6">
        <v>46436.73</v>
      </c>
      <c r="F251" s="6">
        <v>4179.3100000000004</v>
      </c>
      <c r="G251" s="6">
        <v>4179.3100000000004</v>
      </c>
      <c r="H251" s="6">
        <v>54795.35</v>
      </c>
      <c r="I251" s="19" t="str">
        <v>Tally</v>
      </c>
      <c r="J251" s="1" t="str">
        <f t="shared" si="9"/>
        <v>Unique</v>
      </c>
      <c r="K251" s="21" t="str">
        <f t="shared" si="10"/>
        <v/>
      </c>
      <c r="L251" s="4" t="str">
        <f>IF(COUNTIFS(A:A,A251,C:C,C251)=2,IF(K251="Mismatch","Value Mismatch","Matched"),IF(I251= "Tally","Missing in GST","Missing in Tally"))</f>
        <v>Missing in GST</v>
      </c>
      <c r="M251" s="6" t="str">
        <f t="shared" si="11"/>
        <v/>
      </c>
    </row>
    <row r="252" spans="1:13" x14ac:dyDescent="0.2">
      <c r="A252" s="1" t="str">
        <v>INV1250</v>
      </c>
      <c r="B252" s="2" t="str">
        <v>03-05-2024</v>
      </c>
      <c r="C252" s="1" t="str">
        <v>19ASDFG2468H1Z9</v>
      </c>
      <c r="D252" s="4" t="str">
        <v>Eastern Distributors</v>
      </c>
      <c r="E252" s="6">
        <v>30346.03</v>
      </c>
      <c r="F252" s="6">
        <v>2731.14</v>
      </c>
      <c r="G252" s="6">
        <v>2731.14</v>
      </c>
      <c r="H252" s="6">
        <v>35808.31</v>
      </c>
      <c r="I252" s="19" t="str">
        <v>Tally</v>
      </c>
      <c r="J252" s="1" t="str">
        <f t="shared" si="9"/>
        <v>Unique</v>
      </c>
      <c r="K252" s="21" t="str">
        <f t="shared" si="10"/>
        <v/>
      </c>
      <c r="L252" s="4" t="str">
        <f>IF(COUNTIFS(A:A,A252,C:C,C252)=2,IF(K252="Mismatch","Value Mismatch","Matched"),IF(I252= "Tally","Missing in GST","Missing in Tally"))</f>
        <v>Missing in GST</v>
      </c>
      <c r="M252" s="6" t="str">
        <f t="shared" si="11"/>
        <v/>
      </c>
    </row>
    <row r="253" spans="1:13" x14ac:dyDescent="0.2">
      <c r="A253" s="1" t="str">
        <v>INV1251</v>
      </c>
      <c r="B253" s="2" t="str">
        <v>04-05-2024</v>
      </c>
      <c r="C253" s="1" t="str">
        <v>29PQRSX5678L1Z2</v>
      </c>
      <c r="D253" s="4" t="str">
        <v>Kiran Enterprises</v>
      </c>
      <c r="E253" s="6">
        <v>49998.559999999998</v>
      </c>
      <c r="F253" s="6">
        <v>4499.87</v>
      </c>
      <c r="G253" s="6">
        <v>4499.87</v>
      </c>
      <c r="H253" s="6">
        <v>58998.3</v>
      </c>
      <c r="I253" s="19" t="str">
        <v>Tally</v>
      </c>
      <c r="J253" s="1" t="str">
        <f t="shared" si="9"/>
        <v>Unique</v>
      </c>
      <c r="K253" s="21" t="str">
        <f t="shared" si="10"/>
        <v/>
      </c>
      <c r="L253" s="4" t="str">
        <f>IF(COUNTIFS(A:A,A253,C:C,C253)=2,IF(K253="Mismatch","Value Mismatch","Matched"),IF(I253= "Tally","Missing in GST","Missing in Tally"))</f>
        <v>Missing in GST</v>
      </c>
      <c r="M253" s="6" t="str">
        <f t="shared" si="11"/>
        <v/>
      </c>
    </row>
    <row r="254" spans="1:13" x14ac:dyDescent="0.2">
      <c r="A254" s="1" t="str">
        <v>INV1252</v>
      </c>
      <c r="B254" s="2" t="str">
        <v>27-06-2024</v>
      </c>
      <c r="C254" s="1" t="str">
        <v>24LMNOP4321K1Z7</v>
      </c>
      <c r="D254" s="4" t="str">
        <v>Patel Industries</v>
      </c>
      <c r="E254" s="6">
        <v>11885.83</v>
      </c>
      <c r="F254" s="6">
        <v>1069.72</v>
      </c>
      <c r="G254" s="6">
        <v>1069.72</v>
      </c>
      <c r="H254" s="6">
        <v>14025.27</v>
      </c>
      <c r="I254" s="19" t="str">
        <v>Tally</v>
      </c>
      <c r="J254" s="1" t="str">
        <f t="shared" si="9"/>
        <v>Unique</v>
      </c>
      <c r="K254" s="21" t="str">
        <f t="shared" si="10"/>
        <v/>
      </c>
      <c r="L254" s="4" t="str">
        <f>IF(COUNTIFS(A:A,A254,C:C,C254)=2,IF(K254="Mismatch","Value Mismatch","Matched"),IF(I254= "Tally","Missing in GST","Missing in Tally"))</f>
        <v>Missing in GST</v>
      </c>
      <c r="M254" s="6" t="str">
        <f t="shared" si="11"/>
        <v/>
      </c>
    </row>
    <row r="255" spans="1:13" x14ac:dyDescent="0.2">
      <c r="A255" s="1" t="str">
        <v>INV1253</v>
      </c>
      <c r="B255" s="2" t="str">
        <v>02-04-2024</v>
      </c>
      <c r="C255" s="1" t="str">
        <v>07ZXCVB9876M1Z3</v>
      </c>
      <c r="D255" s="4" t="str">
        <v>Gupta Supplies</v>
      </c>
      <c r="E255" s="6">
        <v>11530.39</v>
      </c>
      <c r="F255" s="6">
        <v>1037.74</v>
      </c>
      <c r="G255" s="6">
        <v>1037.74</v>
      </c>
      <c r="H255" s="6">
        <v>13605.87</v>
      </c>
      <c r="I255" s="19" t="str">
        <v>Tally</v>
      </c>
      <c r="J255" s="1" t="str">
        <f t="shared" si="9"/>
        <v>Unique</v>
      </c>
      <c r="K255" s="21" t="str">
        <f t="shared" si="10"/>
        <v/>
      </c>
      <c r="L255" s="4" t="str">
        <f>IF(COUNTIFS(A:A,A255,C:C,C255)=2,IF(K255="Mismatch","Value Mismatch","Matched"),IF(I255= "Tally","Missing in GST","Missing in Tally"))</f>
        <v>Missing in GST</v>
      </c>
      <c r="M255" s="6" t="str">
        <f t="shared" si="11"/>
        <v/>
      </c>
    </row>
    <row r="256" spans="1:13" x14ac:dyDescent="0.2">
      <c r="A256" s="1" t="str">
        <v>INV1254</v>
      </c>
      <c r="B256" s="2" t="str">
        <v>14-04-2024</v>
      </c>
      <c r="C256" s="1" t="str">
        <v>24LMNOP4321K1Z7</v>
      </c>
      <c r="D256" s="4" t="str">
        <v>Patel Industries</v>
      </c>
      <c r="E256" s="6">
        <v>20530.34</v>
      </c>
      <c r="F256" s="6">
        <v>1847.73</v>
      </c>
      <c r="G256" s="6">
        <v>1847.73</v>
      </c>
      <c r="H256" s="6">
        <v>24225.8</v>
      </c>
      <c r="I256" s="19" t="str">
        <v>Tally</v>
      </c>
      <c r="J256" s="1" t="str">
        <f t="shared" si="9"/>
        <v>Unique</v>
      </c>
      <c r="K256" s="21" t="str">
        <f t="shared" si="10"/>
        <v/>
      </c>
      <c r="L256" s="4" t="str">
        <f>IF(COUNTIFS(A:A,A256,C:C,C256)=2,IF(K256="Mismatch","Value Mismatch","Matched"),IF(I256= "Tally","Missing in GST","Missing in Tally"))</f>
        <v>Missing in GST</v>
      </c>
      <c r="M256" s="6" t="str">
        <f t="shared" si="11"/>
        <v/>
      </c>
    </row>
    <row r="257" spans="1:13" x14ac:dyDescent="0.2">
      <c r="A257" s="1" t="str">
        <v>INV1255</v>
      </c>
      <c r="B257" s="2" t="str">
        <v>06-04-2024</v>
      </c>
      <c r="C257" s="1" t="str">
        <v>07ZXCVB9876M1Z3</v>
      </c>
      <c r="D257" s="4" t="str">
        <v>Gupta Supplies</v>
      </c>
      <c r="E257" s="6">
        <v>2230.87</v>
      </c>
      <c r="F257" s="6">
        <v>200.78</v>
      </c>
      <c r="G257" s="6">
        <v>200.78</v>
      </c>
      <c r="H257" s="6">
        <v>2632.43</v>
      </c>
      <c r="I257" s="19" t="str">
        <v>Tally</v>
      </c>
      <c r="J257" s="1" t="str">
        <f t="shared" si="9"/>
        <v>Unique</v>
      </c>
      <c r="K257" s="21" t="str">
        <f t="shared" si="10"/>
        <v/>
      </c>
      <c r="L257" s="4" t="str">
        <f>IF(COUNTIFS(A:A,A257,C:C,C257)=2,IF(K257="Mismatch","Value Mismatch","Matched"),IF(I257= "Tally","Missing in GST","Missing in Tally"))</f>
        <v>Missing in GST</v>
      </c>
      <c r="M257" s="6" t="str">
        <f t="shared" si="11"/>
        <v/>
      </c>
    </row>
    <row r="258" spans="1:13" x14ac:dyDescent="0.2">
      <c r="A258" s="1" t="str">
        <v>INV1256</v>
      </c>
      <c r="B258" s="2" t="str">
        <v>09-06-2024</v>
      </c>
      <c r="C258" s="1" t="str">
        <v>07ZXCVB9876M1Z3</v>
      </c>
      <c r="D258" s="4" t="str">
        <v>Gupta Supplies</v>
      </c>
      <c r="E258" s="6">
        <v>44677.31</v>
      </c>
      <c r="F258" s="6">
        <v>4020.96</v>
      </c>
      <c r="G258" s="6">
        <v>4020.96</v>
      </c>
      <c r="H258" s="6">
        <v>52719.23</v>
      </c>
      <c r="I258" s="19" t="str">
        <v>Tally</v>
      </c>
      <c r="J258" s="1" t="str">
        <f t="shared" si="9"/>
        <v>Unique</v>
      </c>
      <c r="K258" s="21" t="str">
        <f t="shared" si="10"/>
        <v/>
      </c>
      <c r="L258" s="4" t="str">
        <f>IF(COUNTIFS(A:A,A258,C:C,C258)=2,IF(K258="Mismatch","Value Mismatch","Matched"),IF(I258= "Tally","Missing in GST","Missing in Tally"))</f>
        <v>Missing in GST</v>
      </c>
      <c r="M258" s="6" t="str">
        <f t="shared" si="11"/>
        <v/>
      </c>
    </row>
    <row r="259" spans="1:13" x14ac:dyDescent="0.2">
      <c r="A259" s="1" t="str">
        <v>INV1257</v>
      </c>
      <c r="B259" s="2" t="str">
        <v>15-05-2024</v>
      </c>
      <c r="C259" s="1" t="str">
        <v>29PQRSX5678L1Z2</v>
      </c>
      <c r="D259" s="4" t="str">
        <v>Kiran Enterprises</v>
      </c>
      <c r="E259" s="6">
        <v>14573</v>
      </c>
      <c r="F259" s="6">
        <v>1311.57</v>
      </c>
      <c r="G259" s="6">
        <v>1311.57</v>
      </c>
      <c r="H259" s="6">
        <v>17196.14</v>
      </c>
      <c r="I259" s="19" t="str">
        <v>Tally</v>
      </c>
      <c r="J259" s="1" t="str">
        <f t="shared" ref="J259:J322" si="12">IF(COUNTIFS(A:A,A259,D:D,D259,I:I,I259)&gt;1,"Duplicate","Unique")</f>
        <v>Unique</v>
      </c>
      <c r="K259" s="21" t="str">
        <f t="shared" ref="K259:K322" si="13">IF(COUNTIFS(A:A,A259,C:C,C259)=2,IF(SUMIFS(E:E,A:A,A259,C:C,C259)&lt;&gt;E259*2,"Mismatch","Matched"),"")</f>
        <v/>
      </c>
      <c r="L259" s="4" t="str">
        <f>IF(COUNTIFS(A:A,A259,C:C,C259)=2,IF(K259="Mismatch","Value Mismatch","Matched"),IF(I259= "Tally","Missing in GST","Missing in Tally"))</f>
        <v>Missing in GST</v>
      </c>
      <c r="M259" s="6" t="str">
        <f t="shared" ref="M259:M322" si="14">IF(COUNTIFS(A:A,A259,C:C,C259)=2,SUMIFS(E:E,A:A,A259,C:C,C259)-E259*2,"")</f>
        <v/>
      </c>
    </row>
    <row r="260" spans="1:13" x14ac:dyDescent="0.2">
      <c r="A260" s="1" t="str">
        <v>INV1258</v>
      </c>
      <c r="B260" s="2" t="str">
        <v>12-04-2024</v>
      </c>
      <c r="C260" s="1" t="str">
        <v>24LMNOP4321K1Z7</v>
      </c>
      <c r="D260" s="4" t="str">
        <v>Patel Industries</v>
      </c>
      <c r="E260" s="6">
        <v>15459.13</v>
      </c>
      <c r="F260" s="6">
        <v>1391.32</v>
      </c>
      <c r="G260" s="6">
        <v>1391.32</v>
      </c>
      <c r="H260" s="6">
        <v>18241.77</v>
      </c>
      <c r="I260" s="19" t="str">
        <v>Tally</v>
      </c>
      <c r="J260" s="1" t="str">
        <f t="shared" si="12"/>
        <v>Unique</v>
      </c>
      <c r="K260" s="21" t="str">
        <f t="shared" si="13"/>
        <v>Matched</v>
      </c>
      <c r="L260" s="4" t="str">
        <f>IF(COUNTIFS(A:A,A260,C:C,C260)=2,IF(K260="Mismatch","Value Mismatch","Matched"),IF(I260= "Tally","Missing in GST","Missing in Tally"))</f>
        <v>Matched</v>
      </c>
      <c r="M260" s="6">
        <f t="shared" si="14"/>
        <v>0</v>
      </c>
    </row>
    <row r="261" spans="1:13" x14ac:dyDescent="0.2">
      <c r="A261" s="1" t="str">
        <v>INV1259</v>
      </c>
      <c r="B261" s="2" t="str">
        <v>22-05-2024</v>
      </c>
      <c r="C261" s="1" t="str">
        <v>07ZXCVB9876M1Z3</v>
      </c>
      <c r="D261" s="4" t="str">
        <v>Gupta Supplies</v>
      </c>
      <c r="E261" s="6">
        <v>25393.26</v>
      </c>
      <c r="F261" s="6">
        <v>2285.39</v>
      </c>
      <c r="G261" s="6">
        <v>2285.39</v>
      </c>
      <c r="H261" s="6">
        <v>29964.04</v>
      </c>
      <c r="I261" s="19" t="str">
        <v>Tally</v>
      </c>
      <c r="J261" s="1" t="str">
        <f t="shared" si="12"/>
        <v>Unique</v>
      </c>
      <c r="K261" s="21" t="str">
        <f t="shared" si="13"/>
        <v/>
      </c>
      <c r="L261" s="4" t="str">
        <f>IF(COUNTIFS(A:A,A261,C:C,C261)=2,IF(K261="Mismatch","Value Mismatch","Matched"),IF(I261= "Tally","Missing in GST","Missing in Tally"))</f>
        <v>Missing in GST</v>
      </c>
      <c r="M261" s="6" t="str">
        <f t="shared" si="14"/>
        <v/>
      </c>
    </row>
    <row r="262" spans="1:13" x14ac:dyDescent="0.2">
      <c r="A262" s="1" t="str">
        <v>INV1260</v>
      </c>
      <c r="B262" s="2" t="str">
        <v>21-05-2024</v>
      </c>
      <c r="C262" s="1" t="str">
        <v>19ASDFG2468H1Z9</v>
      </c>
      <c r="D262" s="4" t="str">
        <v>Eastern Distributors</v>
      </c>
      <c r="E262" s="6">
        <v>38773.83</v>
      </c>
      <c r="F262" s="6">
        <v>3489.64</v>
      </c>
      <c r="G262" s="6">
        <v>3489.64</v>
      </c>
      <c r="H262" s="6">
        <v>45753.11</v>
      </c>
      <c r="I262" s="19" t="str">
        <v>Tally</v>
      </c>
      <c r="J262" s="1" t="str">
        <f t="shared" si="12"/>
        <v>Unique</v>
      </c>
      <c r="K262" s="21" t="str">
        <f t="shared" si="13"/>
        <v/>
      </c>
      <c r="L262" s="4" t="str">
        <f>IF(COUNTIFS(A:A,A262,C:C,C262)=2,IF(K262="Mismatch","Value Mismatch","Matched"),IF(I262= "Tally","Missing in GST","Missing in Tally"))</f>
        <v>Missing in GST</v>
      </c>
      <c r="M262" s="6" t="str">
        <f t="shared" si="14"/>
        <v/>
      </c>
    </row>
    <row r="263" spans="1:13" x14ac:dyDescent="0.2">
      <c r="A263" s="1" t="str">
        <v>INV1261</v>
      </c>
      <c r="B263" s="2" t="str">
        <v>01-05-2024</v>
      </c>
      <c r="C263" s="1" t="str">
        <v>27ABCDE1234F1Z5</v>
      </c>
      <c r="D263" s="4" t="str">
        <v>Sharma Traders</v>
      </c>
      <c r="E263" s="6">
        <v>27999.51</v>
      </c>
      <c r="F263" s="6">
        <v>2519.96</v>
      </c>
      <c r="G263" s="6">
        <v>2519.96</v>
      </c>
      <c r="H263" s="6">
        <v>33039.43</v>
      </c>
      <c r="I263" s="19" t="str">
        <v>Tally</v>
      </c>
      <c r="J263" s="1" t="str">
        <f t="shared" si="12"/>
        <v>Unique</v>
      </c>
      <c r="K263" s="21" t="str">
        <f t="shared" si="13"/>
        <v/>
      </c>
      <c r="L263" s="4" t="str">
        <f>IF(COUNTIFS(A:A,A263,C:C,C263)=2,IF(K263="Mismatch","Value Mismatch","Matched"),IF(I263= "Tally","Missing in GST","Missing in Tally"))</f>
        <v>Missing in GST</v>
      </c>
      <c r="M263" s="6" t="str">
        <f t="shared" si="14"/>
        <v/>
      </c>
    </row>
    <row r="264" spans="1:13" x14ac:dyDescent="0.2">
      <c r="A264" s="1" t="str">
        <v>INV1262</v>
      </c>
      <c r="B264" s="2" t="str">
        <v>25-04-2024</v>
      </c>
      <c r="C264" s="1" t="str">
        <v>19ASDFG2468H1Z9</v>
      </c>
      <c r="D264" s="4" t="str">
        <v>Eastern Distributors</v>
      </c>
      <c r="E264" s="6">
        <v>4311.07</v>
      </c>
      <c r="F264" s="6">
        <v>388</v>
      </c>
      <c r="G264" s="6">
        <v>388</v>
      </c>
      <c r="H264" s="6">
        <v>5087.07</v>
      </c>
      <c r="I264" s="19" t="str">
        <v>Tally</v>
      </c>
      <c r="J264" s="1" t="str">
        <f t="shared" si="12"/>
        <v>Unique</v>
      </c>
      <c r="K264" s="21" t="str">
        <f t="shared" si="13"/>
        <v/>
      </c>
      <c r="L264" s="4" t="str">
        <f>IF(COUNTIFS(A:A,A264,C:C,C264)=2,IF(K264="Mismatch","Value Mismatch","Matched"),IF(I264= "Tally","Missing in GST","Missing in Tally"))</f>
        <v>Missing in GST</v>
      </c>
      <c r="M264" s="6" t="str">
        <f t="shared" si="14"/>
        <v/>
      </c>
    </row>
    <row r="265" spans="1:13" x14ac:dyDescent="0.2">
      <c r="A265" s="1" t="str">
        <v>INV1263</v>
      </c>
      <c r="B265" s="2" t="str">
        <v>12-06-2024</v>
      </c>
      <c r="C265" s="1" t="str">
        <v>07ZXCVB9876M1Z3</v>
      </c>
      <c r="D265" s="4" t="str">
        <v>Gupta Supplies</v>
      </c>
      <c r="E265" s="6">
        <v>46607.95</v>
      </c>
      <c r="F265" s="6">
        <v>4194.72</v>
      </c>
      <c r="G265" s="6">
        <v>4194.72</v>
      </c>
      <c r="H265" s="6">
        <v>54997.39</v>
      </c>
      <c r="I265" s="19" t="str">
        <v>Tally</v>
      </c>
      <c r="J265" s="1" t="str">
        <f t="shared" si="12"/>
        <v>Unique</v>
      </c>
      <c r="K265" s="21" t="str">
        <f t="shared" si="13"/>
        <v/>
      </c>
      <c r="L265" s="4" t="str">
        <f>IF(COUNTIFS(A:A,A265,C:C,C265)=2,IF(K265="Mismatch","Value Mismatch","Matched"),IF(I265= "Tally","Missing in GST","Missing in Tally"))</f>
        <v>Missing in GST</v>
      </c>
      <c r="M265" s="6" t="str">
        <f t="shared" si="14"/>
        <v/>
      </c>
    </row>
    <row r="266" spans="1:13" x14ac:dyDescent="0.2">
      <c r="A266" s="1" t="str">
        <v>INV1264</v>
      </c>
      <c r="B266" s="2" t="str">
        <v>12-05-2024</v>
      </c>
      <c r="C266" s="1" t="str">
        <v>07ZXCVB9876M1Z3</v>
      </c>
      <c r="D266" s="4" t="str">
        <v>Gupta Supplies</v>
      </c>
      <c r="E266" s="6">
        <v>17445.150000000001</v>
      </c>
      <c r="F266" s="6">
        <v>1570.06</v>
      </c>
      <c r="G266" s="6">
        <v>1570.06</v>
      </c>
      <c r="H266" s="6">
        <v>20585.27</v>
      </c>
      <c r="I266" s="19" t="str">
        <v>Tally</v>
      </c>
      <c r="J266" s="1" t="str">
        <f t="shared" si="12"/>
        <v>Unique</v>
      </c>
      <c r="K266" s="21" t="str">
        <f t="shared" si="13"/>
        <v/>
      </c>
      <c r="L266" s="4" t="str">
        <f>IF(COUNTIFS(A:A,A266,C:C,C266)=2,IF(K266="Mismatch","Value Mismatch","Matched"),IF(I266= "Tally","Missing in GST","Missing in Tally"))</f>
        <v>Missing in GST</v>
      </c>
      <c r="M266" s="6" t="str">
        <f t="shared" si="14"/>
        <v/>
      </c>
    </row>
    <row r="267" spans="1:13" x14ac:dyDescent="0.2">
      <c r="A267" s="1" t="str">
        <v>INV1265</v>
      </c>
      <c r="B267" s="2" t="str">
        <v>09-06-2024</v>
      </c>
      <c r="C267" s="1" t="str">
        <v>24LMNOP4321K1Z7</v>
      </c>
      <c r="D267" s="4" t="str">
        <v>Patel Industries</v>
      </c>
      <c r="E267" s="6">
        <v>43124.01</v>
      </c>
      <c r="F267" s="6">
        <v>3881.16</v>
      </c>
      <c r="G267" s="6">
        <v>3881.16</v>
      </c>
      <c r="H267" s="6">
        <v>50886.33</v>
      </c>
      <c r="I267" s="19" t="str">
        <v>Tally</v>
      </c>
      <c r="J267" s="1" t="str">
        <f t="shared" si="12"/>
        <v>Unique</v>
      </c>
      <c r="K267" s="21" t="str">
        <f t="shared" si="13"/>
        <v/>
      </c>
      <c r="L267" s="4" t="str">
        <f>IF(COUNTIFS(A:A,A267,C:C,C267)=2,IF(K267="Mismatch","Value Mismatch","Matched"),IF(I267= "Tally","Missing in GST","Missing in Tally"))</f>
        <v>Missing in GST</v>
      </c>
      <c r="M267" s="6" t="str">
        <f t="shared" si="14"/>
        <v/>
      </c>
    </row>
    <row r="268" spans="1:13" x14ac:dyDescent="0.2">
      <c r="A268" s="1" t="str">
        <v>INV1266</v>
      </c>
      <c r="B268" s="2" t="str">
        <v>18-05-2024</v>
      </c>
      <c r="C268" s="1" t="str">
        <v>27ABCDE1234F1Z5</v>
      </c>
      <c r="D268" s="4" t="str">
        <v>Sharma Traders</v>
      </c>
      <c r="E268" s="6">
        <v>26496.01</v>
      </c>
      <c r="F268" s="6">
        <v>2384.64</v>
      </c>
      <c r="G268" s="6">
        <v>2384.64</v>
      </c>
      <c r="H268" s="6">
        <v>31265.29</v>
      </c>
      <c r="I268" s="19" t="str">
        <v>Tally</v>
      </c>
      <c r="J268" s="1" t="str">
        <f t="shared" si="12"/>
        <v>Unique</v>
      </c>
      <c r="K268" s="21" t="str">
        <f t="shared" si="13"/>
        <v/>
      </c>
      <c r="L268" s="4" t="str">
        <f>IF(COUNTIFS(A:A,A268,C:C,C268)=2,IF(K268="Mismatch","Value Mismatch","Matched"),IF(I268= "Tally","Missing in GST","Missing in Tally"))</f>
        <v>Missing in GST</v>
      </c>
      <c r="M268" s="6" t="str">
        <f t="shared" si="14"/>
        <v/>
      </c>
    </row>
    <row r="269" spans="1:13" x14ac:dyDescent="0.2">
      <c r="A269" s="1" t="str">
        <v>INV1267</v>
      </c>
      <c r="B269" s="2" t="str">
        <v>12-06-2024</v>
      </c>
      <c r="C269" s="1" t="str">
        <v>29PQRSX5678L1Z2</v>
      </c>
      <c r="D269" s="4" t="str">
        <v>Kiran Enterprises</v>
      </c>
      <c r="E269" s="6">
        <v>30064.14</v>
      </c>
      <c r="F269" s="6">
        <v>2705.77</v>
      </c>
      <c r="G269" s="6">
        <v>2705.77</v>
      </c>
      <c r="H269" s="6">
        <v>35475.68</v>
      </c>
      <c r="I269" s="19" t="str">
        <v>Tally</v>
      </c>
      <c r="J269" s="1" t="str">
        <f t="shared" si="12"/>
        <v>Unique</v>
      </c>
      <c r="K269" s="21" t="str">
        <f t="shared" si="13"/>
        <v/>
      </c>
      <c r="L269" s="4" t="str">
        <f>IF(COUNTIFS(A:A,A269,C:C,C269)=2,IF(K269="Mismatch","Value Mismatch","Matched"),IF(I269= "Tally","Missing in GST","Missing in Tally"))</f>
        <v>Missing in GST</v>
      </c>
      <c r="M269" s="6" t="str">
        <f t="shared" si="14"/>
        <v/>
      </c>
    </row>
    <row r="270" spans="1:13" x14ac:dyDescent="0.2">
      <c r="A270" s="1" t="str">
        <v>INV1268</v>
      </c>
      <c r="B270" s="2" t="str">
        <v>05-05-2024</v>
      </c>
      <c r="C270" s="1" t="str">
        <v>07ZXCVB9876M1Z3</v>
      </c>
      <c r="D270" s="4" t="str">
        <v>Gupta Supplies</v>
      </c>
      <c r="E270" s="6">
        <v>24792.89</v>
      </c>
      <c r="F270" s="6">
        <v>2231.36</v>
      </c>
      <c r="G270" s="6">
        <v>2231.36</v>
      </c>
      <c r="H270" s="6">
        <v>29255.61</v>
      </c>
      <c r="I270" s="19" t="str">
        <v>Tally</v>
      </c>
      <c r="J270" s="1" t="str">
        <f t="shared" si="12"/>
        <v>Unique</v>
      </c>
      <c r="K270" s="21" t="str">
        <f t="shared" si="13"/>
        <v/>
      </c>
      <c r="L270" s="4" t="str">
        <f>IF(COUNTIFS(A:A,A270,C:C,C270)=2,IF(K270="Mismatch","Value Mismatch","Matched"),IF(I270= "Tally","Missing in GST","Missing in Tally"))</f>
        <v>Missing in GST</v>
      </c>
      <c r="M270" s="6" t="str">
        <f t="shared" si="14"/>
        <v/>
      </c>
    </row>
    <row r="271" spans="1:13" x14ac:dyDescent="0.2">
      <c r="A271" s="1" t="str">
        <v>INV1269</v>
      </c>
      <c r="B271" s="2" t="str">
        <v>05-05-2024</v>
      </c>
      <c r="C271" s="1" t="str">
        <v>29PQRSX5678L1Z2</v>
      </c>
      <c r="D271" s="4" t="str">
        <v>Kiran Enterprises</v>
      </c>
      <c r="E271" s="6">
        <v>12390.76</v>
      </c>
      <c r="F271" s="6">
        <v>1115.17</v>
      </c>
      <c r="G271" s="6">
        <v>1115.17</v>
      </c>
      <c r="H271" s="6">
        <v>14621.1</v>
      </c>
      <c r="I271" s="19" t="str">
        <v>Tally</v>
      </c>
      <c r="J271" s="1" t="str">
        <f t="shared" si="12"/>
        <v>Unique</v>
      </c>
      <c r="K271" s="21" t="str">
        <f t="shared" si="13"/>
        <v>Matched</v>
      </c>
      <c r="L271" s="4" t="str">
        <f>IF(COUNTIFS(A:A,A271,C:C,C271)=2,IF(K271="Mismatch","Value Mismatch","Matched"),IF(I271= "Tally","Missing in GST","Missing in Tally"))</f>
        <v>Matched</v>
      </c>
      <c r="M271" s="6">
        <f t="shared" si="14"/>
        <v>0</v>
      </c>
    </row>
    <row r="272" spans="1:13" x14ac:dyDescent="0.2">
      <c r="A272" s="1" t="str">
        <v>INV1270</v>
      </c>
      <c r="B272" s="2" t="str">
        <v>27-06-2024</v>
      </c>
      <c r="C272" s="1" t="str">
        <v>24LMNOP4321K1Z7</v>
      </c>
      <c r="D272" s="4" t="str">
        <v>Patel Industries</v>
      </c>
      <c r="E272" s="6">
        <v>37856.22</v>
      </c>
      <c r="F272" s="6">
        <v>3407.06</v>
      </c>
      <c r="G272" s="6">
        <v>3407.06</v>
      </c>
      <c r="H272" s="6">
        <v>44670.34</v>
      </c>
      <c r="I272" s="19" t="str">
        <v>Tally</v>
      </c>
      <c r="J272" s="1" t="str">
        <f t="shared" si="12"/>
        <v>Unique</v>
      </c>
      <c r="K272" s="21" t="str">
        <f t="shared" si="13"/>
        <v/>
      </c>
      <c r="L272" s="4" t="str">
        <f>IF(COUNTIFS(A:A,A272,C:C,C272)=2,IF(K272="Mismatch","Value Mismatch","Matched"),IF(I272= "Tally","Missing in GST","Missing in Tally"))</f>
        <v>Missing in GST</v>
      </c>
      <c r="M272" s="6" t="str">
        <f t="shared" si="14"/>
        <v/>
      </c>
    </row>
    <row r="273" spans="1:13" x14ac:dyDescent="0.2">
      <c r="A273" s="1" t="str">
        <v>INV1271</v>
      </c>
      <c r="B273" s="2" t="str">
        <v>28-05-2024</v>
      </c>
      <c r="C273" s="1" t="str">
        <v>27ABCDE1234F1Z5</v>
      </c>
      <c r="D273" s="4" t="str">
        <v>Sharma Traders</v>
      </c>
      <c r="E273" s="6">
        <v>49292.08</v>
      </c>
      <c r="F273" s="6">
        <v>4436.29</v>
      </c>
      <c r="G273" s="6">
        <v>4436.29</v>
      </c>
      <c r="H273" s="6">
        <v>58164.66</v>
      </c>
      <c r="I273" s="19" t="str">
        <v>Tally</v>
      </c>
      <c r="J273" s="1" t="str">
        <f t="shared" si="12"/>
        <v>Unique</v>
      </c>
      <c r="K273" s="21" t="str">
        <f t="shared" si="13"/>
        <v/>
      </c>
      <c r="L273" s="4" t="str">
        <f>IF(COUNTIFS(A:A,A273,C:C,C273)=2,IF(K273="Mismatch","Value Mismatch","Matched"),IF(I273= "Tally","Missing in GST","Missing in Tally"))</f>
        <v>Missing in GST</v>
      </c>
      <c r="M273" s="6" t="str">
        <f t="shared" si="14"/>
        <v/>
      </c>
    </row>
    <row r="274" spans="1:13" x14ac:dyDescent="0.2">
      <c r="A274" s="1" t="str">
        <v>INV1272</v>
      </c>
      <c r="B274" s="2" t="str">
        <v>16-05-2024</v>
      </c>
      <c r="C274" s="1" t="str">
        <v>29PQRSX5678L1Z2</v>
      </c>
      <c r="D274" s="4" t="str">
        <v>Kiran Enterprises</v>
      </c>
      <c r="E274" s="6">
        <v>39910.29</v>
      </c>
      <c r="F274" s="6">
        <v>3591.93</v>
      </c>
      <c r="G274" s="6">
        <v>3591.93</v>
      </c>
      <c r="H274" s="6">
        <v>47094.15</v>
      </c>
      <c r="I274" s="19" t="str">
        <v>Tally</v>
      </c>
      <c r="J274" s="1" t="str">
        <f t="shared" si="12"/>
        <v>Unique</v>
      </c>
      <c r="K274" s="21" t="str">
        <f t="shared" si="13"/>
        <v/>
      </c>
      <c r="L274" s="4" t="str">
        <f>IF(COUNTIFS(A:A,A274,C:C,C274)=2,IF(K274="Mismatch","Value Mismatch","Matched"),IF(I274= "Tally","Missing in GST","Missing in Tally"))</f>
        <v>Missing in GST</v>
      </c>
      <c r="M274" s="6" t="str">
        <f t="shared" si="14"/>
        <v/>
      </c>
    </row>
    <row r="275" spans="1:13" x14ac:dyDescent="0.2">
      <c r="A275" s="1" t="str">
        <v>INV1273</v>
      </c>
      <c r="B275" s="2" t="str">
        <v>25-06-2024</v>
      </c>
      <c r="C275" s="1" t="str">
        <v>19ASDFG2468H1Z9</v>
      </c>
      <c r="D275" s="4" t="str">
        <v>Eastern Distributors</v>
      </c>
      <c r="E275" s="6">
        <v>30154.57</v>
      </c>
      <c r="F275" s="6">
        <v>2713.91</v>
      </c>
      <c r="G275" s="6">
        <v>2713.91</v>
      </c>
      <c r="H275" s="6">
        <v>35582.39</v>
      </c>
      <c r="I275" s="19" t="str">
        <v>Tally</v>
      </c>
      <c r="J275" s="1" t="str">
        <f t="shared" si="12"/>
        <v>Unique</v>
      </c>
      <c r="K275" s="21" t="str">
        <f t="shared" si="13"/>
        <v/>
      </c>
      <c r="L275" s="4" t="str">
        <f>IF(COUNTIFS(A:A,A275,C:C,C275)=2,IF(K275="Mismatch","Value Mismatch","Matched"),IF(I275= "Tally","Missing in GST","Missing in Tally"))</f>
        <v>Missing in GST</v>
      </c>
      <c r="M275" s="6" t="str">
        <f t="shared" si="14"/>
        <v/>
      </c>
    </row>
    <row r="276" spans="1:13" x14ac:dyDescent="0.2">
      <c r="A276" s="1" t="str">
        <v>INV1274</v>
      </c>
      <c r="B276" s="2" t="str">
        <v>09-06-2024</v>
      </c>
      <c r="C276" s="1" t="str">
        <v>29PQRSX5678L1Z2</v>
      </c>
      <c r="D276" s="4" t="str">
        <v>Kiran Enterprises</v>
      </c>
      <c r="E276" s="6">
        <v>26331.279999999999</v>
      </c>
      <c r="F276" s="6">
        <v>2369.8200000000002</v>
      </c>
      <c r="G276" s="6">
        <v>2369.8200000000002</v>
      </c>
      <c r="H276" s="6">
        <v>31070.92</v>
      </c>
      <c r="I276" s="19" t="str">
        <v>Tally</v>
      </c>
      <c r="J276" s="1" t="str">
        <f t="shared" si="12"/>
        <v>Unique</v>
      </c>
      <c r="K276" s="21" t="str">
        <f t="shared" si="13"/>
        <v/>
      </c>
      <c r="L276" s="4" t="str">
        <f>IF(COUNTIFS(A:A,A276,C:C,C276)=2,IF(K276="Mismatch","Value Mismatch","Matched"),IF(I276= "Tally","Missing in GST","Missing in Tally"))</f>
        <v>Missing in GST</v>
      </c>
      <c r="M276" s="6" t="str">
        <f t="shared" si="14"/>
        <v/>
      </c>
    </row>
    <row r="277" spans="1:13" x14ac:dyDescent="0.2">
      <c r="A277" s="1" t="str">
        <v>INV1275</v>
      </c>
      <c r="B277" s="2" t="str">
        <v>08-04-2024</v>
      </c>
      <c r="C277" s="1" t="str">
        <v>24LMNOP4321K1Z7</v>
      </c>
      <c r="D277" s="4" t="str">
        <v>Patel Industries</v>
      </c>
      <c r="E277" s="6">
        <v>6152.17</v>
      </c>
      <c r="F277" s="6">
        <v>553.70000000000005</v>
      </c>
      <c r="G277" s="6">
        <v>553.70000000000005</v>
      </c>
      <c r="H277" s="6">
        <v>7259.57</v>
      </c>
      <c r="I277" s="19" t="str">
        <v>Tally</v>
      </c>
      <c r="J277" s="1" t="str">
        <f t="shared" si="12"/>
        <v>Unique</v>
      </c>
      <c r="K277" s="21" t="str">
        <f t="shared" si="13"/>
        <v/>
      </c>
      <c r="L277" s="4" t="str">
        <f>IF(COUNTIFS(A:A,A277,C:C,C277)=2,IF(K277="Mismatch","Value Mismatch","Matched"),IF(I277= "Tally","Missing in GST","Missing in Tally"))</f>
        <v>Missing in GST</v>
      </c>
      <c r="M277" s="6" t="str">
        <f t="shared" si="14"/>
        <v/>
      </c>
    </row>
    <row r="278" spans="1:13" x14ac:dyDescent="0.2">
      <c r="A278" s="1" t="str">
        <v>INV1276</v>
      </c>
      <c r="B278" s="2" t="str">
        <v>26-06-2024</v>
      </c>
      <c r="C278" s="1" t="str">
        <v>24LMNOP4321K1Z7</v>
      </c>
      <c r="D278" s="4" t="str">
        <v>Patel Industries</v>
      </c>
      <c r="E278" s="6">
        <v>4469.43</v>
      </c>
      <c r="F278" s="6">
        <v>402.25</v>
      </c>
      <c r="G278" s="6">
        <v>402.25</v>
      </c>
      <c r="H278" s="6">
        <v>5273.93</v>
      </c>
      <c r="I278" s="19" t="str">
        <v>Tally</v>
      </c>
      <c r="J278" s="1" t="str">
        <f t="shared" si="12"/>
        <v>Unique</v>
      </c>
      <c r="K278" s="21" t="str">
        <f t="shared" si="13"/>
        <v>Matched</v>
      </c>
      <c r="L278" s="4" t="str">
        <f>IF(COUNTIFS(A:A,A278,C:C,C278)=2,IF(K278="Mismatch","Value Mismatch","Matched"),IF(I278= "Tally","Missing in GST","Missing in Tally"))</f>
        <v>Matched</v>
      </c>
      <c r="M278" s="6">
        <f t="shared" si="14"/>
        <v>0</v>
      </c>
    </row>
    <row r="279" spans="1:13" x14ac:dyDescent="0.2">
      <c r="A279" s="1" t="str">
        <v>INV1277</v>
      </c>
      <c r="B279" s="2" t="str">
        <v>27-06-2024</v>
      </c>
      <c r="C279" s="1" t="str">
        <v>19ASDFG2468H1Z9</v>
      </c>
      <c r="D279" s="4" t="str">
        <v>Eastern Distributors</v>
      </c>
      <c r="E279" s="6">
        <v>46718.83</v>
      </c>
      <c r="F279" s="6">
        <v>4204.6899999999996</v>
      </c>
      <c r="G279" s="6">
        <v>4204.6899999999996</v>
      </c>
      <c r="H279" s="6">
        <v>55128.21</v>
      </c>
      <c r="I279" s="19" t="str">
        <v>Tally</v>
      </c>
      <c r="J279" s="1" t="str">
        <f t="shared" si="12"/>
        <v>Unique</v>
      </c>
      <c r="K279" s="21" t="str">
        <f t="shared" si="13"/>
        <v/>
      </c>
      <c r="L279" s="4" t="str">
        <f>IF(COUNTIFS(A:A,A279,C:C,C279)=2,IF(K279="Mismatch","Value Mismatch","Matched"),IF(I279= "Tally","Missing in GST","Missing in Tally"))</f>
        <v>Missing in GST</v>
      </c>
      <c r="M279" s="6" t="str">
        <f t="shared" si="14"/>
        <v/>
      </c>
    </row>
    <row r="280" spans="1:13" x14ac:dyDescent="0.2">
      <c r="A280" s="1" t="str">
        <v>INV1278</v>
      </c>
      <c r="B280" s="2" t="str">
        <v>14-05-2024</v>
      </c>
      <c r="C280" s="1" t="str">
        <v>27ABCDE1234F1Z5</v>
      </c>
      <c r="D280" s="4" t="str">
        <v>Sharma Traders</v>
      </c>
      <c r="E280" s="6">
        <v>2934.21</v>
      </c>
      <c r="F280" s="6">
        <v>264.08</v>
      </c>
      <c r="G280" s="6">
        <v>264.08</v>
      </c>
      <c r="H280" s="6">
        <v>3462.37</v>
      </c>
      <c r="I280" s="19" t="str">
        <v>Tally</v>
      </c>
      <c r="J280" s="1" t="str">
        <f t="shared" si="12"/>
        <v>Unique</v>
      </c>
      <c r="K280" s="21" t="str">
        <f t="shared" si="13"/>
        <v/>
      </c>
      <c r="L280" s="4" t="str">
        <f>IF(COUNTIFS(A:A,A280,C:C,C280)=2,IF(K280="Mismatch","Value Mismatch","Matched"),IF(I280= "Tally","Missing in GST","Missing in Tally"))</f>
        <v>Missing in GST</v>
      </c>
      <c r="M280" s="6" t="str">
        <f t="shared" si="14"/>
        <v/>
      </c>
    </row>
    <row r="281" spans="1:13" x14ac:dyDescent="0.2">
      <c r="A281" s="1" t="str">
        <v>INV1279</v>
      </c>
      <c r="B281" s="2" t="str">
        <v>15-04-2024</v>
      </c>
      <c r="C281" s="1" t="str">
        <v>29PQRSX5678L1Z2</v>
      </c>
      <c r="D281" s="4" t="str">
        <v>Kiran Enterprises</v>
      </c>
      <c r="E281" s="6">
        <v>28726.47</v>
      </c>
      <c r="F281" s="6">
        <v>2585.38</v>
      </c>
      <c r="G281" s="6">
        <v>2585.38</v>
      </c>
      <c r="H281" s="6">
        <v>33897.230000000003</v>
      </c>
      <c r="I281" s="19" t="str">
        <v>Tally</v>
      </c>
      <c r="J281" s="1" t="str">
        <f t="shared" si="12"/>
        <v>Unique</v>
      </c>
      <c r="K281" s="21" t="str">
        <f t="shared" si="13"/>
        <v/>
      </c>
      <c r="L281" s="4" t="str">
        <f>IF(COUNTIFS(A:A,A281,C:C,C281)=2,IF(K281="Mismatch","Value Mismatch","Matched"),IF(I281= "Tally","Missing in GST","Missing in Tally"))</f>
        <v>Missing in GST</v>
      </c>
      <c r="M281" s="6" t="str">
        <f t="shared" si="14"/>
        <v/>
      </c>
    </row>
    <row r="282" spans="1:13" x14ac:dyDescent="0.2">
      <c r="A282" s="1" t="str">
        <v>INV1280</v>
      </c>
      <c r="B282" s="2" t="str">
        <v>11-05-2024</v>
      </c>
      <c r="C282" s="1" t="str">
        <v>19ASDFG2468H1Z9</v>
      </c>
      <c r="D282" s="4" t="str">
        <v>Eastern Distributors</v>
      </c>
      <c r="E282" s="6">
        <v>14458.79</v>
      </c>
      <c r="F282" s="6">
        <v>1301.29</v>
      </c>
      <c r="G282" s="6">
        <v>1301.29</v>
      </c>
      <c r="H282" s="6">
        <v>17061.37</v>
      </c>
      <c r="I282" s="19" t="str">
        <v>Tally</v>
      </c>
      <c r="J282" s="1" t="str">
        <f t="shared" si="12"/>
        <v>Unique</v>
      </c>
      <c r="K282" s="21" t="str">
        <f t="shared" si="13"/>
        <v/>
      </c>
      <c r="L282" s="4" t="str">
        <f>IF(COUNTIFS(A:A,A282,C:C,C282)=2,IF(K282="Mismatch","Value Mismatch","Matched"),IF(I282= "Tally","Missing in GST","Missing in Tally"))</f>
        <v>Missing in GST</v>
      </c>
      <c r="M282" s="6" t="str">
        <f t="shared" si="14"/>
        <v/>
      </c>
    </row>
    <row r="283" spans="1:13" x14ac:dyDescent="0.2">
      <c r="A283" s="1" t="str">
        <v>INV1281</v>
      </c>
      <c r="B283" s="2" t="str">
        <v>07-06-2024</v>
      </c>
      <c r="C283" s="1" t="str">
        <v>19ASDFG2468H1Z9</v>
      </c>
      <c r="D283" s="4" t="str">
        <v>Eastern Distributors</v>
      </c>
      <c r="E283" s="6">
        <v>43594.58</v>
      </c>
      <c r="F283" s="6">
        <v>3923.51</v>
      </c>
      <c r="G283" s="6">
        <v>3923.51</v>
      </c>
      <c r="H283" s="6">
        <v>51441.599999999999</v>
      </c>
      <c r="I283" s="19" t="str">
        <v>Tally</v>
      </c>
      <c r="J283" s="1" t="str">
        <f t="shared" si="12"/>
        <v>Unique</v>
      </c>
      <c r="K283" s="21" t="str">
        <f t="shared" si="13"/>
        <v/>
      </c>
      <c r="L283" s="4" t="str">
        <f>IF(COUNTIFS(A:A,A283,C:C,C283)=2,IF(K283="Mismatch","Value Mismatch","Matched"),IF(I283= "Tally","Missing in GST","Missing in Tally"))</f>
        <v>Missing in GST</v>
      </c>
      <c r="M283" s="6" t="str">
        <f t="shared" si="14"/>
        <v/>
      </c>
    </row>
    <row r="284" spans="1:13" x14ac:dyDescent="0.2">
      <c r="A284" s="1" t="str">
        <v>INV1282</v>
      </c>
      <c r="B284" s="2" t="str">
        <v>23-04-2024</v>
      </c>
      <c r="C284" s="1" t="str">
        <v>29PQRSX5678L1Z2</v>
      </c>
      <c r="D284" s="4" t="str">
        <v>Kiran Enterprises</v>
      </c>
      <c r="E284" s="6">
        <v>20529.39</v>
      </c>
      <c r="F284" s="6">
        <v>1847.65</v>
      </c>
      <c r="G284" s="6">
        <v>1847.65</v>
      </c>
      <c r="H284" s="6">
        <v>24224.69</v>
      </c>
      <c r="I284" s="19" t="str">
        <v>Tally</v>
      </c>
      <c r="J284" s="1" t="str">
        <f t="shared" si="12"/>
        <v>Unique</v>
      </c>
      <c r="K284" s="21" t="str">
        <f t="shared" si="13"/>
        <v/>
      </c>
      <c r="L284" s="4" t="str">
        <f>IF(COUNTIFS(A:A,A284,C:C,C284)=2,IF(K284="Mismatch","Value Mismatch","Matched"),IF(I284= "Tally","Missing in GST","Missing in Tally"))</f>
        <v>Missing in GST</v>
      </c>
      <c r="M284" s="6" t="str">
        <f t="shared" si="14"/>
        <v/>
      </c>
    </row>
    <row r="285" spans="1:13" x14ac:dyDescent="0.2">
      <c r="A285" s="1" t="str">
        <v>INV1283</v>
      </c>
      <c r="B285" s="2" t="str">
        <v>22-04-2024</v>
      </c>
      <c r="C285" s="1" t="str">
        <v>19ASDFG2468H1Z9</v>
      </c>
      <c r="D285" s="4" t="str">
        <v>Eastern Distributors</v>
      </c>
      <c r="E285" s="6">
        <v>45085.57</v>
      </c>
      <c r="F285" s="6">
        <v>4057.7</v>
      </c>
      <c r="G285" s="6">
        <v>4057.7</v>
      </c>
      <c r="H285" s="6">
        <v>53200.97</v>
      </c>
      <c r="I285" s="19" t="str">
        <v>Tally</v>
      </c>
      <c r="J285" s="1" t="str">
        <f t="shared" si="12"/>
        <v>Unique</v>
      </c>
      <c r="K285" s="21" t="str">
        <f t="shared" si="13"/>
        <v/>
      </c>
      <c r="L285" s="4" t="str">
        <f>IF(COUNTIFS(A:A,A285,C:C,C285)=2,IF(K285="Mismatch","Value Mismatch","Matched"),IF(I285= "Tally","Missing in GST","Missing in Tally"))</f>
        <v>Missing in GST</v>
      </c>
      <c r="M285" s="6" t="str">
        <f t="shared" si="14"/>
        <v/>
      </c>
    </row>
    <row r="286" spans="1:13" x14ac:dyDescent="0.2">
      <c r="A286" s="1" t="str">
        <v>INV1284</v>
      </c>
      <c r="B286" s="2" t="str">
        <v>03-06-2024</v>
      </c>
      <c r="C286" s="1" t="str">
        <v>27ABCDE1234F1Z5</v>
      </c>
      <c r="D286" s="4" t="str">
        <v>Sharma Traders</v>
      </c>
      <c r="E286" s="6">
        <v>47618.400000000001</v>
      </c>
      <c r="F286" s="6">
        <v>4285.66</v>
      </c>
      <c r="G286" s="6">
        <v>4285.66</v>
      </c>
      <c r="H286" s="6">
        <v>56189.72</v>
      </c>
      <c r="I286" s="19" t="str">
        <v>Tally</v>
      </c>
      <c r="J286" s="1" t="str">
        <f t="shared" si="12"/>
        <v>Unique</v>
      </c>
      <c r="K286" s="21" t="str">
        <f t="shared" si="13"/>
        <v/>
      </c>
      <c r="L286" s="4" t="str">
        <f>IF(COUNTIFS(A:A,A286,C:C,C286)=2,IF(K286="Mismatch","Value Mismatch","Matched"),IF(I286= "Tally","Missing in GST","Missing in Tally"))</f>
        <v>Missing in GST</v>
      </c>
      <c r="M286" s="6" t="str">
        <f t="shared" si="14"/>
        <v/>
      </c>
    </row>
    <row r="287" spans="1:13" x14ac:dyDescent="0.2">
      <c r="A287" s="1" t="str">
        <v>INV1285</v>
      </c>
      <c r="B287" s="2" t="str">
        <v>10-04-2024</v>
      </c>
      <c r="C287" s="1" t="str">
        <v>07ZXCVB9876M1Z3</v>
      </c>
      <c r="D287" s="4" t="str">
        <v>Gupta Supplies</v>
      </c>
      <c r="E287" s="6">
        <v>24879.360000000001</v>
      </c>
      <c r="F287" s="6">
        <v>2239.14</v>
      </c>
      <c r="G287" s="6">
        <v>2239.14</v>
      </c>
      <c r="H287" s="6">
        <v>29357.64</v>
      </c>
      <c r="I287" s="19" t="str">
        <v>Tally</v>
      </c>
      <c r="J287" s="1" t="str">
        <f t="shared" si="12"/>
        <v>Unique</v>
      </c>
      <c r="K287" s="21" t="str">
        <f t="shared" si="13"/>
        <v/>
      </c>
      <c r="L287" s="4" t="str">
        <f>IF(COUNTIFS(A:A,A287,C:C,C287)=2,IF(K287="Mismatch","Value Mismatch","Matched"),IF(I287= "Tally","Missing in GST","Missing in Tally"))</f>
        <v>Missing in GST</v>
      </c>
      <c r="M287" s="6" t="str">
        <f t="shared" si="14"/>
        <v/>
      </c>
    </row>
    <row r="288" spans="1:13" x14ac:dyDescent="0.2">
      <c r="A288" s="1" t="str">
        <v>INV1286</v>
      </c>
      <c r="B288" s="2" t="str">
        <v>19-05-2024</v>
      </c>
      <c r="C288" s="1" t="str">
        <v>07ZXCVB9876M1Z3</v>
      </c>
      <c r="D288" s="4" t="str">
        <v>Gupta Supplies</v>
      </c>
      <c r="E288" s="6">
        <v>11914.88</v>
      </c>
      <c r="F288" s="6">
        <v>1072.3399999999999</v>
      </c>
      <c r="G288" s="6">
        <v>1072.3399999999999</v>
      </c>
      <c r="H288" s="6">
        <v>14059.56</v>
      </c>
      <c r="I288" s="19" t="str">
        <v>Tally</v>
      </c>
      <c r="J288" s="1" t="str">
        <f t="shared" si="12"/>
        <v>Unique</v>
      </c>
      <c r="K288" s="21" t="str">
        <f t="shared" si="13"/>
        <v/>
      </c>
      <c r="L288" s="4" t="str">
        <f>IF(COUNTIFS(A:A,A288,C:C,C288)=2,IF(K288="Mismatch","Value Mismatch","Matched"),IF(I288= "Tally","Missing in GST","Missing in Tally"))</f>
        <v>Missing in GST</v>
      </c>
      <c r="M288" s="6" t="str">
        <f t="shared" si="14"/>
        <v/>
      </c>
    </row>
    <row r="289" spans="1:13" x14ac:dyDescent="0.2">
      <c r="A289" s="1" t="str">
        <v>INV1287</v>
      </c>
      <c r="B289" s="2" t="str">
        <v>06-05-2024</v>
      </c>
      <c r="C289" s="1" t="str">
        <v>19ASDFG2468H1Z9</v>
      </c>
      <c r="D289" s="4" t="str">
        <v>Eastern Distributors</v>
      </c>
      <c r="E289" s="6">
        <v>3392.96</v>
      </c>
      <c r="F289" s="6">
        <v>305.37</v>
      </c>
      <c r="G289" s="6">
        <v>305.37</v>
      </c>
      <c r="H289" s="6">
        <v>4003.7</v>
      </c>
      <c r="I289" s="19" t="str">
        <v>Tally</v>
      </c>
      <c r="J289" s="1" t="str">
        <f t="shared" si="12"/>
        <v>Unique</v>
      </c>
      <c r="K289" s="21" t="str">
        <f t="shared" si="13"/>
        <v/>
      </c>
      <c r="L289" s="4" t="str">
        <f>IF(COUNTIFS(A:A,A289,C:C,C289)=2,IF(K289="Mismatch","Value Mismatch","Matched"),IF(I289= "Tally","Missing in GST","Missing in Tally"))</f>
        <v>Missing in GST</v>
      </c>
      <c r="M289" s="6" t="str">
        <f t="shared" si="14"/>
        <v/>
      </c>
    </row>
    <row r="290" spans="1:13" x14ac:dyDescent="0.2">
      <c r="A290" s="1" t="str">
        <v>INV1288</v>
      </c>
      <c r="B290" s="2" t="str">
        <v>13-05-2024</v>
      </c>
      <c r="C290" s="1" t="str">
        <v>29PQRSX5678L1Z2</v>
      </c>
      <c r="D290" s="4" t="str">
        <v>Kiran Enterprises</v>
      </c>
      <c r="E290" s="6">
        <v>47050.92</v>
      </c>
      <c r="F290" s="6">
        <v>4234.58</v>
      </c>
      <c r="G290" s="6">
        <v>4234.58</v>
      </c>
      <c r="H290" s="6">
        <v>55520.08</v>
      </c>
      <c r="I290" s="19" t="str">
        <v>Tally</v>
      </c>
      <c r="J290" s="1" t="str">
        <f t="shared" si="12"/>
        <v>Unique</v>
      </c>
      <c r="K290" s="21" t="str">
        <f t="shared" si="13"/>
        <v>Matched</v>
      </c>
      <c r="L290" s="4" t="str">
        <f>IF(COUNTIFS(A:A,A290,C:C,C290)=2,IF(K290="Mismatch","Value Mismatch","Matched"),IF(I290= "Tally","Missing in GST","Missing in Tally"))</f>
        <v>Matched</v>
      </c>
      <c r="M290" s="6">
        <f t="shared" si="14"/>
        <v>0</v>
      </c>
    </row>
    <row r="291" spans="1:13" x14ac:dyDescent="0.2">
      <c r="A291" s="1" t="str">
        <v>INV1289</v>
      </c>
      <c r="B291" s="2" t="str">
        <v>25-06-2024</v>
      </c>
      <c r="C291" s="1" t="str">
        <v>07ZXCVB9876M1Z3</v>
      </c>
      <c r="D291" s="4" t="str">
        <v>Gupta Supplies</v>
      </c>
      <c r="E291" s="6">
        <v>18240.490000000002</v>
      </c>
      <c r="F291" s="6">
        <v>1641.64</v>
      </c>
      <c r="G291" s="6">
        <v>1641.64</v>
      </c>
      <c r="H291" s="6">
        <v>21523.77</v>
      </c>
      <c r="I291" s="19" t="str">
        <v>Tally</v>
      </c>
      <c r="J291" s="1" t="str">
        <f t="shared" si="12"/>
        <v>Unique</v>
      </c>
      <c r="K291" s="21" t="str">
        <f t="shared" si="13"/>
        <v/>
      </c>
      <c r="L291" s="4" t="str">
        <f>IF(COUNTIFS(A:A,A291,C:C,C291)=2,IF(K291="Mismatch","Value Mismatch","Matched"),IF(I291= "Tally","Missing in GST","Missing in Tally"))</f>
        <v>Missing in GST</v>
      </c>
      <c r="M291" s="6" t="str">
        <f t="shared" si="14"/>
        <v/>
      </c>
    </row>
    <row r="292" spans="1:13" x14ac:dyDescent="0.2">
      <c r="A292" s="1" t="str">
        <v>INV1290</v>
      </c>
      <c r="B292" s="2" t="str">
        <v>08-06-2024</v>
      </c>
      <c r="C292" s="1" t="str">
        <v>29PQRSX5678L1Z2</v>
      </c>
      <c r="D292" s="4" t="str">
        <v>Kiran Enterprises</v>
      </c>
      <c r="E292" s="6">
        <v>28097.18</v>
      </c>
      <c r="F292" s="6">
        <v>2528.75</v>
      </c>
      <c r="G292" s="6">
        <v>2528.75</v>
      </c>
      <c r="H292" s="6">
        <v>33154.68</v>
      </c>
      <c r="I292" s="19" t="str">
        <v>Tally</v>
      </c>
      <c r="J292" s="1" t="str">
        <f t="shared" si="12"/>
        <v>Unique</v>
      </c>
      <c r="K292" s="21" t="str">
        <f t="shared" si="13"/>
        <v/>
      </c>
      <c r="L292" s="4" t="str">
        <f>IF(COUNTIFS(A:A,A292,C:C,C292)=2,IF(K292="Mismatch","Value Mismatch","Matched"),IF(I292= "Tally","Missing in GST","Missing in Tally"))</f>
        <v>Missing in GST</v>
      </c>
      <c r="M292" s="6" t="str">
        <f t="shared" si="14"/>
        <v/>
      </c>
    </row>
    <row r="293" spans="1:13" x14ac:dyDescent="0.2">
      <c r="A293" s="1" t="str">
        <v>INV1291</v>
      </c>
      <c r="B293" s="2" t="str">
        <v>18-06-2024</v>
      </c>
      <c r="C293" s="1" t="str">
        <v>29PQRSX5678L1Z2</v>
      </c>
      <c r="D293" s="4" t="str">
        <v>Kiran Enterprises</v>
      </c>
      <c r="E293" s="6">
        <v>38571.760000000002</v>
      </c>
      <c r="F293" s="6">
        <v>3471.46</v>
      </c>
      <c r="G293" s="6">
        <v>3471.46</v>
      </c>
      <c r="H293" s="6">
        <v>45514.68</v>
      </c>
      <c r="I293" s="19" t="str">
        <v>Tally</v>
      </c>
      <c r="J293" s="1" t="str">
        <f t="shared" si="12"/>
        <v>Unique</v>
      </c>
      <c r="K293" s="21" t="str">
        <f t="shared" si="13"/>
        <v/>
      </c>
      <c r="L293" s="4" t="str">
        <f>IF(COUNTIFS(A:A,A293,C:C,C293)=2,IF(K293="Mismatch","Value Mismatch","Matched"),IF(I293= "Tally","Missing in GST","Missing in Tally"))</f>
        <v>Missing in GST</v>
      </c>
      <c r="M293" s="6" t="str">
        <f t="shared" si="14"/>
        <v/>
      </c>
    </row>
    <row r="294" spans="1:13" x14ac:dyDescent="0.2">
      <c r="A294" s="1" t="str">
        <v>INV1292</v>
      </c>
      <c r="B294" s="2" t="str">
        <v>02-06-2024</v>
      </c>
      <c r="C294" s="1" t="str">
        <v>29PQRSX5678L1Z2</v>
      </c>
      <c r="D294" s="4" t="str">
        <v>Kiran Enterprises</v>
      </c>
      <c r="E294" s="6">
        <v>11288.73</v>
      </c>
      <c r="F294" s="6">
        <v>1015.99</v>
      </c>
      <c r="G294" s="6">
        <v>1015.99</v>
      </c>
      <c r="H294" s="6">
        <v>13320.71</v>
      </c>
      <c r="I294" s="19" t="str">
        <v>Tally</v>
      </c>
      <c r="J294" s="1" t="str">
        <f t="shared" si="12"/>
        <v>Unique</v>
      </c>
      <c r="K294" s="21" t="str">
        <f t="shared" si="13"/>
        <v/>
      </c>
      <c r="L294" s="4" t="str">
        <f>IF(COUNTIFS(A:A,A294,C:C,C294)=2,IF(K294="Mismatch","Value Mismatch","Matched"),IF(I294= "Tally","Missing in GST","Missing in Tally"))</f>
        <v>Missing in GST</v>
      </c>
      <c r="M294" s="6" t="str">
        <f t="shared" si="14"/>
        <v/>
      </c>
    </row>
    <row r="295" spans="1:13" x14ac:dyDescent="0.2">
      <c r="A295" s="1" t="str">
        <v>INV1293</v>
      </c>
      <c r="B295" s="2" t="str">
        <v>29-06-2024</v>
      </c>
      <c r="C295" s="1" t="str">
        <v>19ASDFG2468H1Z9</v>
      </c>
      <c r="D295" s="4" t="str">
        <v>Eastern Distributors</v>
      </c>
      <c r="E295" s="6">
        <v>26961.97</v>
      </c>
      <c r="F295" s="6">
        <v>2426.58</v>
      </c>
      <c r="G295" s="6">
        <v>2426.58</v>
      </c>
      <c r="H295" s="6">
        <v>31815.13</v>
      </c>
      <c r="I295" s="19" t="str">
        <v>Tally</v>
      </c>
      <c r="J295" s="1" t="str">
        <f t="shared" si="12"/>
        <v>Unique</v>
      </c>
      <c r="K295" s="21" t="str">
        <f t="shared" si="13"/>
        <v/>
      </c>
      <c r="L295" s="4" t="str">
        <f>IF(COUNTIFS(A:A,A295,C:C,C295)=2,IF(K295="Mismatch","Value Mismatch","Matched"),IF(I295= "Tally","Missing in GST","Missing in Tally"))</f>
        <v>Missing in GST</v>
      </c>
      <c r="M295" s="6" t="str">
        <f t="shared" si="14"/>
        <v/>
      </c>
    </row>
    <row r="296" spans="1:13" x14ac:dyDescent="0.2">
      <c r="A296" s="1" t="str">
        <v>INV1294</v>
      </c>
      <c r="B296" s="2" t="str">
        <v>16-04-2024</v>
      </c>
      <c r="C296" s="1" t="str">
        <v>24LMNOP4321K1Z7</v>
      </c>
      <c r="D296" s="4" t="str">
        <v>Patel Industries</v>
      </c>
      <c r="E296" s="6">
        <v>5023.0200000000004</v>
      </c>
      <c r="F296" s="6">
        <v>452.07</v>
      </c>
      <c r="G296" s="6">
        <v>452.07</v>
      </c>
      <c r="H296" s="6">
        <v>5927.16</v>
      </c>
      <c r="I296" s="19" t="str">
        <v>Tally</v>
      </c>
      <c r="J296" s="1" t="str">
        <f t="shared" si="12"/>
        <v>Unique</v>
      </c>
      <c r="K296" s="21" t="str">
        <f t="shared" si="13"/>
        <v/>
      </c>
      <c r="L296" s="4" t="str">
        <f>IF(COUNTIFS(A:A,A296,C:C,C296)=2,IF(K296="Mismatch","Value Mismatch","Matched"),IF(I296= "Tally","Missing in GST","Missing in Tally"))</f>
        <v>Missing in GST</v>
      </c>
      <c r="M296" s="6" t="str">
        <f t="shared" si="14"/>
        <v/>
      </c>
    </row>
    <row r="297" spans="1:13" x14ac:dyDescent="0.2">
      <c r="A297" s="1" t="str">
        <v>INV1295</v>
      </c>
      <c r="B297" s="2" t="str">
        <v>19-05-2024</v>
      </c>
      <c r="C297" s="1" t="str">
        <v>19ASDFG2468H1Z9</v>
      </c>
      <c r="D297" s="4" t="str">
        <v>Eastern Distributors</v>
      </c>
      <c r="E297" s="6">
        <v>23059.78</v>
      </c>
      <c r="F297" s="6">
        <v>2075.38</v>
      </c>
      <c r="G297" s="6">
        <v>2075.38</v>
      </c>
      <c r="H297" s="6">
        <v>27210.54</v>
      </c>
      <c r="I297" s="19" t="str">
        <v>Tally</v>
      </c>
      <c r="J297" s="1" t="str">
        <f t="shared" si="12"/>
        <v>Unique</v>
      </c>
      <c r="K297" s="21" t="str">
        <f t="shared" si="13"/>
        <v/>
      </c>
      <c r="L297" s="4" t="str">
        <f>IF(COUNTIFS(A:A,A297,C:C,C297)=2,IF(K297="Mismatch","Value Mismatch","Matched"),IF(I297= "Tally","Missing in GST","Missing in Tally"))</f>
        <v>Missing in GST</v>
      </c>
      <c r="M297" s="6" t="str">
        <f t="shared" si="14"/>
        <v/>
      </c>
    </row>
    <row r="298" spans="1:13" x14ac:dyDescent="0.2">
      <c r="A298" s="1" t="str">
        <v>INV1296</v>
      </c>
      <c r="B298" s="2" t="str">
        <v>02-04-2024</v>
      </c>
      <c r="C298" s="1" t="str">
        <v>27ABCDE1234F1Z5</v>
      </c>
      <c r="D298" s="4" t="str">
        <v>Sharma Traders</v>
      </c>
      <c r="E298" s="6">
        <v>6903.32</v>
      </c>
      <c r="F298" s="6">
        <v>621.29999999999995</v>
      </c>
      <c r="G298" s="6">
        <v>621.29999999999995</v>
      </c>
      <c r="H298" s="6">
        <v>8145.92</v>
      </c>
      <c r="I298" s="19" t="str">
        <v>Tally</v>
      </c>
      <c r="J298" s="1" t="str">
        <f t="shared" si="12"/>
        <v>Unique</v>
      </c>
      <c r="K298" s="21" t="str">
        <f t="shared" si="13"/>
        <v/>
      </c>
      <c r="L298" s="4" t="str">
        <f>IF(COUNTIFS(A:A,A298,C:C,C298)=2,IF(K298="Mismatch","Value Mismatch","Matched"),IF(I298= "Tally","Missing in GST","Missing in Tally"))</f>
        <v>Missing in GST</v>
      </c>
      <c r="M298" s="6" t="str">
        <f t="shared" si="14"/>
        <v/>
      </c>
    </row>
    <row r="299" spans="1:13" x14ac:dyDescent="0.2">
      <c r="A299" s="1" t="str">
        <v>INV1297</v>
      </c>
      <c r="B299" s="2" t="str">
        <v>19-06-2024</v>
      </c>
      <c r="C299" s="1" t="str">
        <v>24LMNOP4321K1Z7</v>
      </c>
      <c r="D299" s="4" t="str">
        <v>Patel Industries</v>
      </c>
      <c r="E299" s="6">
        <v>39814.01</v>
      </c>
      <c r="F299" s="6">
        <v>3583.26</v>
      </c>
      <c r="G299" s="6">
        <v>3583.26</v>
      </c>
      <c r="H299" s="6">
        <v>46980.53</v>
      </c>
      <c r="I299" s="19" t="str">
        <v>Tally</v>
      </c>
      <c r="J299" s="1" t="str">
        <f t="shared" si="12"/>
        <v>Unique</v>
      </c>
      <c r="K299" s="21" t="str">
        <f t="shared" si="13"/>
        <v/>
      </c>
      <c r="L299" s="4" t="str">
        <f>IF(COUNTIFS(A:A,A299,C:C,C299)=2,IF(K299="Mismatch","Value Mismatch","Matched"),IF(I299= "Tally","Missing in GST","Missing in Tally"))</f>
        <v>Missing in GST</v>
      </c>
      <c r="M299" s="6" t="str">
        <f t="shared" si="14"/>
        <v/>
      </c>
    </row>
    <row r="300" spans="1:13" x14ac:dyDescent="0.2">
      <c r="A300" s="1" t="str">
        <v>INV1298</v>
      </c>
      <c r="B300" s="2" t="str">
        <v>15-04-2024</v>
      </c>
      <c r="C300" s="1" t="str">
        <v>29PQRSX5678L1Z2</v>
      </c>
      <c r="D300" s="4" t="str">
        <v>Kiran Enterprises</v>
      </c>
      <c r="E300" s="6">
        <v>49522.17</v>
      </c>
      <c r="F300" s="6">
        <v>4457</v>
      </c>
      <c r="G300" s="6">
        <v>4457</v>
      </c>
      <c r="H300" s="6">
        <v>58436.17</v>
      </c>
      <c r="I300" s="19" t="str">
        <v>Tally</v>
      </c>
      <c r="J300" s="1" t="str">
        <f t="shared" si="12"/>
        <v>Unique</v>
      </c>
      <c r="K300" s="21" t="str">
        <f t="shared" si="13"/>
        <v/>
      </c>
      <c r="L300" s="4" t="str">
        <f>IF(COUNTIFS(A:A,A300,C:C,C300)=2,IF(K300="Mismatch","Value Mismatch","Matched"),IF(I300= "Tally","Missing in GST","Missing in Tally"))</f>
        <v>Missing in GST</v>
      </c>
      <c r="M300" s="6" t="str">
        <f t="shared" si="14"/>
        <v/>
      </c>
    </row>
    <row r="301" spans="1:13" x14ac:dyDescent="0.2">
      <c r="A301" s="1" t="str">
        <v>INV1299</v>
      </c>
      <c r="B301" s="2" t="str">
        <v>01-05-2024</v>
      </c>
      <c r="C301" s="1" t="str">
        <v>27ABCDE1234F1Z5</v>
      </c>
      <c r="D301" s="4" t="str">
        <v>Sharma Traders</v>
      </c>
      <c r="E301" s="6">
        <v>6464.08</v>
      </c>
      <c r="F301" s="6">
        <v>581.77</v>
      </c>
      <c r="G301" s="6">
        <v>581.77</v>
      </c>
      <c r="H301" s="6">
        <v>7627.62</v>
      </c>
      <c r="I301" s="19" t="str">
        <v>Tally</v>
      </c>
      <c r="J301" s="1" t="str">
        <f t="shared" si="12"/>
        <v>Unique</v>
      </c>
      <c r="K301" s="21" t="str">
        <f t="shared" si="13"/>
        <v/>
      </c>
      <c r="L301" s="4" t="str">
        <f>IF(COUNTIFS(A:A,A301,C:C,C301)=2,IF(K301="Mismatch","Value Mismatch","Matched"),IF(I301= "Tally","Missing in GST","Missing in Tally"))</f>
        <v>Missing in GST</v>
      </c>
      <c r="M301" s="6" t="str">
        <f t="shared" si="14"/>
        <v/>
      </c>
    </row>
    <row r="302" spans="1:13" x14ac:dyDescent="0.2">
      <c r="A302" s="1" t="str">
        <v>INV1300</v>
      </c>
      <c r="B302" s="2" t="str">
        <v>14-05-2024</v>
      </c>
      <c r="C302" s="1" t="str">
        <v>29PQRSX5678L1Z2</v>
      </c>
      <c r="D302" s="4" t="str">
        <v>Kiran Enterprises</v>
      </c>
      <c r="E302" s="6">
        <v>49485.11</v>
      </c>
      <c r="F302" s="6">
        <v>4453.66</v>
      </c>
      <c r="G302" s="6">
        <v>4453.66</v>
      </c>
      <c r="H302" s="6">
        <v>58392.43</v>
      </c>
      <c r="I302" s="19" t="str">
        <v>Tally</v>
      </c>
      <c r="J302" s="1" t="str">
        <f t="shared" si="12"/>
        <v>Unique</v>
      </c>
      <c r="K302" s="21" t="str">
        <f t="shared" si="13"/>
        <v/>
      </c>
      <c r="L302" s="4" t="str">
        <f>IF(COUNTIFS(A:A,A302,C:C,C302)=2,IF(K302="Mismatch","Value Mismatch","Matched"),IF(I302= "Tally","Missing in GST","Missing in Tally"))</f>
        <v>Missing in GST</v>
      </c>
      <c r="M302" s="6" t="str">
        <f t="shared" si="14"/>
        <v/>
      </c>
    </row>
    <row r="303" spans="1:13" x14ac:dyDescent="0.2">
      <c r="A303" s="1" t="str">
        <v>INV1301</v>
      </c>
      <c r="B303" s="2" t="str">
        <v>17-04-2024</v>
      </c>
      <c r="C303" s="1" t="str">
        <v>24LMNOP4321K1Z7</v>
      </c>
      <c r="D303" s="4" t="str">
        <v>Patel Industries</v>
      </c>
      <c r="E303" s="6">
        <v>44534.01</v>
      </c>
      <c r="F303" s="6">
        <v>4008.06</v>
      </c>
      <c r="G303" s="6">
        <v>4008.06</v>
      </c>
      <c r="H303" s="6">
        <v>52550.13</v>
      </c>
      <c r="I303" s="19" t="str">
        <v>Tally</v>
      </c>
      <c r="J303" s="1" t="str">
        <f t="shared" si="12"/>
        <v>Unique</v>
      </c>
      <c r="K303" s="21" t="str">
        <f t="shared" si="13"/>
        <v/>
      </c>
      <c r="L303" s="4" t="str">
        <f>IF(COUNTIFS(A:A,A303,C:C,C303)=2,IF(K303="Mismatch","Value Mismatch","Matched"),IF(I303= "Tally","Missing in GST","Missing in Tally"))</f>
        <v>Missing in GST</v>
      </c>
      <c r="M303" s="6" t="str">
        <f t="shared" si="14"/>
        <v/>
      </c>
    </row>
    <row r="304" spans="1:13" x14ac:dyDescent="0.2">
      <c r="A304" s="1" t="str">
        <v>INV1302</v>
      </c>
      <c r="B304" s="2" t="str">
        <v>16-06-2024</v>
      </c>
      <c r="C304" s="1" t="str">
        <v>27ABCDE1234F1Z5</v>
      </c>
      <c r="D304" s="4" t="str">
        <v>Sharma Traders</v>
      </c>
      <c r="E304" s="6">
        <v>11273.12</v>
      </c>
      <c r="F304" s="6">
        <v>1014.58</v>
      </c>
      <c r="G304" s="6">
        <v>1014.58</v>
      </c>
      <c r="H304" s="6">
        <v>13302.28</v>
      </c>
      <c r="I304" s="19" t="str">
        <v>Tally</v>
      </c>
      <c r="J304" s="1" t="str">
        <f t="shared" si="12"/>
        <v>Unique</v>
      </c>
      <c r="K304" s="21" t="str">
        <f t="shared" si="13"/>
        <v/>
      </c>
      <c r="L304" s="4" t="str">
        <f>IF(COUNTIFS(A:A,A304,C:C,C304)=2,IF(K304="Mismatch","Value Mismatch","Matched"),IF(I304= "Tally","Missing in GST","Missing in Tally"))</f>
        <v>Missing in GST</v>
      </c>
      <c r="M304" s="6" t="str">
        <f t="shared" si="14"/>
        <v/>
      </c>
    </row>
    <row r="305" spans="1:13" x14ac:dyDescent="0.2">
      <c r="A305" s="1" t="str">
        <v>INV1303</v>
      </c>
      <c r="B305" s="2" t="str">
        <v>28-06-2024</v>
      </c>
      <c r="C305" s="1" t="str">
        <v>27ABCDE1234F1Z5</v>
      </c>
      <c r="D305" s="4" t="str">
        <v>Sharma Traders</v>
      </c>
      <c r="E305" s="6">
        <v>1221.82</v>
      </c>
      <c r="F305" s="6">
        <v>109.96</v>
      </c>
      <c r="G305" s="6">
        <v>109.96</v>
      </c>
      <c r="H305" s="6">
        <v>1441.74</v>
      </c>
      <c r="I305" s="19" t="str">
        <v>Tally</v>
      </c>
      <c r="J305" s="1" t="str">
        <f t="shared" si="12"/>
        <v>Unique</v>
      </c>
      <c r="K305" s="21" t="str">
        <f t="shared" si="13"/>
        <v/>
      </c>
      <c r="L305" s="4" t="str">
        <f>IF(COUNTIFS(A:A,A305,C:C,C305)=2,IF(K305="Mismatch","Value Mismatch","Matched"),IF(I305= "Tally","Missing in GST","Missing in Tally"))</f>
        <v>Missing in GST</v>
      </c>
      <c r="M305" s="6" t="str">
        <f t="shared" si="14"/>
        <v/>
      </c>
    </row>
    <row r="306" spans="1:13" x14ac:dyDescent="0.2">
      <c r="A306" s="1" t="str">
        <v>INV1304</v>
      </c>
      <c r="B306" s="2" t="str">
        <v>11-06-2024</v>
      </c>
      <c r="C306" s="1" t="str">
        <v>07ZXCVB9876M1Z3</v>
      </c>
      <c r="D306" s="4" t="str">
        <v>Gupta Supplies</v>
      </c>
      <c r="E306" s="6">
        <v>4175</v>
      </c>
      <c r="F306" s="6">
        <v>375.75</v>
      </c>
      <c r="G306" s="6">
        <v>375.75</v>
      </c>
      <c r="H306" s="6">
        <v>4926.5</v>
      </c>
      <c r="I306" s="19" t="str">
        <v>Tally</v>
      </c>
      <c r="J306" s="1" t="str">
        <f t="shared" si="12"/>
        <v>Unique</v>
      </c>
      <c r="K306" s="21" t="str">
        <f t="shared" si="13"/>
        <v>Matched</v>
      </c>
      <c r="L306" s="4" t="str">
        <f>IF(COUNTIFS(A:A,A306,C:C,C306)=2,IF(K306="Mismatch","Value Mismatch","Matched"),IF(I306= "Tally","Missing in GST","Missing in Tally"))</f>
        <v>Matched</v>
      </c>
      <c r="M306" s="6">
        <f t="shared" si="14"/>
        <v>0</v>
      </c>
    </row>
    <row r="307" spans="1:13" x14ac:dyDescent="0.2">
      <c r="A307" s="1" t="str">
        <v>INV1305</v>
      </c>
      <c r="B307" s="2" t="str">
        <v>26-04-2024</v>
      </c>
      <c r="C307" s="1" t="str">
        <v>19ASDFG2468H1Z9</v>
      </c>
      <c r="D307" s="4" t="str">
        <v>Eastern Distributors</v>
      </c>
      <c r="E307" s="6">
        <v>14467.9</v>
      </c>
      <c r="F307" s="6">
        <v>1302.1099999999999</v>
      </c>
      <c r="G307" s="6">
        <v>1302.1099999999999</v>
      </c>
      <c r="H307" s="6">
        <v>17072.12</v>
      </c>
      <c r="I307" s="19" t="str">
        <v>Tally</v>
      </c>
      <c r="J307" s="1" t="str">
        <f t="shared" si="12"/>
        <v>Unique</v>
      </c>
      <c r="K307" s="21" t="str">
        <f t="shared" si="13"/>
        <v/>
      </c>
      <c r="L307" s="4" t="str">
        <f>IF(COUNTIFS(A:A,A307,C:C,C307)=2,IF(K307="Mismatch","Value Mismatch","Matched"),IF(I307= "Tally","Missing in GST","Missing in Tally"))</f>
        <v>Missing in GST</v>
      </c>
      <c r="M307" s="6" t="str">
        <f t="shared" si="14"/>
        <v/>
      </c>
    </row>
    <row r="308" spans="1:13" x14ac:dyDescent="0.2">
      <c r="A308" s="1" t="str">
        <v>INV1306</v>
      </c>
      <c r="B308" s="2" t="str">
        <v>28-04-2024</v>
      </c>
      <c r="C308" s="1" t="str">
        <v>24LMNOP4321K1Z7</v>
      </c>
      <c r="D308" s="4" t="str">
        <v>Patel Industries</v>
      </c>
      <c r="E308" s="6">
        <v>43889.1</v>
      </c>
      <c r="F308" s="6">
        <v>3950.02</v>
      </c>
      <c r="G308" s="6">
        <v>3950.02</v>
      </c>
      <c r="H308" s="6">
        <v>51789.14</v>
      </c>
      <c r="I308" s="19" t="str">
        <v>Tally</v>
      </c>
      <c r="J308" s="1" t="str">
        <f t="shared" si="12"/>
        <v>Unique</v>
      </c>
      <c r="K308" s="21" t="str">
        <f t="shared" si="13"/>
        <v/>
      </c>
      <c r="L308" s="4" t="str">
        <f>IF(COUNTIFS(A:A,A308,C:C,C308)=2,IF(K308="Mismatch","Value Mismatch","Matched"),IF(I308= "Tally","Missing in GST","Missing in Tally"))</f>
        <v>Missing in GST</v>
      </c>
      <c r="M308" s="6" t="str">
        <f t="shared" si="14"/>
        <v/>
      </c>
    </row>
    <row r="309" spans="1:13" x14ac:dyDescent="0.2">
      <c r="A309" s="1" t="str">
        <v>INV1307</v>
      </c>
      <c r="B309" s="2" t="str">
        <v>11-05-2024</v>
      </c>
      <c r="C309" s="1" t="str">
        <v>29PQRSX5678L1Z2</v>
      </c>
      <c r="D309" s="4" t="str">
        <v>Kiran Enterprises</v>
      </c>
      <c r="E309" s="6">
        <v>17023.810000000001</v>
      </c>
      <c r="F309" s="6">
        <v>1532.14</v>
      </c>
      <c r="G309" s="6">
        <v>1532.14</v>
      </c>
      <c r="H309" s="6">
        <v>20088.09</v>
      </c>
      <c r="I309" s="19" t="str">
        <v>Tally</v>
      </c>
      <c r="J309" s="1" t="str">
        <f t="shared" si="12"/>
        <v>Unique</v>
      </c>
      <c r="K309" s="21" t="str">
        <f t="shared" si="13"/>
        <v/>
      </c>
      <c r="L309" s="4" t="str">
        <f>IF(COUNTIFS(A:A,A309,C:C,C309)=2,IF(K309="Mismatch","Value Mismatch","Matched"),IF(I309= "Tally","Missing in GST","Missing in Tally"))</f>
        <v>Missing in GST</v>
      </c>
      <c r="M309" s="6" t="str">
        <f t="shared" si="14"/>
        <v/>
      </c>
    </row>
    <row r="310" spans="1:13" x14ac:dyDescent="0.2">
      <c r="A310" s="1" t="str">
        <v>INV1308</v>
      </c>
      <c r="B310" s="2" t="str">
        <v>22-05-2024</v>
      </c>
      <c r="C310" s="1" t="str">
        <v>27ABCDE1234F1Z5</v>
      </c>
      <c r="D310" s="4" t="str">
        <v>Sharma Traders</v>
      </c>
      <c r="E310" s="6">
        <v>30813.95</v>
      </c>
      <c r="F310" s="6">
        <v>2773.26</v>
      </c>
      <c r="G310" s="6">
        <v>2773.26</v>
      </c>
      <c r="H310" s="6">
        <v>36360.47</v>
      </c>
      <c r="I310" s="19" t="str">
        <v>Tally</v>
      </c>
      <c r="J310" s="1" t="str">
        <f t="shared" si="12"/>
        <v>Unique</v>
      </c>
      <c r="K310" s="21" t="str">
        <f t="shared" si="13"/>
        <v/>
      </c>
      <c r="L310" s="4" t="str">
        <f>IF(COUNTIFS(A:A,A310,C:C,C310)=2,IF(K310="Mismatch","Value Mismatch","Matched"),IF(I310= "Tally","Missing in GST","Missing in Tally"))</f>
        <v>Missing in GST</v>
      </c>
      <c r="M310" s="6" t="str">
        <f t="shared" si="14"/>
        <v/>
      </c>
    </row>
    <row r="311" spans="1:13" x14ac:dyDescent="0.2">
      <c r="A311" s="1" t="str">
        <v>INV1309</v>
      </c>
      <c r="B311" s="2" t="str">
        <v>04-06-2024</v>
      </c>
      <c r="C311" s="1" t="str">
        <v>29PQRSX5678L1Z2</v>
      </c>
      <c r="D311" s="4" t="str">
        <v>Kiran Enterprises</v>
      </c>
      <c r="E311" s="6">
        <v>14175.08</v>
      </c>
      <c r="F311" s="6">
        <v>1275.76</v>
      </c>
      <c r="G311" s="6">
        <v>1275.76</v>
      </c>
      <c r="H311" s="6">
        <v>16726.599999999999</v>
      </c>
      <c r="I311" s="19" t="str">
        <v>Tally</v>
      </c>
      <c r="J311" s="1" t="str">
        <f t="shared" si="12"/>
        <v>Unique</v>
      </c>
      <c r="K311" s="21" t="str">
        <f t="shared" si="13"/>
        <v/>
      </c>
      <c r="L311" s="4" t="str">
        <f>IF(COUNTIFS(A:A,A311,C:C,C311)=2,IF(K311="Mismatch","Value Mismatch","Matched"),IF(I311= "Tally","Missing in GST","Missing in Tally"))</f>
        <v>Missing in GST</v>
      </c>
      <c r="M311" s="6" t="str">
        <f t="shared" si="14"/>
        <v/>
      </c>
    </row>
    <row r="312" spans="1:13" x14ac:dyDescent="0.2">
      <c r="A312" s="1" t="str">
        <v>INV1310</v>
      </c>
      <c r="B312" s="2" t="str">
        <v>18-06-2024</v>
      </c>
      <c r="C312" s="1" t="str">
        <v>27ABCDE1234F1Z5</v>
      </c>
      <c r="D312" s="4" t="str">
        <v>Sharma Traders</v>
      </c>
      <c r="E312" s="6">
        <v>25246.15</v>
      </c>
      <c r="F312" s="6">
        <v>2272.15</v>
      </c>
      <c r="G312" s="6">
        <v>2272.15</v>
      </c>
      <c r="H312" s="6">
        <v>29790.45</v>
      </c>
      <c r="I312" s="19" t="str">
        <v>Tally</v>
      </c>
      <c r="J312" s="1" t="str">
        <f t="shared" si="12"/>
        <v>Unique</v>
      </c>
      <c r="K312" s="21" t="str">
        <f t="shared" si="13"/>
        <v/>
      </c>
      <c r="L312" s="4" t="str">
        <f>IF(COUNTIFS(A:A,A312,C:C,C312)=2,IF(K312="Mismatch","Value Mismatch","Matched"),IF(I312= "Tally","Missing in GST","Missing in Tally"))</f>
        <v>Missing in GST</v>
      </c>
      <c r="M312" s="6" t="str">
        <f t="shared" si="14"/>
        <v/>
      </c>
    </row>
    <row r="313" spans="1:13" x14ac:dyDescent="0.2">
      <c r="A313" s="1" t="str">
        <v>INV1311</v>
      </c>
      <c r="B313" s="2" t="str">
        <v>04-06-2024</v>
      </c>
      <c r="C313" s="1" t="str">
        <v>24LMNOP4321K1Z7</v>
      </c>
      <c r="D313" s="4" t="str">
        <v>Patel Industries</v>
      </c>
      <c r="E313" s="6">
        <v>20980.560000000001</v>
      </c>
      <c r="F313" s="6">
        <v>1888.25</v>
      </c>
      <c r="G313" s="6">
        <v>1888.25</v>
      </c>
      <c r="H313" s="6">
        <v>24757.06</v>
      </c>
      <c r="I313" s="19" t="str">
        <v>Tally</v>
      </c>
      <c r="J313" s="1" t="str">
        <f t="shared" si="12"/>
        <v>Unique</v>
      </c>
      <c r="K313" s="21" t="str">
        <f t="shared" si="13"/>
        <v/>
      </c>
      <c r="L313" s="4" t="str">
        <f>IF(COUNTIFS(A:A,A313,C:C,C313)=2,IF(K313="Mismatch","Value Mismatch","Matched"),IF(I313= "Tally","Missing in GST","Missing in Tally"))</f>
        <v>Missing in GST</v>
      </c>
      <c r="M313" s="6" t="str">
        <f t="shared" si="14"/>
        <v/>
      </c>
    </row>
    <row r="314" spans="1:13" x14ac:dyDescent="0.2">
      <c r="A314" s="1" t="str">
        <v>INV1312</v>
      </c>
      <c r="B314" s="2" t="str">
        <v>02-06-2024</v>
      </c>
      <c r="C314" s="1" t="str">
        <v>19ASDFG2468H1Z9</v>
      </c>
      <c r="D314" s="4" t="str">
        <v>Eastern Distributors</v>
      </c>
      <c r="E314" s="6">
        <v>12357.58</v>
      </c>
      <c r="F314" s="6">
        <v>1112.18</v>
      </c>
      <c r="G314" s="6">
        <v>1112.18</v>
      </c>
      <c r="H314" s="6">
        <v>14581.94</v>
      </c>
      <c r="I314" s="19" t="str">
        <v>Tally</v>
      </c>
      <c r="J314" s="1" t="str">
        <f t="shared" si="12"/>
        <v>Unique</v>
      </c>
      <c r="K314" s="21" t="str">
        <f t="shared" si="13"/>
        <v/>
      </c>
      <c r="L314" s="4" t="str">
        <f>IF(COUNTIFS(A:A,A314,C:C,C314)=2,IF(K314="Mismatch","Value Mismatch","Matched"),IF(I314= "Tally","Missing in GST","Missing in Tally"))</f>
        <v>Missing in GST</v>
      </c>
      <c r="M314" s="6" t="str">
        <f t="shared" si="14"/>
        <v/>
      </c>
    </row>
    <row r="315" spans="1:13" x14ac:dyDescent="0.2">
      <c r="A315" s="1" t="str">
        <v>INV1313</v>
      </c>
      <c r="B315" s="2" t="str">
        <v>30-05-2024</v>
      </c>
      <c r="C315" s="1" t="str">
        <v>29PQRSX5678L1Z2</v>
      </c>
      <c r="D315" s="4" t="str">
        <v>Kiran Enterprises</v>
      </c>
      <c r="E315" s="6">
        <v>1716.37</v>
      </c>
      <c r="F315" s="6">
        <v>154.47</v>
      </c>
      <c r="G315" s="6">
        <v>154.47</v>
      </c>
      <c r="H315" s="6">
        <v>2025.31</v>
      </c>
      <c r="I315" s="19" t="str">
        <v>Tally</v>
      </c>
      <c r="J315" s="1" t="str">
        <f t="shared" si="12"/>
        <v>Unique</v>
      </c>
      <c r="K315" s="21" t="str">
        <f t="shared" si="13"/>
        <v/>
      </c>
      <c r="L315" s="4" t="str">
        <f>IF(COUNTIFS(A:A,A315,C:C,C315)=2,IF(K315="Mismatch","Value Mismatch","Matched"),IF(I315= "Tally","Missing in GST","Missing in Tally"))</f>
        <v>Missing in GST</v>
      </c>
      <c r="M315" s="6" t="str">
        <f t="shared" si="14"/>
        <v/>
      </c>
    </row>
    <row r="316" spans="1:13" x14ac:dyDescent="0.2">
      <c r="A316" s="1" t="str">
        <v>INV1314</v>
      </c>
      <c r="B316" s="2" t="str">
        <v>21-05-2024</v>
      </c>
      <c r="C316" s="1" t="str">
        <v>27ABCDE1234F1Z5</v>
      </c>
      <c r="D316" s="4" t="str">
        <v>Sharma Traders</v>
      </c>
      <c r="E316" s="6">
        <v>11170.75</v>
      </c>
      <c r="F316" s="6">
        <v>1005.37</v>
      </c>
      <c r="G316" s="6">
        <v>1005.37</v>
      </c>
      <c r="H316" s="6">
        <v>13181.49</v>
      </c>
      <c r="I316" s="19" t="str">
        <v>Tally</v>
      </c>
      <c r="J316" s="1" t="str">
        <f t="shared" si="12"/>
        <v>Unique</v>
      </c>
      <c r="K316" s="21" t="str">
        <f t="shared" si="13"/>
        <v/>
      </c>
      <c r="L316" s="4" t="str">
        <f>IF(COUNTIFS(A:A,A316,C:C,C316)=2,IF(K316="Mismatch","Value Mismatch","Matched"),IF(I316= "Tally","Missing in GST","Missing in Tally"))</f>
        <v>Missing in GST</v>
      </c>
      <c r="M316" s="6" t="str">
        <f t="shared" si="14"/>
        <v/>
      </c>
    </row>
    <row r="317" spans="1:13" x14ac:dyDescent="0.2">
      <c r="A317" s="1" t="str">
        <v>INV1315</v>
      </c>
      <c r="B317" s="2" t="str">
        <v>26-04-2024</v>
      </c>
      <c r="C317" s="1" t="str">
        <v>07ZXCVB9876M1Z3</v>
      </c>
      <c r="D317" s="4" t="str">
        <v>Gupta Supplies</v>
      </c>
      <c r="E317" s="6">
        <v>34409.72</v>
      </c>
      <c r="F317" s="6">
        <v>3096.87</v>
      </c>
      <c r="G317" s="6">
        <v>3096.87</v>
      </c>
      <c r="H317" s="6">
        <v>40603.46</v>
      </c>
      <c r="I317" s="19" t="str">
        <v>Tally</v>
      </c>
      <c r="J317" s="1" t="str">
        <f t="shared" si="12"/>
        <v>Unique</v>
      </c>
      <c r="K317" s="21" t="str">
        <f t="shared" si="13"/>
        <v/>
      </c>
      <c r="L317" s="4" t="str">
        <f>IF(COUNTIFS(A:A,A317,C:C,C317)=2,IF(K317="Mismatch","Value Mismatch","Matched"),IF(I317= "Tally","Missing in GST","Missing in Tally"))</f>
        <v>Missing in GST</v>
      </c>
      <c r="M317" s="6" t="str">
        <f t="shared" si="14"/>
        <v/>
      </c>
    </row>
    <row r="318" spans="1:13" x14ac:dyDescent="0.2">
      <c r="A318" s="1" t="str">
        <v>INV1316</v>
      </c>
      <c r="B318" s="2" t="str">
        <v>02-05-2024</v>
      </c>
      <c r="C318" s="1" t="str">
        <v>29PQRSX5678L1Z2</v>
      </c>
      <c r="D318" s="4" t="str">
        <v>Kiran Enterprises</v>
      </c>
      <c r="E318" s="6">
        <v>9814.44</v>
      </c>
      <c r="F318" s="6">
        <v>883.3</v>
      </c>
      <c r="G318" s="6">
        <v>883.3</v>
      </c>
      <c r="H318" s="6">
        <v>11581.04</v>
      </c>
      <c r="I318" s="19" t="str">
        <v>Tally</v>
      </c>
      <c r="J318" s="1" t="str">
        <f t="shared" si="12"/>
        <v>Unique</v>
      </c>
      <c r="K318" s="21" t="str">
        <f t="shared" si="13"/>
        <v/>
      </c>
      <c r="L318" s="4" t="str">
        <f>IF(COUNTIFS(A:A,A318,C:C,C318)=2,IF(K318="Mismatch","Value Mismatch","Matched"),IF(I318= "Tally","Missing in GST","Missing in Tally"))</f>
        <v>Missing in GST</v>
      </c>
      <c r="M318" s="6" t="str">
        <f t="shared" si="14"/>
        <v/>
      </c>
    </row>
    <row r="319" spans="1:13" x14ac:dyDescent="0.2">
      <c r="A319" s="1" t="str">
        <v>INV1317</v>
      </c>
      <c r="B319" s="2" t="str">
        <v>24-04-2024</v>
      </c>
      <c r="C319" s="1" t="str">
        <v>19ASDFG2468H1Z9</v>
      </c>
      <c r="D319" s="4" t="str">
        <v>Eastern Distributors</v>
      </c>
      <c r="E319" s="6">
        <v>42060.69</v>
      </c>
      <c r="F319" s="6">
        <v>3785.46</v>
      </c>
      <c r="G319" s="6">
        <v>3785.46</v>
      </c>
      <c r="H319" s="6">
        <v>49631.61</v>
      </c>
      <c r="I319" s="19" t="str">
        <v>Tally</v>
      </c>
      <c r="J319" s="1" t="str">
        <f t="shared" si="12"/>
        <v>Unique</v>
      </c>
      <c r="K319" s="21" t="str">
        <f t="shared" si="13"/>
        <v>Matched</v>
      </c>
      <c r="L319" s="4" t="str">
        <f>IF(COUNTIFS(A:A,A319,C:C,C319)=2,IF(K319="Mismatch","Value Mismatch","Matched"),IF(I319= "Tally","Missing in GST","Missing in Tally"))</f>
        <v>Matched</v>
      </c>
      <c r="M319" s="6">
        <f t="shared" si="14"/>
        <v>0</v>
      </c>
    </row>
    <row r="320" spans="1:13" x14ac:dyDescent="0.2">
      <c r="A320" s="1" t="str">
        <v>INV1318</v>
      </c>
      <c r="B320" s="2" t="str">
        <v>01-06-2024</v>
      </c>
      <c r="C320" s="1" t="str">
        <v>07ZXCVB9876M1Z3</v>
      </c>
      <c r="D320" s="4" t="str">
        <v>Gupta Supplies</v>
      </c>
      <c r="E320" s="6">
        <v>10067.06</v>
      </c>
      <c r="F320" s="6">
        <v>906.04</v>
      </c>
      <c r="G320" s="6">
        <v>906.04</v>
      </c>
      <c r="H320" s="6">
        <v>11879.14</v>
      </c>
      <c r="I320" s="19" t="str">
        <v>Tally</v>
      </c>
      <c r="J320" s="1" t="str">
        <f t="shared" si="12"/>
        <v>Unique</v>
      </c>
      <c r="K320" s="21" t="str">
        <f t="shared" si="13"/>
        <v/>
      </c>
      <c r="L320" s="4" t="str">
        <f>IF(COUNTIFS(A:A,A320,C:C,C320)=2,IF(K320="Mismatch","Value Mismatch","Matched"),IF(I320= "Tally","Missing in GST","Missing in Tally"))</f>
        <v>Missing in GST</v>
      </c>
      <c r="M320" s="6" t="str">
        <f t="shared" si="14"/>
        <v/>
      </c>
    </row>
    <row r="321" spans="1:13" x14ac:dyDescent="0.2">
      <c r="A321" s="1" t="str">
        <v>INV1319</v>
      </c>
      <c r="B321" s="2" t="str">
        <v>01-04-2024</v>
      </c>
      <c r="C321" s="1" t="str">
        <v>19ASDFG2468H1Z9</v>
      </c>
      <c r="D321" s="4" t="str">
        <v>Eastern Distributors</v>
      </c>
      <c r="E321" s="6">
        <v>27371.06</v>
      </c>
      <c r="F321" s="6">
        <v>2463.4</v>
      </c>
      <c r="G321" s="6">
        <v>2463.4</v>
      </c>
      <c r="H321" s="6">
        <v>32297.86</v>
      </c>
      <c r="I321" s="19" t="str">
        <v>Tally</v>
      </c>
      <c r="J321" s="1" t="str">
        <f t="shared" si="12"/>
        <v>Unique</v>
      </c>
      <c r="K321" s="21" t="str">
        <f t="shared" si="13"/>
        <v/>
      </c>
      <c r="L321" s="4" t="str">
        <f>IF(COUNTIFS(A:A,A321,C:C,C321)=2,IF(K321="Mismatch","Value Mismatch","Matched"),IF(I321= "Tally","Missing in GST","Missing in Tally"))</f>
        <v>Missing in GST</v>
      </c>
      <c r="M321" s="6" t="str">
        <f t="shared" si="14"/>
        <v/>
      </c>
    </row>
    <row r="322" spans="1:13" x14ac:dyDescent="0.2">
      <c r="A322" s="1" t="str">
        <v>INV1320</v>
      </c>
      <c r="B322" s="2" t="str">
        <v>26-06-2024</v>
      </c>
      <c r="C322" s="1" t="str">
        <v>07ZXCVB9876M1Z3</v>
      </c>
      <c r="D322" s="4" t="str">
        <v>Gupta Supplies</v>
      </c>
      <c r="E322" s="6">
        <v>26802.04</v>
      </c>
      <c r="F322" s="6">
        <v>2412.1799999999998</v>
      </c>
      <c r="G322" s="6">
        <v>2412.1799999999998</v>
      </c>
      <c r="H322" s="6">
        <v>31626.400000000001</v>
      </c>
      <c r="I322" s="19" t="str">
        <v>Tally</v>
      </c>
      <c r="J322" s="1" t="str">
        <f t="shared" si="12"/>
        <v>Unique</v>
      </c>
      <c r="K322" s="21" t="str">
        <f t="shared" si="13"/>
        <v/>
      </c>
      <c r="L322" s="4" t="str">
        <f>IF(COUNTIFS(A:A,A322,C:C,C322)=2,IF(K322="Mismatch","Value Mismatch","Matched"),IF(I322= "Tally","Missing in GST","Missing in Tally"))</f>
        <v>Missing in GST</v>
      </c>
      <c r="M322" s="6" t="str">
        <f t="shared" si="14"/>
        <v/>
      </c>
    </row>
    <row r="323" spans="1:13" x14ac:dyDescent="0.2">
      <c r="A323" s="1" t="str">
        <v>INV1321</v>
      </c>
      <c r="B323" s="2" t="str">
        <v>23-06-2024</v>
      </c>
      <c r="C323" s="1" t="str">
        <v>27ABCDE1234F1Z5</v>
      </c>
      <c r="D323" s="4" t="str">
        <v>Sharma Traders</v>
      </c>
      <c r="E323" s="6">
        <v>4950.6400000000003</v>
      </c>
      <c r="F323" s="6">
        <v>445.56</v>
      </c>
      <c r="G323" s="6">
        <v>445.56</v>
      </c>
      <c r="H323" s="6">
        <v>5841.76</v>
      </c>
      <c r="I323" s="19" t="str">
        <v>Tally</v>
      </c>
      <c r="J323" s="1" t="str">
        <f t="shared" ref="J323:J386" si="15">IF(COUNTIFS(A:A,A323,D:D,D323,I:I,I323)&gt;1,"Duplicate","Unique")</f>
        <v>Unique</v>
      </c>
      <c r="K323" s="21" t="str">
        <f t="shared" ref="K323:K386" si="16">IF(COUNTIFS(A:A,A323,C:C,C323)=2,IF(SUMIFS(E:E,A:A,A323,C:C,C323)&lt;&gt;E323*2,"Mismatch","Matched"),"")</f>
        <v/>
      </c>
      <c r="L323" s="4" t="str">
        <f>IF(COUNTIFS(A:A,A323,C:C,C323)=2,IF(K323="Mismatch","Value Mismatch","Matched"),IF(I323= "Tally","Missing in GST","Missing in Tally"))</f>
        <v>Missing in GST</v>
      </c>
      <c r="M323" s="6" t="str">
        <f t="shared" ref="M323:M386" si="17">IF(COUNTIFS(A:A,A323,C:C,C323)=2,SUMIFS(E:E,A:A,A323,C:C,C323)-E323*2,"")</f>
        <v/>
      </c>
    </row>
    <row r="324" spans="1:13" x14ac:dyDescent="0.2">
      <c r="A324" s="1" t="str">
        <v>INV1322</v>
      </c>
      <c r="B324" s="2" t="str">
        <v>30-05-2024</v>
      </c>
      <c r="C324" s="1" t="str">
        <v>07ZXCVB9876M1Z3</v>
      </c>
      <c r="D324" s="4" t="str">
        <v>Gupta Supplies</v>
      </c>
      <c r="E324" s="6">
        <v>40650.94</v>
      </c>
      <c r="F324" s="6">
        <v>3658.58</v>
      </c>
      <c r="G324" s="6">
        <v>3658.58</v>
      </c>
      <c r="H324" s="6">
        <v>47968.1</v>
      </c>
      <c r="I324" s="19" t="str">
        <v>Tally</v>
      </c>
      <c r="J324" s="1" t="str">
        <f t="shared" si="15"/>
        <v>Unique</v>
      </c>
      <c r="K324" s="21" t="str">
        <f t="shared" si="16"/>
        <v/>
      </c>
      <c r="L324" s="4" t="str">
        <f>IF(COUNTIFS(A:A,A324,C:C,C324)=2,IF(K324="Mismatch","Value Mismatch","Matched"),IF(I324= "Tally","Missing in GST","Missing in Tally"))</f>
        <v>Missing in GST</v>
      </c>
      <c r="M324" s="6" t="str">
        <f t="shared" si="17"/>
        <v/>
      </c>
    </row>
    <row r="325" spans="1:13" x14ac:dyDescent="0.2">
      <c r="A325" s="1" t="str">
        <v>INV1323</v>
      </c>
      <c r="B325" s="2" t="str">
        <v>09-05-2024</v>
      </c>
      <c r="C325" s="1" t="str">
        <v>24LMNOP4321K1Z7</v>
      </c>
      <c r="D325" s="4" t="str">
        <v>Patel Industries</v>
      </c>
      <c r="E325" s="6">
        <v>11040.39</v>
      </c>
      <c r="F325" s="6">
        <v>993.64</v>
      </c>
      <c r="G325" s="6">
        <v>993.64</v>
      </c>
      <c r="H325" s="6">
        <v>13027.67</v>
      </c>
      <c r="I325" s="19" t="str">
        <v>Tally</v>
      </c>
      <c r="J325" s="1" t="str">
        <f t="shared" si="15"/>
        <v>Unique</v>
      </c>
      <c r="K325" s="21" t="str">
        <f t="shared" si="16"/>
        <v/>
      </c>
      <c r="L325" s="4" t="str">
        <f>IF(COUNTIFS(A:A,A325,C:C,C325)=2,IF(K325="Mismatch","Value Mismatch","Matched"),IF(I325= "Tally","Missing in GST","Missing in Tally"))</f>
        <v>Missing in GST</v>
      </c>
      <c r="M325" s="6" t="str">
        <f t="shared" si="17"/>
        <v/>
      </c>
    </row>
    <row r="326" spans="1:13" x14ac:dyDescent="0.2">
      <c r="A326" s="1" t="str">
        <v>INV1324</v>
      </c>
      <c r="B326" s="2" t="str">
        <v>18-06-2024</v>
      </c>
      <c r="C326" s="1" t="str">
        <v>29PQRSX5678L1Z2</v>
      </c>
      <c r="D326" s="4" t="str">
        <v>Kiran Enterprises</v>
      </c>
      <c r="E326" s="6">
        <v>34862.28</v>
      </c>
      <c r="F326" s="6">
        <v>3137.61</v>
      </c>
      <c r="G326" s="6">
        <v>3137.61</v>
      </c>
      <c r="H326" s="6">
        <v>41137.5</v>
      </c>
      <c r="I326" s="19" t="str">
        <v>Tally</v>
      </c>
      <c r="J326" s="1" t="str">
        <f t="shared" si="15"/>
        <v>Unique</v>
      </c>
      <c r="K326" s="21" t="str">
        <f t="shared" si="16"/>
        <v/>
      </c>
      <c r="L326" s="4" t="str">
        <f>IF(COUNTIFS(A:A,A326,C:C,C326)=2,IF(K326="Mismatch","Value Mismatch","Matched"),IF(I326= "Tally","Missing in GST","Missing in Tally"))</f>
        <v>Missing in GST</v>
      </c>
      <c r="M326" s="6" t="str">
        <f t="shared" si="17"/>
        <v/>
      </c>
    </row>
    <row r="327" spans="1:13" x14ac:dyDescent="0.2">
      <c r="A327" s="1" t="str">
        <v>INV1325</v>
      </c>
      <c r="B327" s="2" t="str">
        <v>05-05-2024</v>
      </c>
      <c r="C327" s="1" t="str">
        <v>07ZXCVB9876M1Z3</v>
      </c>
      <c r="D327" s="4" t="str">
        <v>Gupta Supplies</v>
      </c>
      <c r="E327" s="6">
        <v>41648.46</v>
      </c>
      <c r="F327" s="6">
        <v>3748.36</v>
      </c>
      <c r="G327" s="6">
        <v>3748.36</v>
      </c>
      <c r="H327" s="6">
        <v>49145.18</v>
      </c>
      <c r="I327" s="19" t="str">
        <v>Tally</v>
      </c>
      <c r="J327" s="1" t="str">
        <f t="shared" si="15"/>
        <v>Unique</v>
      </c>
      <c r="K327" s="21" t="str">
        <f t="shared" si="16"/>
        <v/>
      </c>
      <c r="L327" s="4" t="str">
        <f>IF(COUNTIFS(A:A,A327,C:C,C327)=2,IF(K327="Mismatch","Value Mismatch","Matched"),IF(I327= "Tally","Missing in GST","Missing in Tally"))</f>
        <v>Missing in GST</v>
      </c>
      <c r="M327" s="6" t="str">
        <f t="shared" si="17"/>
        <v/>
      </c>
    </row>
    <row r="328" spans="1:13" x14ac:dyDescent="0.2">
      <c r="A328" s="1" t="str">
        <v>INV1326</v>
      </c>
      <c r="B328" s="2" t="str">
        <v>20-05-2024</v>
      </c>
      <c r="C328" s="1" t="str">
        <v>07ZXCVB9876M1Z3</v>
      </c>
      <c r="D328" s="4" t="str">
        <v>Gupta Supplies</v>
      </c>
      <c r="E328" s="6">
        <v>3886</v>
      </c>
      <c r="F328" s="6">
        <v>349.74</v>
      </c>
      <c r="G328" s="6">
        <v>349.74</v>
      </c>
      <c r="H328" s="6">
        <v>4585.4799999999996</v>
      </c>
      <c r="I328" s="19" t="str">
        <v>Tally</v>
      </c>
      <c r="J328" s="1" t="str">
        <f t="shared" si="15"/>
        <v>Unique</v>
      </c>
      <c r="K328" s="21" t="str">
        <f t="shared" si="16"/>
        <v/>
      </c>
      <c r="L328" s="4" t="str">
        <f>IF(COUNTIFS(A:A,A328,C:C,C328)=2,IF(K328="Mismatch","Value Mismatch","Matched"),IF(I328= "Tally","Missing in GST","Missing in Tally"))</f>
        <v>Missing in GST</v>
      </c>
      <c r="M328" s="6" t="str">
        <f t="shared" si="17"/>
        <v/>
      </c>
    </row>
    <row r="329" spans="1:13" x14ac:dyDescent="0.2">
      <c r="A329" s="1" t="str">
        <v>INV1327</v>
      </c>
      <c r="B329" s="2" t="str">
        <v>07-05-2024</v>
      </c>
      <c r="C329" s="1" t="str">
        <v>27ABCDE1234F1Z5</v>
      </c>
      <c r="D329" s="4" t="str">
        <v>Sharma Traders</v>
      </c>
      <c r="E329" s="6">
        <v>32188.2</v>
      </c>
      <c r="F329" s="6">
        <v>2896.94</v>
      </c>
      <c r="G329" s="6">
        <v>2896.94</v>
      </c>
      <c r="H329" s="6">
        <v>37982.080000000002</v>
      </c>
      <c r="I329" s="19" t="str">
        <v>Tally</v>
      </c>
      <c r="J329" s="1" t="str">
        <f t="shared" si="15"/>
        <v>Unique</v>
      </c>
      <c r="K329" s="21" t="str">
        <f t="shared" si="16"/>
        <v/>
      </c>
      <c r="L329" s="4" t="str">
        <f>IF(COUNTIFS(A:A,A329,C:C,C329)=2,IF(K329="Mismatch","Value Mismatch","Matched"),IF(I329= "Tally","Missing in GST","Missing in Tally"))</f>
        <v>Missing in GST</v>
      </c>
      <c r="M329" s="6" t="str">
        <f t="shared" si="17"/>
        <v/>
      </c>
    </row>
    <row r="330" spans="1:13" x14ac:dyDescent="0.2">
      <c r="A330" s="1" t="str">
        <v>INV1328</v>
      </c>
      <c r="B330" s="2" t="str">
        <v>29-06-2024</v>
      </c>
      <c r="C330" s="1" t="str">
        <v>27ABCDE1234F1Z5</v>
      </c>
      <c r="D330" s="4" t="str">
        <v>Sharma Traders</v>
      </c>
      <c r="E330" s="6">
        <v>3292.74</v>
      </c>
      <c r="F330" s="6">
        <v>296.35000000000002</v>
      </c>
      <c r="G330" s="6">
        <v>296.35000000000002</v>
      </c>
      <c r="H330" s="6">
        <v>3885.44</v>
      </c>
      <c r="I330" s="19" t="str">
        <v>Tally</v>
      </c>
      <c r="J330" s="1" t="str">
        <f t="shared" si="15"/>
        <v>Unique</v>
      </c>
      <c r="K330" s="21" t="str">
        <f t="shared" si="16"/>
        <v>Matched</v>
      </c>
      <c r="L330" s="4" t="str">
        <f>IF(COUNTIFS(A:A,A330,C:C,C330)=2,IF(K330="Mismatch","Value Mismatch","Matched"),IF(I330= "Tally","Missing in GST","Missing in Tally"))</f>
        <v>Matched</v>
      </c>
      <c r="M330" s="6">
        <f t="shared" si="17"/>
        <v>0</v>
      </c>
    </row>
    <row r="331" spans="1:13" x14ac:dyDescent="0.2">
      <c r="A331" s="1" t="str">
        <v>INV1329</v>
      </c>
      <c r="B331" s="2" t="str">
        <v>17-04-2024</v>
      </c>
      <c r="C331" s="1" t="str">
        <v>27ABCDE1234F1Z5</v>
      </c>
      <c r="D331" s="4" t="str">
        <v>Sharma Traders</v>
      </c>
      <c r="E331" s="6">
        <v>12765.34</v>
      </c>
      <c r="F331" s="6">
        <v>1148.8800000000001</v>
      </c>
      <c r="G331" s="6">
        <v>1148.8800000000001</v>
      </c>
      <c r="H331" s="6">
        <v>15063.1</v>
      </c>
      <c r="I331" s="19" t="str">
        <v>Tally</v>
      </c>
      <c r="J331" s="1" t="str">
        <f t="shared" si="15"/>
        <v>Unique</v>
      </c>
      <c r="K331" s="21" t="str">
        <f t="shared" si="16"/>
        <v/>
      </c>
      <c r="L331" s="4" t="str">
        <f>IF(COUNTIFS(A:A,A331,C:C,C331)=2,IF(K331="Mismatch","Value Mismatch","Matched"),IF(I331= "Tally","Missing in GST","Missing in Tally"))</f>
        <v>Missing in GST</v>
      </c>
      <c r="M331" s="6" t="str">
        <f t="shared" si="17"/>
        <v/>
      </c>
    </row>
    <row r="332" spans="1:13" x14ac:dyDescent="0.2">
      <c r="A332" s="1" t="str">
        <v>INV1330</v>
      </c>
      <c r="B332" s="2" t="str">
        <v>21-04-2024</v>
      </c>
      <c r="C332" s="1" t="str">
        <v>19ASDFG2468H1Z9</v>
      </c>
      <c r="D332" s="4" t="str">
        <v>Eastern Distributors</v>
      </c>
      <c r="E332" s="6">
        <v>12553.55</v>
      </c>
      <c r="F332" s="6">
        <v>1129.82</v>
      </c>
      <c r="G332" s="6">
        <v>1129.82</v>
      </c>
      <c r="H332" s="6">
        <v>14813.19</v>
      </c>
      <c r="I332" s="19" t="str">
        <v>Tally</v>
      </c>
      <c r="J332" s="1" t="str">
        <f t="shared" si="15"/>
        <v>Unique</v>
      </c>
      <c r="K332" s="21" t="str">
        <f t="shared" si="16"/>
        <v/>
      </c>
      <c r="L332" s="4" t="str">
        <f>IF(COUNTIFS(A:A,A332,C:C,C332)=2,IF(K332="Mismatch","Value Mismatch","Matched"),IF(I332= "Tally","Missing in GST","Missing in Tally"))</f>
        <v>Missing in GST</v>
      </c>
      <c r="M332" s="6" t="str">
        <f t="shared" si="17"/>
        <v/>
      </c>
    </row>
    <row r="333" spans="1:13" x14ac:dyDescent="0.2">
      <c r="A333" s="1" t="str">
        <v>INV1331</v>
      </c>
      <c r="B333" s="2" t="str">
        <v>23-06-2024</v>
      </c>
      <c r="C333" s="1" t="str">
        <v>29PQRSX5678L1Z2</v>
      </c>
      <c r="D333" s="4" t="str">
        <v>Kiran Enterprises</v>
      </c>
      <c r="E333" s="6">
        <v>39249.78</v>
      </c>
      <c r="F333" s="6">
        <v>3532.48</v>
      </c>
      <c r="G333" s="6">
        <v>3532.48</v>
      </c>
      <c r="H333" s="6">
        <v>46314.74</v>
      </c>
      <c r="I333" s="19" t="str">
        <v>Tally</v>
      </c>
      <c r="J333" s="1" t="str">
        <f t="shared" si="15"/>
        <v>Unique</v>
      </c>
      <c r="K333" s="21" t="str">
        <f t="shared" si="16"/>
        <v/>
      </c>
      <c r="L333" s="4" t="str">
        <f>IF(COUNTIFS(A:A,A333,C:C,C333)=2,IF(K333="Mismatch","Value Mismatch","Matched"),IF(I333= "Tally","Missing in GST","Missing in Tally"))</f>
        <v>Missing in GST</v>
      </c>
      <c r="M333" s="6" t="str">
        <f t="shared" si="17"/>
        <v/>
      </c>
    </row>
    <row r="334" spans="1:13" x14ac:dyDescent="0.2">
      <c r="A334" s="1" t="str">
        <v>INV1332</v>
      </c>
      <c r="B334" s="2" t="str">
        <v>13-06-2024</v>
      </c>
      <c r="C334" s="1" t="str">
        <v>19ASDFG2468H1Z9</v>
      </c>
      <c r="D334" s="4" t="str">
        <v>Eastern Distributors</v>
      </c>
      <c r="E334" s="6">
        <v>42994.44</v>
      </c>
      <c r="F334" s="6">
        <v>3869.5</v>
      </c>
      <c r="G334" s="6">
        <v>3869.5</v>
      </c>
      <c r="H334" s="6">
        <v>50733.440000000002</v>
      </c>
      <c r="I334" s="19" t="str">
        <v>Tally</v>
      </c>
      <c r="J334" s="1" t="str">
        <f t="shared" si="15"/>
        <v>Unique</v>
      </c>
      <c r="K334" s="21" t="str">
        <f t="shared" si="16"/>
        <v/>
      </c>
      <c r="L334" s="4" t="str">
        <f>IF(COUNTIFS(A:A,A334,C:C,C334)=2,IF(K334="Mismatch","Value Mismatch","Matched"),IF(I334= "Tally","Missing in GST","Missing in Tally"))</f>
        <v>Missing in GST</v>
      </c>
      <c r="M334" s="6" t="str">
        <f t="shared" si="17"/>
        <v/>
      </c>
    </row>
    <row r="335" spans="1:13" x14ac:dyDescent="0.2">
      <c r="A335" s="1" t="str">
        <v>INV1333</v>
      </c>
      <c r="B335" s="2" t="str">
        <v>03-06-2024</v>
      </c>
      <c r="C335" s="1" t="str">
        <v>27ABCDE1234F1Z5</v>
      </c>
      <c r="D335" s="4" t="str">
        <v>Sharma Traders</v>
      </c>
      <c r="E335" s="6">
        <v>42398.52</v>
      </c>
      <c r="F335" s="6">
        <v>3815.87</v>
      </c>
      <c r="G335" s="6">
        <v>3815.87</v>
      </c>
      <c r="H335" s="6">
        <v>50030.26</v>
      </c>
      <c r="I335" s="19" t="str">
        <v>Tally</v>
      </c>
      <c r="J335" s="1" t="str">
        <f t="shared" si="15"/>
        <v>Unique</v>
      </c>
      <c r="K335" s="21" t="str">
        <f t="shared" si="16"/>
        <v/>
      </c>
      <c r="L335" s="4" t="str">
        <f>IF(COUNTIFS(A:A,A335,C:C,C335)=2,IF(K335="Mismatch","Value Mismatch","Matched"),IF(I335= "Tally","Missing in GST","Missing in Tally"))</f>
        <v>Missing in GST</v>
      </c>
      <c r="M335" s="6" t="str">
        <f t="shared" si="17"/>
        <v/>
      </c>
    </row>
    <row r="336" spans="1:13" x14ac:dyDescent="0.2">
      <c r="A336" s="1" t="str">
        <v>INV1334</v>
      </c>
      <c r="B336" s="2" t="str">
        <v>05-04-2024</v>
      </c>
      <c r="C336" s="1" t="str">
        <v>29PQRSX5678L1Z2</v>
      </c>
      <c r="D336" s="4" t="str">
        <v>Kiran Enterprises</v>
      </c>
      <c r="E336" s="6">
        <v>28482.43</v>
      </c>
      <c r="F336" s="6">
        <v>2563.42</v>
      </c>
      <c r="G336" s="6">
        <v>2563.42</v>
      </c>
      <c r="H336" s="6">
        <v>33609.269999999997</v>
      </c>
      <c r="I336" s="19" t="str">
        <v>Tally</v>
      </c>
      <c r="J336" s="1" t="str">
        <f t="shared" si="15"/>
        <v>Unique</v>
      </c>
      <c r="K336" s="21" t="str">
        <f t="shared" si="16"/>
        <v/>
      </c>
      <c r="L336" s="4" t="str">
        <f>IF(COUNTIFS(A:A,A336,C:C,C336)=2,IF(K336="Mismatch","Value Mismatch","Matched"),IF(I336= "Tally","Missing in GST","Missing in Tally"))</f>
        <v>Missing in GST</v>
      </c>
      <c r="M336" s="6" t="str">
        <f t="shared" si="17"/>
        <v/>
      </c>
    </row>
    <row r="337" spans="1:13" x14ac:dyDescent="0.2">
      <c r="A337" s="1" t="str">
        <v>INV1335</v>
      </c>
      <c r="B337" s="2" t="str">
        <v>30-04-2024</v>
      </c>
      <c r="C337" s="1" t="str">
        <v>19ASDFG2468H1Z9</v>
      </c>
      <c r="D337" s="4" t="str">
        <v>Eastern Distributors</v>
      </c>
      <c r="E337" s="6">
        <v>32522.69</v>
      </c>
      <c r="F337" s="6">
        <v>2927.04</v>
      </c>
      <c r="G337" s="6">
        <v>2927.04</v>
      </c>
      <c r="H337" s="6">
        <v>38376.769999999997</v>
      </c>
      <c r="I337" s="19" t="str">
        <v>Tally</v>
      </c>
      <c r="J337" s="1" t="str">
        <f t="shared" si="15"/>
        <v>Unique</v>
      </c>
      <c r="K337" s="21" t="str">
        <f t="shared" si="16"/>
        <v>Matched</v>
      </c>
      <c r="L337" s="4" t="str">
        <f>IF(COUNTIFS(A:A,A337,C:C,C337)=2,IF(K337="Mismatch","Value Mismatch","Matched"),IF(I337= "Tally","Missing in GST","Missing in Tally"))</f>
        <v>Matched</v>
      </c>
      <c r="M337" s="6">
        <f t="shared" si="17"/>
        <v>0</v>
      </c>
    </row>
    <row r="338" spans="1:13" x14ac:dyDescent="0.2">
      <c r="A338" s="1" t="str">
        <v>INV1336</v>
      </c>
      <c r="B338" s="2" t="str">
        <v>06-06-2024</v>
      </c>
      <c r="C338" s="1" t="str">
        <v>29PQRSX5678L1Z2</v>
      </c>
      <c r="D338" s="4" t="str">
        <v>Kiran Enterprises</v>
      </c>
      <c r="E338" s="6">
        <v>49985.14</v>
      </c>
      <c r="F338" s="6">
        <v>4498.66</v>
      </c>
      <c r="G338" s="6">
        <v>4498.66</v>
      </c>
      <c r="H338" s="6">
        <v>58982.46</v>
      </c>
      <c r="I338" s="19" t="str">
        <v>Tally</v>
      </c>
      <c r="J338" s="1" t="str">
        <f t="shared" si="15"/>
        <v>Unique</v>
      </c>
      <c r="K338" s="21" t="str">
        <f t="shared" si="16"/>
        <v/>
      </c>
      <c r="L338" s="4" t="str">
        <f>IF(COUNTIFS(A:A,A338,C:C,C338)=2,IF(K338="Mismatch","Value Mismatch","Matched"),IF(I338= "Tally","Missing in GST","Missing in Tally"))</f>
        <v>Missing in GST</v>
      </c>
      <c r="M338" s="6" t="str">
        <f t="shared" si="17"/>
        <v/>
      </c>
    </row>
    <row r="339" spans="1:13" x14ac:dyDescent="0.2">
      <c r="A339" s="1" t="str">
        <v>INV1337</v>
      </c>
      <c r="B339" s="2" t="str">
        <v>17-05-2024</v>
      </c>
      <c r="C339" s="1" t="str">
        <v>19ASDFG2468H1Z9</v>
      </c>
      <c r="D339" s="4" t="str">
        <v>Eastern Distributors</v>
      </c>
      <c r="E339" s="6">
        <v>31884.9</v>
      </c>
      <c r="F339" s="6">
        <v>2869.64</v>
      </c>
      <c r="G339" s="6">
        <v>2869.64</v>
      </c>
      <c r="H339" s="6">
        <v>37624.18</v>
      </c>
      <c r="I339" s="19" t="str">
        <v>Tally</v>
      </c>
      <c r="J339" s="1" t="str">
        <f t="shared" si="15"/>
        <v>Unique</v>
      </c>
      <c r="K339" s="21" t="str">
        <f t="shared" si="16"/>
        <v/>
      </c>
      <c r="L339" s="4" t="str">
        <f>IF(COUNTIFS(A:A,A339,C:C,C339)=2,IF(K339="Mismatch","Value Mismatch","Matched"),IF(I339= "Tally","Missing in GST","Missing in Tally"))</f>
        <v>Missing in GST</v>
      </c>
      <c r="M339" s="6" t="str">
        <f t="shared" si="17"/>
        <v/>
      </c>
    </row>
    <row r="340" spans="1:13" x14ac:dyDescent="0.2">
      <c r="A340" s="1" t="str">
        <v>INV1338</v>
      </c>
      <c r="B340" s="2" t="str">
        <v>15-04-2024</v>
      </c>
      <c r="C340" s="1" t="str">
        <v>27ABCDE1234F1Z5</v>
      </c>
      <c r="D340" s="4" t="str">
        <v>Sharma Traders</v>
      </c>
      <c r="E340" s="6">
        <v>18384.53</v>
      </c>
      <c r="F340" s="6">
        <v>1654.61</v>
      </c>
      <c r="G340" s="6">
        <v>1654.61</v>
      </c>
      <c r="H340" s="6">
        <v>21693.75</v>
      </c>
      <c r="I340" s="19" t="str">
        <v>Tally</v>
      </c>
      <c r="J340" s="1" t="str">
        <f t="shared" si="15"/>
        <v>Unique</v>
      </c>
      <c r="K340" s="21" t="str">
        <f t="shared" si="16"/>
        <v/>
      </c>
      <c r="L340" s="4" t="str">
        <f>IF(COUNTIFS(A:A,A340,C:C,C340)=2,IF(K340="Mismatch","Value Mismatch","Matched"),IF(I340= "Tally","Missing in GST","Missing in Tally"))</f>
        <v>Missing in GST</v>
      </c>
      <c r="M340" s="6" t="str">
        <f t="shared" si="17"/>
        <v/>
      </c>
    </row>
    <row r="341" spans="1:13" x14ac:dyDescent="0.2">
      <c r="A341" s="1" t="str">
        <v>INV1339</v>
      </c>
      <c r="B341" s="2" t="str">
        <v>31-05-2024</v>
      </c>
      <c r="C341" s="1" t="str">
        <v>27ABCDE1234F1Z5</v>
      </c>
      <c r="D341" s="4" t="str">
        <v>Sharma Traders</v>
      </c>
      <c r="E341" s="6">
        <v>10275.1</v>
      </c>
      <c r="F341" s="6">
        <v>924.76</v>
      </c>
      <c r="G341" s="6">
        <v>924.76</v>
      </c>
      <c r="H341" s="6">
        <v>12124.62</v>
      </c>
      <c r="I341" s="19" t="str">
        <v>Tally</v>
      </c>
      <c r="J341" s="1" t="str">
        <f t="shared" si="15"/>
        <v>Unique</v>
      </c>
      <c r="K341" s="21" t="str">
        <f t="shared" si="16"/>
        <v/>
      </c>
      <c r="L341" s="4" t="str">
        <f>IF(COUNTIFS(A:A,A341,C:C,C341)=2,IF(K341="Mismatch","Value Mismatch","Matched"),IF(I341= "Tally","Missing in GST","Missing in Tally"))</f>
        <v>Missing in GST</v>
      </c>
      <c r="M341" s="6" t="str">
        <f t="shared" si="17"/>
        <v/>
      </c>
    </row>
    <row r="342" spans="1:13" x14ac:dyDescent="0.2">
      <c r="A342" s="1" t="str">
        <v>INV1340</v>
      </c>
      <c r="B342" s="2" t="str">
        <v>22-06-2024</v>
      </c>
      <c r="C342" s="1" t="str">
        <v>24LMNOP4321K1Z7</v>
      </c>
      <c r="D342" s="4" t="str">
        <v>Patel Industries</v>
      </c>
      <c r="E342" s="6">
        <v>37454.339999999997</v>
      </c>
      <c r="F342" s="6">
        <v>3370.89</v>
      </c>
      <c r="G342" s="6">
        <v>3370.89</v>
      </c>
      <c r="H342" s="6">
        <v>44196.12</v>
      </c>
      <c r="I342" s="19" t="str">
        <v>Tally</v>
      </c>
      <c r="J342" s="1" t="str">
        <f t="shared" si="15"/>
        <v>Unique</v>
      </c>
      <c r="K342" s="21" t="str">
        <f t="shared" si="16"/>
        <v/>
      </c>
      <c r="L342" s="4" t="str">
        <f>IF(COUNTIFS(A:A,A342,C:C,C342)=2,IF(K342="Mismatch","Value Mismatch","Matched"),IF(I342= "Tally","Missing in GST","Missing in Tally"))</f>
        <v>Missing in GST</v>
      </c>
      <c r="M342" s="6" t="str">
        <f t="shared" si="17"/>
        <v/>
      </c>
    </row>
    <row r="343" spans="1:13" x14ac:dyDescent="0.2">
      <c r="A343" s="1" t="str">
        <v>INV1341</v>
      </c>
      <c r="B343" s="2" t="str">
        <v>05-04-2024</v>
      </c>
      <c r="C343" s="1" t="str">
        <v>24LMNOP4321K1Z7</v>
      </c>
      <c r="D343" s="4" t="str">
        <v>Patel Industries</v>
      </c>
      <c r="E343" s="6">
        <v>49841.98</v>
      </c>
      <c r="F343" s="6">
        <v>4485.78</v>
      </c>
      <c r="G343" s="6">
        <v>4485.78</v>
      </c>
      <c r="H343" s="6">
        <v>58813.54</v>
      </c>
      <c r="I343" s="19" t="str">
        <v>Tally</v>
      </c>
      <c r="J343" s="1" t="str">
        <f t="shared" si="15"/>
        <v>Unique</v>
      </c>
      <c r="K343" s="21" t="str">
        <f t="shared" si="16"/>
        <v/>
      </c>
      <c r="L343" s="4" t="str">
        <f>IF(COUNTIFS(A:A,A343,C:C,C343)=2,IF(K343="Mismatch","Value Mismatch","Matched"),IF(I343= "Tally","Missing in GST","Missing in Tally"))</f>
        <v>Missing in GST</v>
      </c>
      <c r="M343" s="6" t="str">
        <f t="shared" si="17"/>
        <v/>
      </c>
    </row>
    <row r="344" spans="1:13" x14ac:dyDescent="0.2">
      <c r="A344" s="1" t="str">
        <v>INV1342</v>
      </c>
      <c r="B344" s="2" t="str">
        <v>17-05-2024</v>
      </c>
      <c r="C344" s="1" t="str">
        <v>27ABCDE1234F1Z5</v>
      </c>
      <c r="D344" s="4" t="str">
        <v>Sharma Traders</v>
      </c>
      <c r="E344" s="6">
        <v>6462.16</v>
      </c>
      <c r="F344" s="6">
        <v>581.59</v>
      </c>
      <c r="G344" s="6">
        <v>581.59</v>
      </c>
      <c r="H344" s="6">
        <v>7625.34</v>
      </c>
      <c r="I344" s="19" t="str">
        <v>Tally</v>
      </c>
      <c r="J344" s="1" t="str">
        <f t="shared" si="15"/>
        <v>Unique</v>
      </c>
      <c r="K344" s="21" t="str">
        <f t="shared" si="16"/>
        <v/>
      </c>
      <c r="L344" s="4" t="str">
        <f>IF(COUNTIFS(A:A,A344,C:C,C344)=2,IF(K344="Mismatch","Value Mismatch","Matched"),IF(I344= "Tally","Missing in GST","Missing in Tally"))</f>
        <v>Missing in GST</v>
      </c>
      <c r="M344" s="6" t="str">
        <f t="shared" si="17"/>
        <v/>
      </c>
    </row>
    <row r="345" spans="1:13" x14ac:dyDescent="0.2">
      <c r="A345" s="1" t="str">
        <v>INV1343</v>
      </c>
      <c r="B345" s="2" t="str">
        <v>29-04-2024</v>
      </c>
      <c r="C345" s="1" t="str">
        <v>19ASDFG2468H1Z9</v>
      </c>
      <c r="D345" s="4" t="str">
        <v>Eastern Distributors</v>
      </c>
      <c r="E345" s="6">
        <v>8679.11</v>
      </c>
      <c r="F345" s="6">
        <v>781.12</v>
      </c>
      <c r="G345" s="6">
        <v>781.12</v>
      </c>
      <c r="H345" s="6">
        <v>10241.35</v>
      </c>
      <c r="I345" s="19" t="str">
        <v>Tally</v>
      </c>
      <c r="J345" s="1" t="str">
        <f t="shared" si="15"/>
        <v>Unique</v>
      </c>
      <c r="K345" s="21" t="str">
        <f t="shared" si="16"/>
        <v/>
      </c>
      <c r="L345" s="4" t="str">
        <f>IF(COUNTIFS(A:A,A345,C:C,C345)=2,IF(K345="Mismatch","Value Mismatch","Matched"),IF(I345= "Tally","Missing in GST","Missing in Tally"))</f>
        <v>Missing in GST</v>
      </c>
      <c r="M345" s="6" t="str">
        <f t="shared" si="17"/>
        <v/>
      </c>
    </row>
    <row r="346" spans="1:13" x14ac:dyDescent="0.2">
      <c r="A346" s="1" t="str">
        <v>INV1344</v>
      </c>
      <c r="B346" s="2" t="str">
        <v>15-06-2024</v>
      </c>
      <c r="C346" s="1" t="str">
        <v>19ASDFG2468H1Z9</v>
      </c>
      <c r="D346" s="4" t="str">
        <v>Eastern Distributors</v>
      </c>
      <c r="E346" s="6">
        <v>49882.400000000001</v>
      </c>
      <c r="F346" s="6">
        <v>4489.42</v>
      </c>
      <c r="G346" s="6">
        <v>4489.42</v>
      </c>
      <c r="H346" s="6">
        <v>58861.24</v>
      </c>
      <c r="I346" s="19" t="str">
        <v>Tally</v>
      </c>
      <c r="J346" s="1" t="str">
        <f t="shared" si="15"/>
        <v>Unique</v>
      </c>
      <c r="K346" s="21" t="str">
        <f t="shared" si="16"/>
        <v/>
      </c>
      <c r="L346" s="4" t="str">
        <f>IF(COUNTIFS(A:A,A346,C:C,C346)=2,IF(K346="Mismatch","Value Mismatch","Matched"),IF(I346= "Tally","Missing in GST","Missing in Tally"))</f>
        <v>Missing in GST</v>
      </c>
      <c r="M346" s="6" t="str">
        <f t="shared" si="17"/>
        <v/>
      </c>
    </row>
    <row r="347" spans="1:13" x14ac:dyDescent="0.2">
      <c r="A347" s="1" t="str">
        <v>INV1345</v>
      </c>
      <c r="B347" s="2" t="str">
        <v>06-06-2024</v>
      </c>
      <c r="C347" s="1" t="str">
        <v>07ZXCVB9876M1Z3</v>
      </c>
      <c r="D347" s="4" t="str">
        <v>Gupta Supplies</v>
      </c>
      <c r="E347" s="6">
        <v>3452.8</v>
      </c>
      <c r="F347" s="6">
        <v>310.75</v>
      </c>
      <c r="G347" s="6">
        <v>310.75</v>
      </c>
      <c r="H347" s="6">
        <v>4074.3</v>
      </c>
      <c r="I347" s="19" t="str">
        <v>Tally</v>
      </c>
      <c r="J347" s="1" t="str">
        <f t="shared" si="15"/>
        <v>Unique</v>
      </c>
      <c r="K347" s="21" t="str">
        <f t="shared" si="16"/>
        <v/>
      </c>
      <c r="L347" s="4" t="str">
        <f>IF(COUNTIFS(A:A,A347,C:C,C347)=2,IF(K347="Mismatch","Value Mismatch","Matched"),IF(I347= "Tally","Missing in GST","Missing in Tally"))</f>
        <v>Missing in GST</v>
      </c>
      <c r="M347" s="6" t="str">
        <f t="shared" si="17"/>
        <v/>
      </c>
    </row>
    <row r="348" spans="1:13" x14ac:dyDescent="0.2">
      <c r="A348" s="1" t="str">
        <v>INV1346</v>
      </c>
      <c r="B348" s="2" t="str">
        <v>26-06-2024</v>
      </c>
      <c r="C348" s="1" t="str">
        <v>27ABCDE1234F1Z5</v>
      </c>
      <c r="D348" s="4" t="str">
        <v>Sharma Traders</v>
      </c>
      <c r="E348" s="6">
        <v>44043.45</v>
      </c>
      <c r="F348" s="6">
        <v>3963.91</v>
      </c>
      <c r="G348" s="6">
        <v>3963.91</v>
      </c>
      <c r="H348" s="6">
        <v>51971.27</v>
      </c>
      <c r="I348" s="19" t="str">
        <v>Tally</v>
      </c>
      <c r="J348" s="1" t="str">
        <f t="shared" si="15"/>
        <v>Unique</v>
      </c>
      <c r="K348" s="21" t="str">
        <f t="shared" si="16"/>
        <v/>
      </c>
      <c r="L348" s="4" t="str">
        <f>IF(COUNTIFS(A:A,A348,C:C,C348)=2,IF(K348="Mismatch","Value Mismatch","Matched"),IF(I348= "Tally","Missing in GST","Missing in Tally"))</f>
        <v>Missing in GST</v>
      </c>
      <c r="M348" s="6" t="str">
        <f t="shared" si="17"/>
        <v/>
      </c>
    </row>
    <row r="349" spans="1:13" x14ac:dyDescent="0.2">
      <c r="A349" s="1" t="str">
        <v>INV1347</v>
      </c>
      <c r="B349" s="2" t="str">
        <v>01-04-2024</v>
      </c>
      <c r="C349" s="1" t="str">
        <v>07ZXCVB9876M1Z3</v>
      </c>
      <c r="D349" s="4" t="str">
        <v>Gupta Supplies</v>
      </c>
      <c r="E349" s="6">
        <v>18101.37</v>
      </c>
      <c r="F349" s="6">
        <v>1629.12</v>
      </c>
      <c r="G349" s="6">
        <v>1629.12</v>
      </c>
      <c r="H349" s="6">
        <v>21359.61</v>
      </c>
      <c r="I349" s="19" t="str">
        <v>Tally</v>
      </c>
      <c r="J349" s="1" t="str">
        <f t="shared" si="15"/>
        <v>Unique</v>
      </c>
      <c r="K349" s="21" t="str">
        <f t="shared" si="16"/>
        <v/>
      </c>
      <c r="L349" s="4" t="str">
        <f>IF(COUNTIFS(A:A,A349,C:C,C349)=2,IF(K349="Mismatch","Value Mismatch","Matched"),IF(I349= "Tally","Missing in GST","Missing in Tally"))</f>
        <v>Missing in GST</v>
      </c>
      <c r="M349" s="6" t="str">
        <f t="shared" si="17"/>
        <v/>
      </c>
    </row>
    <row r="350" spans="1:13" x14ac:dyDescent="0.2">
      <c r="A350" s="1" t="str">
        <v>INV1348</v>
      </c>
      <c r="B350" s="2" t="str">
        <v>04-06-2024</v>
      </c>
      <c r="C350" s="1" t="str">
        <v>07ZXCVB9876M1Z3</v>
      </c>
      <c r="D350" s="4" t="str">
        <v>Gupta Supplies</v>
      </c>
      <c r="E350" s="6">
        <v>20986.43</v>
      </c>
      <c r="F350" s="6">
        <v>1888.78</v>
      </c>
      <c r="G350" s="6">
        <v>1888.78</v>
      </c>
      <c r="H350" s="6">
        <v>24763.99</v>
      </c>
      <c r="I350" s="19" t="str">
        <v>Tally</v>
      </c>
      <c r="J350" s="1" t="str">
        <f t="shared" si="15"/>
        <v>Unique</v>
      </c>
      <c r="K350" s="21" t="str">
        <f t="shared" si="16"/>
        <v/>
      </c>
      <c r="L350" s="4" t="str">
        <f>IF(COUNTIFS(A:A,A350,C:C,C350)=2,IF(K350="Mismatch","Value Mismatch","Matched"),IF(I350= "Tally","Missing in GST","Missing in Tally"))</f>
        <v>Missing in GST</v>
      </c>
      <c r="M350" s="6" t="str">
        <f t="shared" si="17"/>
        <v/>
      </c>
    </row>
    <row r="351" spans="1:13" x14ac:dyDescent="0.2">
      <c r="A351" s="1" t="str">
        <v>INV1349</v>
      </c>
      <c r="B351" s="2" t="str">
        <v>29-05-2024</v>
      </c>
      <c r="C351" s="1" t="str">
        <v>07ZXCVB9876M1Z3</v>
      </c>
      <c r="D351" s="4" t="str">
        <v>Gupta Supplies</v>
      </c>
      <c r="E351" s="6">
        <v>29121.74</v>
      </c>
      <c r="F351" s="6">
        <v>2620.96</v>
      </c>
      <c r="G351" s="6">
        <v>2620.96</v>
      </c>
      <c r="H351" s="6">
        <v>34363.660000000003</v>
      </c>
      <c r="I351" s="19" t="str">
        <v>Tally</v>
      </c>
      <c r="J351" s="1" t="str">
        <f t="shared" si="15"/>
        <v>Unique</v>
      </c>
      <c r="K351" s="21" t="str">
        <f t="shared" si="16"/>
        <v/>
      </c>
      <c r="L351" s="4" t="str">
        <f>IF(COUNTIFS(A:A,A351,C:C,C351)=2,IF(K351="Mismatch","Value Mismatch","Matched"),IF(I351= "Tally","Missing in GST","Missing in Tally"))</f>
        <v>Missing in GST</v>
      </c>
      <c r="M351" s="6" t="str">
        <f t="shared" si="17"/>
        <v/>
      </c>
    </row>
    <row r="352" spans="1:13" x14ac:dyDescent="0.2">
      <c r="A352" s="1" t="str">
        <v>INV1350</v>
      </c>
      <c r="B352" s="2" t="str">
        <v>15-05-2024</v>
      </c>
      <c r="C352" s="1" t="str">
        <v>29PQRSX5678L1Z2</v>
      </c>
      <c r="D352" s="4" t="str">
        <v>Kiran Enterprises</v>
      </c>
      <c r="E352" s="6">
        <v>49871.16</v>
      </c>
      <c r="F352" s="6">
        <v>4488.3999999999996</v>
      </c>
      <c r="G352" s="6">
        <v>4488.3999999999996</v>
      </c>
      <c r="H352" s="6">
        <v>58847.96</v>
      </c>
      <c r="I352" s="19" t="str">
        <v>Tally</v>
      </c>
      <c r="J352" s="1" t="str">
        <f t="shared" si="15"/>
        <v>Unique</v>
      </c>
      <c r="K352" s="21" t="str">
        <f t="shared" si="16"/>
        <v/>
      </c>
      <c r="L352" s="4" t="str">
        <f>IF(COUNTIFS(A:A,A352,C:C,C352)=2,IF(K352="Mismatch","Value Mismatch","Matched"),IF(I352= "Tally","Missing in GST","Missing in Tally"))</f>
        <v>Missing in GST</v>
      </c>
      <c r="M352" s="6" t="str">
        <f t="shared" si="17"/>
        <v/>
      </c>
    </row>
    <row r="353" spans="1:13" x14ac:dyDescent="0.2">
      <c r="A353" s="1" t="str">
        <v>INV1351</v>
      </c>
      <c r="B353" s="2" t="str">
        <v>11-05-2024</v>
      </c>
      <c r="C353" s="1" t="str">
        <v>19ASDFG2468H1Z9</v>
      </c>
      <c r="D353" s="4" t="str">
        <v>Eastern Distributors</v>
      </c>
      <c r="E353" s="6">
        <v>35302.49</v>
      </c>
      <c r="F353" s="6">
        <v>3177.22</v>
      </c>
      <c r="G353" s="6">
        <v>3177.22</v>
      </c>
      <c r="H353" s="6">
        <v>41656.93</v>
      </c>
      <c r="I353" s="19" t="str">
        <v>Tally</v>
      </c>
      <c r="J353" s="1" t="str">
        <f t="shared" si="15"/>
        <v>Unique</v>
      </c>
      <c r="K353" s="21" t="str">
        <f t="shared" si="16"/>
        <v>Matched</v>
      </c>
      <c r="L353" s="4" t="str">
        <f>IF(COUNTIFS(A:A,A353,C:C,C353)=2,IF(K353="Mismatch","Value Mismatch","Matched"),IF(I353= "Tally","Missing in GST","Missing in Tally"))</f>
        <v>Matched</v>
      </c>
      <c r="M353" s="6">
        <f t="shared" si="17"/>
        <v>0</v>
      </c>
    </row>
    <row r="354" spans="1:13" x14ac:dyDescent="0.2">
      <c r="A354" s="1" t="str">
        <v>INV1352</v>
      </c>
      <c r="B354" s="2" t="str">
        <v>09-06-2024</v>
      </c>
      <c r="C354" s="1" t="str">
        <v>29PQRSX5678L1Z2</v>
      </c>
      <c r="D354" s="4" t="str">
        <v>Kiran Enterprises</v>
      </c>
      <c r="E354" s="6">
        <v>45813.760000000002</v>
      </c>
      <c r="F354" s="6">
        <v>4123.24</v>
      </c>
      <c r="G354" s="6">
        <v>4123.24</v>
      </c>
      <c r="H354" s="6">
        <v>54060.24</v>
      </c>
      <c r="I354" s="19" t="str">
        <v>Tally</v>
      </c>
      <c r="J354" s="1" t="str">
        <f t="shared" si="15"/>
        <v>Unique</v>
      </c>
      <c r="K354" s="21" t="str">
        <f t="shared" si="16"/>
        <v/>
      </c>
      <c r="L354" s="4" t="str">
        <f>IF(COUNTIFS(A:A,A354,C:C,C354)=2,IF(K354="Mismatch","Value Mismatch","Matched"),IF(I354= "Tally","Missing in GST","Missing in Tally"))</f>
        <v>Missing in GST</v>
      </c>
      <c r="M354" s="6" t="str">
        <f t="shared" si="17"/>
        <v/>
      </c>
    </row>
    <row r="355" spans="1:13" x14ac:dyDescent="0.2">
      <c r="A355" s="1" t="str">
        <v>INV1353</v>
      </c>
      <c r="B355" s="2" t="str">
        <v>28-04-2024</v>
      </c>
      <c r="C355" s="1" t="str">
        <v>27ABCDE1234F1Z5</v>
      </c>
      <c r="D355" s="4" t="str">
        <v>Sharma Traders</v>
      </c>
      <c r="E355" s="6">
        <v>24986.35</v>
      </c>
      <c r="F355" s="6">
        <v>2248.77</v>
      </c>
      <c r="G355" s="6">
        <v>2248.77</v>
      </c>
      <c r="H355" s="6">
        <v>29483.89</v>
      </c>
      <c r="I355" s="19" t="str">
        <v>Tally</v>
      </c>
      <c r="J355" s="1" t="str">
        <f t="shared" si="15"/>
        <v>Unique</v>
      </c>
      <c r="K355" s="21" t="str">
        <f t="shared" si="16"/>
        <v/>
      </c>
      <c r="L355" s="4" t="str">
        <f>IF(COUNTIFS(A:A,A355,C:C,C355)=2,IF(K355="Mismatch","Value Mismatch","Matched"),IF(I355= "Tally","Missing in GST","Missing in Tally"))</f>
        <v>Missing in GST</v>
      </c>
      <c r="M355" s="6" t="str">
        <f t="shared" si="17"/>
        <v/>
      </c>
    </row>
    <row r="356" spans="1:13" x14ac:dyDescent="0.2">
      <c r="A356" s="1" t="str">
        <v>INV1354</v>
      </c>
      <c r="B356" s="2" t="str">
        <v>22-06-2024</v>
      </c>
      <c r="C356" s="1" t="str">
        <v>24LMNOP4321K1Z7</v>
      </c>
      <c r="D356" s="4" t="str">
        <v>Patel Industries</v>
      </c>
      <c r="E356" s="6">
        <v>31697.52</v>
      </c>
      <c r="F356" s="6">
        <v>2852.78</v>
      </c>
      <c r="G356" s="6">
        <v>2852.78</v>
      </c>
      <c r="H356" s="6">
        <v>37403.08</v>
      </c>
      <c r="I356" s="19" t="str">
        <v>Tally</v>
      </c>
      <c r="J356" s="1" t="str">
        <f t="shared" si="15"/>
        <v>Unique</v>
      </c>
      <c r="K356" s="21" t="str">
        <f t="shared" si="16"/>
        <v/>
      </c>
      <c r="L356" s="4" t="str">
        <f>IF(COUNTIFS(A:A,A356,C:C,C356)=2,IF(K356="Mismatch","Value Mismatch","Matched"),IF(I356= "Tally","Missing in GST","Missing in Tally"))</f>
        <v>Missing in GST</v>
      </c>
      <c r="M356" s="6" t="str">
        <f t="shared" si="17"/>
        <v/>
      </c>
    </row>
    <row r="357" spans="1:13" x14ac:dyDescent="0.2">
      <c r="A357" s="1" t="str">
        <v>INV1355</v>
      </c>
      <c r="B357" s="2" t="str">
        <v>02-04-2024</v>
      </c>
      <c r="C357" s="1" t="str">
        <v>07ZXCVB9876M1Z3</v>
      </c>
      <c r="D357" s="4" t="str">
        <v>Gupta Supplies</v>
      </c>
      <c r="E357" s="6">
        <v>24502.65</v>
      </c>
      <c r="F357" s="6">
        <v>2205.2399999999998</v>
      </c>
      <c r="G357" s="6">
        <v>2205.2399999999998</v>
      </c>
      <c r="H357" s="6">
        <v>28913.13</v>
      </c>
      <c r="I357" s="19" t="str">
        <v>Tally</v>
      </c>
      <c r="J357" s="1" t="str">
        <f t="shared" si="15"/>
        <v>Unique</v>
      </c>
      <c r="K357" s="21" t="str">
        <f t="shared" si="16"/>
        <v/>
      </c>
      <c r="L357" s="4" t="str">
        <f>IF(COUNTIFS(A:A,A357,C:C,C357)=2,IF(K357="Mismatch","Value Mismatch","Matched"),IF(I357= "Tally","Missing in GST","Missing in Tally"))</f>
        <v>Missing in GST</v>
      </c>
      <c r="M357" s="6" t="str">
        <f t="shared" si="17"/>
        <v/>
      </c>
    </row>
    <row r="358" spans="1:13" x14ac:dyDescent="0.2">
      <c r="A358" s="1" t="str">
        <v>INV1356</v>
      </c>
      <c r="B358" s="2" t="str">
        <v>15-05-2024</v>
      </c>
      <c r="C358" s="1" t="str">
        <v>24LMNOP4321K1Z7</v>
      </c>
      <c r="D358" s="4" t="str">
        <v>Patel Industries</v>
      </c>
      <c r="E358" s="6">
        <v>42837.62</v>
      </c>
      <c r="F358" s="6">
        <v>3855.39</v>
      </c>
      <c r="G358" s="6">
        <v>3855.39</v>
      </c>
      <c r="H358" s="6">
        <v>50548.4</v>
      </c>
      <c r="I358" s="19" t="str">
        <v>Tally</v>
      </c>
      <c r="J358" s="1" t="str">
        <f t="shared" si="15"/>
        <v>Unique</v>
      </c>
      <c r="K358" s="21" t="str">
        <f t="shared" si="16"/>
        <v/>
      </c>
      <c r="L358" s="4" t="str">
        <f>IF(COUNTIFS(A:A,A358,C:C,C358)=2,IF(K358="Mismatch","Value Mismatch","Matched"),IF(I358= "Tally","Missing in GST","Missing in Tally"))</f>
        <v>Missing in GST</v>
      </c>
      <c r="M358" s="6" t="str">
        <f t="shared" si="17"/>
        <v/>
      </c>
    </row>
    <row r="359" spans="1:13" x14ac:dyDescent="0.2">
      <c r="A359" s="1" t="str">
        <v>INV1357</v>
      </c>
      <c r="B359" s="2" t="str">
        <v>04-05-2024</v>
      </c>
      <c r="C359" s="1" t="str">
        <v>19ASDFG2468H1Z9</v>
      </c>
      <c r="D359" s="4" t="str">
        <v>Eastern Distributors</v>
      </c>
      <c r="E359" s="6">
        <v>44058.31</v>
      </c>
      <c r="F359" s="6">
        <v>3965.25</v>
      </c>
      <c r="G359" s="6">
        <v>3965.25</v>
      </c>
      <c r="H359" s="6">
        <v>51988.81</v>
      </c>
      <c r="I359" s="19" t="str">
        <v>Tally</v>
      </c>
      <c r="J359" s="1" t="str">
        <f t="shared" si="15"/>
        <v>Unique</v>
      </c>
      <c r="K359" s="21" t="str">
        <f t="shared" si="16"/>
        <v/>
      </c>
      <c r="L359" s="4" t="str">
        <f>IF(COUNTIFS(A:A,A359,C:C,C359)=2,IF(K359="Mismatch","Value Mismatch","Matched"),IF(I359= "Tally","Missing in GST","Missing in Tally"))</f>
        <v>Missing in GST</v>
      </c>
      <c r="M359" s="6" t="str">
        <f t="shared" si="17"/>
        <v/>
      </c>
    </row>
    <row r="360" spans="1:13" x14ac:dyDescent="0.2">
      <c r="A360" s="1" t="str">
        <v>INV1358</v>
      </c>
      <c r="B360" s="2" t="str">
        <v>06-04-2024</v>
      </c>
      <c r="C360" s="1" t="str">
        <v>27ABCDE1234F1Z5</v>
      </c>
      <c r="D360" s="4" t="str">
        <v>Sharma Traders</v>
      </c>
      <c r="E360" s="6">
        <v>22579.06</v>
      </c>
      <c r="F360" s="6">
        <v>2032.12</v>
      </c>
      <c r="G360" s="6">
        <v>2032.12</v>
      </c>
      <c r="H360" s="6">
        <v>26643.3</v>
      </c>
      <c r="I360" s="19" t="str">
        <v>Tally</v>
      </c>
      <c r="J360" s="1" t="str">
        <f t="shared" si="15"/>
        <v>Unique</v>
      </c>
      <c r="K360" s="21" t="str">
        <f t="shared" si="16"/>
        <v/>
      </c>
      <c r="L360" s="4" t="str">
        <f>IF(COUNTIFS(A:A,A360,C:C,C360)=2,IF(K360="Mismatch","Value Mismatch","Matched"),IF(I360= "Tally","Missing in GST","Missing in Tally"))</f>
        <v>Missing in GST</v>
      </c>
      <c r="M360" s="6" t="str">
        <f t="shared" si="17"/>
        <v/>
      </c>
    </row>
    <row r="361" spans="1:13" x14ac:dyDescent="0.2">
      <c r="A361" s="1" t="str">
        <v>INV1359</v>
      </c>
      <c r="B361" s="2" t="str">
        <v>25-06-2024</v>
      </c>
      <c r="C361" s="1" t="str">
        <v>29PQRSX5678L1Z2</v>
      </c>
      <c r="D361" s="4" t="str">
        <v>Kiran Enterprises</v>
      </c>
      <c r="E361" s="6">
        <v>41573.230000000003</v>
      </c>
      <c r="F361" s="6">
        <v>3741.59</v>
      </c>
      <c r="G361" s="6">
        <v>3741.59</v>
      </c>
      <c r="H361" s="6">
        <v>49056.41</v>
      </c>
      <c r="I361" s="19" t="str">
        <v>Tally</v>
      </c>
      <c r="J361" s="1" t="str">
        <f t="shared" si="15"/>
        <v>Unique</v>
      </c>
      <c r="K361" s="21" t="str">
        <f t="shared" si="16"/>
        <v/>
      </c>
      <c r="L361" s="4" t="str">
        <f>IF(COUNTIFS(A:A,A361,C:C,C361)=2,IF(K361="Mismatch","Value Mismatch","Matched"),IF(I361= "Tally","Missing in GST","Missing in Tally"))</f>
        <v>Missing in GST</v>
      </c>
      <c r="M361" s="6" t="str">
        <f t="shared" si="17"/>
        <v/>
      </c>
    </row>
    <row r="362" spans="1:13" x14ac:dyDescent="0.2">
      <c r="A362" s="1" t="str">
        <v>INV1360</v>
      </c>
      <c r="B362" s="2" t="str">
        <v>05-06-2024</v>
      </c>
      <c r="C362" s="1" t="str">
        <v>07ZXCVB9876M1Z3</v>
      </c>
      <c r="D362" s="4" t="str">
        <v>Gupta Supplies</v>
      </c>
      <c r="E362" s="6">
        <v>43138.32</v>
      </c>
      <c r="F362" s="6">
        <v>3882.45</v>
      </c>
      <c r="G362" s="6">
        <v>3882.45</v>
      </c>
      <c r="H362" s="6">
        <v>50903.22</v>
      </c>
      <c r="I362" s="19" t="str">
        <v>Tally</v>
      </c>
      <c r="J362" s="1" t="str">
        <f t="shared" si="15"/>
        <v>Unique</v>
      </c>
      <c r="K362" s="21" t="str">
        <f t="shared" si="16"/>
        <v/>
      </c>
      <c r="L362" s="4" t="str">
        <f>IF(COUNTIFS(A:A,A362,C:C,C362)=2,IF(K362="Mismatch","Value Mismatch","Matched"),IF(I362= "Tally","Missing in GST","Missing in Tally"))</f>
        <v>Missing in GST</v>
      </c>
      <c r="M362" s="6" t="str">
        <f t="shared" si="17"/>
        <v/>
      </c>
    </row>
    <row r="363" spans="1:13" x14ac:dyDescent="0.2">
      <c r="A363" s="1" t="str">
        <v>INV1361</v>
      </c>
      <c r="B363" s="2" t="str">
        <v>26-06-2024</v>
      </c>
      <c r="C363" s="1" t="str">
        <v>29PQRSX5678L1Z2</v>
      </c>
      <c r="D363" s="4" t="str">
        <v>Kiran Enterprises</v>
      </c>
      <c r="E363" s="6">
        <v>1614.88</v>
      </c>
      <c r="F363" s="6">
        <v>145.34</v>
      </c>
      <c r="G363" s="6">
        <v>145.34</v>
      </c>
      <c r="H363" s="6">
        <v>1905.56</v>
      </c>
      <c r="I363" s="19" t="str">
        <v>Tally</v>
      </c>
      <c r="J363" s="1" t="str">
        <f t="shared" si="15"/>
        <v>Unique</v>
      </c>
      <c r="K363" s="21" t="str">
        <f t="shared" si="16"/>
        <v/>
      </c>
      <c r="L363" s="4" t="str">
        <f>IF(COUNTIFS(A:A,A363,C:C,C363)=2,IF(K363="Mismatch","Value Mismatch","Matched"),IF(I363= "Tally","Missing in GST","Missing in Tally"))</f>
        <v>Missing in GST</v>
      </c>
      <c r="M363" s="6" t="str">
        <f t="shared" si="17"/>
        <v/>
      </c>
    </row>
    <row r="364" spans="1:13" x14ac:dyDescent="0.2">
      <c r="A364" s="1" t="str">
        <v>INV1362</v>
      </c>
      <c r="B364" s="2" t="str">
        <v>30-06-2024</v>
      </c>
      <c r="C364" s="1" t="str">
        <v>27ABCDE1234F1Z5</v>
      </c>
      <c r="D364" s="4" t="str">
        <v>Sharma Traders</v>
      </c>
      <c r="E364" s="6">
        <v>43709.3</v>
      </c>
      <c r="F364" s="6">
        <v>3933.84</v>
      </c>
      <c r="G364" s="6">
        <v>3933.84</v>
      </c>
      <c r="H364" s="6">
        <v>51576.98</v>
      </c>
      <c r="I364" s="19" t="str">
        <v>Tally</v>
      </c>
      <c r="J364" s="1" t="str">
        <f t="shared" si="15"/>
        <v>Unique</v>
      </c>
      <c r="K364" s="21" t="str">
        <f t="shared" si="16"/>
        <v/>
      </c>
      <c r="L364" s="4" t="str">
        <f>IF(COUNTIFS(A:A,A364,C:C,C364)=2,IF(K364="Mismatch","Value Mismatch","Matched"),IF(I364= "Tally","Missing in GST","Missing in Tally"))</f>
        <v>Missing in GST</v>
      </c>
      <c r="M364" s="6" t="str">
        <f t="shared" si="17"/>
        <v/>
      </c>
    </row>
    <row r="365" spans="1:13" x14ac:dyDescent="0.2">
      <c r="A365" s="1" t="str">
        <v>INV1363</v>
      </c>
      <c r="B365" s="2" t="str">
        <v>06-04-2024</v>
      </c>
      <c r="C365" s="1" t="str">
        <v>27ABCDE1234F1Z5</v>
      </c>
      <c r="D365" s="4" t="str">
        <v>Sharma Traders</v>
      </c>
      <c r="E365" s="6">
        <v>9494.19</v>
      </c>
      <c r="F365" s="6">
        <v>854.48</v>
      </c>
      <c r="G365" s="6">
        <v>854.48</v>
      </c>
      <c r="H365" s="6">
        <v>11203.15</v>
      </c>
      <c r="I365" s="19" t="str">
        <v>Tally</v>
      </c>
      <c r="J365" s="1" t="str">
        <f t="shared" si="15"/>
        <v>Unique</v>
      </c>
      <c r="K365" s="21" t="str">
        <f t="shared" si="16"/>
        <v/>
      </c>
      <c r="L365" s="4" t="str">
        <f>IF(COUNTIFS(A:A,A365,C:C,C365)=2,IF(K365="Mismatch","Value Mismatch","Matched"),IF(I365= "Tally","Missing in GST","Missing in Tally"))</f>
        <v>Missing in GST</v>
      </c>
      <c r="M365" s="6" t="str">
        <f t="shared" si="17"/>
        <v/>
      </c>
    </row>
    <row r="366" spans="1:13" x14ac:dyDescent="0.2">
      <c r="A366" s="1" t="str">
        <v>INV1364</v>
      </c>
      <c r="B366" s="2" t="str">
        <v>26-06-2024</v>
      </c>
      <c r="C366" s="1" t="str">
        <v>27ABCDE1234F1Z5</v>
      </c>
      <c r="D366" s="4" t="str">
        <v>Sharma Traders</v>
      </c>
      <c r="E366" s="6">
        <v>35963.81</v>
      </c>
      <c r="F366" s="6">
        <v>3236.74</v>
      </c>
      <c r="G366" s="6">
        <v>3236.74</v>
      </c>
      <c r="H366" s="6">
        <v>42437.29</v>
      </c>
      <c r="I366" s="19" t="str">
        <v>Tally</v>
      </c>
      <c r="J366" s="1" t="str">
        <f t="shared" si="15"/>
        <v>Unique</v>
      </c>
      <c r="K366" s="21" t="str">
        <f t="shared" si="16"/>
        <v>Matched</v>
      </c>
      <c r="L366" s="4" t="str">
        <f>IF(COUNTIFS(A:A,A366,C:C,C366)=2,IF(K366="Mismatch","Value Mismatch","Matched"),IF(I366= "Tally","Missing in GST","Missing in Tally"))</f>
        <v>Matched</v>
      </c>
      <c r="M366" s="6">
        <f t="shared" si="17"/>
        <v>0</v>
      </c>
    </row>
    <row r="367" spans="1:13" x14ac:dyDescent="0.2">
      <c r="A367" s="1" t="str">
        <v>INV1365</v>
      </c>
      <c r="B367" s="2" t="str">
        <v>18-06-2024</v>
      </c>
      <c r="C367" s="1" t="str">
        <v>24LMNOP4321K1Z7</v>
      </c>
      <c r="D367" s="4" t="str">
        <v>Patel Industries</v>
      </c>
      <c r="E367" s="6">
        <v>20935.03</v>
      </c>
      <c r="F367" s="6">
        <v>1884.15</v>
      </c>
      <c r="G367" s="6">
        <v>1884.15</v>
      </c>
      <c r="H367" s="6">
        <v>24703.33</v>
      </c>
      <c r="I367" s="19" t="str">
        <v>Tally</v>
      </c>
      <c r="J367" s="1" t="str">
        <f t="shared" si="15"/>
        <v>Unique</v>
      </c>
      <c r="K367" s="21" t="str">
        <f t="shared" si="16"/>
        <v/>
      </c>
      <c r="L367" s="4" t="str">
        <f>IF(COUNTIFS(A:A,A367,C:C,C367)=2,IF(K367="Mismatch","Value Mismatch","Matched"),IF(I367= "Tally","Missing in GST","Missing in Tally"))</f>
        <v>Missing in GST</v>
      </c>
      <c r="M367" s="6" t="str">
        <f t="shared" si="17"/>
        <v/>
      </c>
    </row>
    <row r="368" spans="1:13" x14ac:dyDescent="0.2">
      <c r="A368" s="1" t="str">
        <v>INV1366</v>
      </c>
      <c r="B368" s="2" t="str">
        <v>19-06-2024</v>
      </c>
      <c r="C368" s="1" t="str">
        <v>07ZXCVB9876M1Z3</v>
      </c>
      <c r="D368" s="4" t="str">
        <v>Gupta Supplies</v>
      </c>
      <c r="E368" s="6">
        <v>28366.81</v>
      </c>
      <c r="F368" s="6">
        <v>2553.0100000000002</v>
      </c>
      <c r="G368" s="6">
        <v>2553.0100000000002</v>
      </c>
      <c r="H368" s="6">
        <v>33472.83</v>
      </c>
      <c r="I368" s="19" t="str">
        <v>Tally</v>
      </c>
      <c r="J368" s="1" t="str">
        <f t="shared" si="15"/>
        <v>Unique</v>
      </c>
      <c r="K368" s="21" t="str">
        <f t="shared" si="16"/>
        <v>Matched</v>
      </c>
      <c r="L368" s="4" t="str">
        <f>IF(COUNTIFS(A:A,A368,C:C,C368)=2,IF(K368="Mismatch","Value Mismatch","Matched"),IF(I368= "Tally","Missing in GST","Missing in Tally"))</f>
        <v>Matched</v>
      </c>
      <c r="M368" s="6">
        <f t="shared" si="17"/>
        <v>0</v>
      </c>
    </row>
    <row r="369" spans="1:13" x14ac:dyDescent="0.2">
      <c r="A369" s="1" t="str">
        <v>INV1367</v>
      </c>
      <c r="B369" s="2" t="str">
        <v>28-06-2024</v>
      </c>
      <c r="C369" s="1" t="str">
        <v>24LMNOP4321K1Z7</v>
      </c>
      <c r="D369" s="4" t="str">
        <v>Patel Industries</v>
      </c>
      <c r="E369" s="6">
        <v>8785.01</v>
      </c>
      <c r="F369" s="6">
        <v>790.65</v>
      </c>
      <c r="G369" s="6">
        <v>790.65</v>
      </c>
      <c r="H369" s="6">
        <v>10366.31</v>
      </c>
      <c r="I369" s="19" t="str">
        <v>Tally</v>
      </c>
      <c r="J369" s="1" t="str">
        <f t="shared" si="15"/>
        <v>Unique</v>
      </c>
      <c r="K369" s="21" t="str">
        <f t="shared" si="16"/>
        <v/>
      </c>
      <c r="L369" s="4" t="str">
        <f>IF(COUNTIFS(A:A,A369,C:C,C369)=2,IF(K369="Mismatch","Value Mismatch","Matched"),IF(I369= "Tally","Missing in GST","Missing in Tally"))</f>
        <v>Missing in GST</v>
      </c>
      <c r="M369" s="6" t="str">
        <f t="shared" si="17"/>
        <v/>
      </c>
    </row>
    <row r="370" spans="1:13" x14ac:dyDescent="0.2">
      <c r="A370" s="1" t="str">
        <v>INV1368</v>
      </c>
      <c r="B370" s="2" t="str">
        <v>13-04-2024</v>
      </c>
      <c r="C370" s="1" t="str">
        <v>24LMNOP4321K1Z7</v>
      </c>
      <c r="D370" s="4" t="str">
        <v>Patel Industries</v>
      </c>
      <c r="E370" s="6">
        <v>39500.68</v>
      </c>
      <c r="F370" s="6">
        <v>3555.06</v>
      </c>
      <c r="G370" s="6">
        <v>3555.06</v>
      </c>
      <c r="H370" s="6">
        <v>46610.8</v>
      </c>
      <c r="I370" s="19" t="str">
        <v>Tally</v>
      </c>
      <c r="J370" s="1" t="str">
        <f t="shared" si="15"/>
        <v>Unique</v>
      </c>
      <c r="K370" s="21" t="str">
        <f t="shared" si="16"/>
        <v/>
      </c>
      <c r="L370" s="4" t="str">
        <f>IF(COUNTIFS(A:A,A370,C:C,C370)=2,IF(K370="Mismatch","Value Mismatch","Matched"),IF(I370= "Tally","Missing in GST","Missing in Tally"))</f>
        <v>Missing in GST</v>
      </c>
      <c r="M370" s="6" t="str">
        <f t="shared" si="17"/>
        <v/>
      </c>
    </row>
    <row r="371" spans="1:13" x14ac:dyDescent="0.2">
      <c r="A371" s="1" t="str">
        <v>INV1369</v>
      </c>
      <c r="B371" s="2" t="str">
        <v>06-04-2024</v>
      </c>
      <c r="C371" s="1" t="str">
        <v>07ZXCVB9876M1Z3</v>
      </c>
      <c r="D371" s="4" t="str">
        <v>Gupta Supplies</v>
      </c>
      <c r="E371" s="6">
        <v>45847.41</v>
      </c>
      <c r="F371" s="6">
        <v>4126.2700000000004</v>
      </c>
      <c r="G371" s="6">
        <v>4126.2700000000004</v>
      </c>
      <c r="H371" s="6">
        <v>54099.95</v>
      </c>
      <c r="I371" s="19" t="str">
        <v>Tally</v>
      </c>
      <c r="J371" s="1" t="str">
        <f t="shared" si="15"/>
        <v>Unique</v>
      </c>
      <c r="K371" s="21" t="str">
        <f t="shared" si="16"/>
        <v/>
      </c>
      <c r="L371" s="4" t="str">
        <f>IF(COUNTIFS(A:A,A371,C:C,C371)=2,IF(K371="Mismatch","Value Mismatch","Matched"),IF(I371= "Tally","Missing in GST","Missing in Tally"))</f>
        <v>Missing in GST</v>
      </c>
      <c r="M371" s="6" t="str">
        <f t="shared" si="17"/>
        <v/>
      </c>
    </row>
    <row r="372" spans="1:13" x14ac:dyDescent="0.2">
      <c r="A372" s="1" t="str">
        <v>INV1370</v>
      </c>
      <c r="B372" s="2" t="str">
        <v>22-06-2024</v>
      </c>
      <c r="C372" s="1" t="str">
        <v>19ASDFG2468H1Z9</v>
      </c>
      <c r="D372" s="4" t="str">
        <v>Eastern Distributors</v>
      </c>
      <c r="E372" s="6">
        <v>46457.17</v>
      </c>
      <c r="F372" s="6">
        <v>4181.1499999999996</v>
      </c>
      <c r="G372" s="6">
        <v>4181.1499999999996</v>
      </c>
      <c r="H372" s="6">
        <v>54819.47</v>
      </c>
      <c r="I372" s="19" t="str">
        <v>Tally</v>
      </c>
      <c r="J372" s="1" t="str">
        <f t="shared" si="15"/>
        <v>Unique</v>
      </c>
      <c r="K372" s="21" t="str">
        <f t="shared" si="16"/>
        <v/>
      </c>
      <c r="L372" s="4" t="str">
        <f>IF(COUNTIFS(A:A,A372,C:C,C372)=2,IF(K372="Mismatch","Value Mismatch","Matched"),IF(I372= "Tally","Missing in GST","Missing in Tally"))</f>
        <v>Missing in GST</v>
      </c>
      <c r="M372" s="6" t="str">
        <f t="shared" si="17"/>
        <v/>
      </c>
    </row>
    <row r="373" spans="1:13" x14ac:dyDescent="0.2">
      <c r="A373" s="1" t="str">
        <v>INV1371</v>
      </c>
      <c r="B373" s="2" t="str">
        <v>05-04-2024</v>
      </c>
      <c r="C373" s="1" t="str">
        <v>07ZXCVB9876M1Z3</v>
      </c>
      <c r="D373" s="4" t="str">
        <v>Gupta Supplies</v>
      </c>
      <c r="E373" s="6">
        <v>2565.09</v>
      </c>
      <c r="F373" s="6">
        <v>230.86</v>
      </c>
      <c r="G373" s="6">
        <v>230.86</v>
      </c>
      <c r="H373" s="6">
        <v>3026.81</v>
      </c>
      <c r="I373" s="19" t="str">
        <v>Tally</v>
      </c>
      <c r="J373" s="1" t="str">
        <f t="shared" si="15"/>
        <v>Unique</v>
      </c>
      <c r="K373" s="21" t="str">
        <f t="shared" si="16"/>
        <v/>
      </c>
      <c r="L373" s="4" t="str">
        <f>IF(COUNTIFS(A:A,A373,C:C,C373)=2,IF(K373="Mismatch","Value Mismatch","Matched"),IF(I373= "Tally","Missing in GST","Missing in Tally"))</f>
        <v>Missing in GST</v>
      </c>
      <c r="M373" s="6" t="str">
        <f t="shared" si="17"/>
        <v/>
      </c>
    </row>
    <row r="374" spans="1:13" x14ac:dyDescent="0.2">
      <c r="A374" s="1" t="str">
        <v>INV1372</v>
      </c>
      <c r="B374" s="2" t="str">
        <v>31-05-2024</v>
      </c>
      <c r="C374" s="1" t="str">
        <v>29PQRSX5678L1Z2</v>
      </c>
      <c r="D374" s="4" t="str">
        <v>Kiran Enterprises</v>
      </c>
      <c r="E374" s="6">
        <v>23993.78</v>
      </c>
      <c r="F374" s="6">
        <v>2159.44</v>
      </c>
      <c r="G374" s="6">
        <v>2159.44</v>
      </c>
      <c r="H374" s="6">
        <v>28312.66</v>
      </c>
      <c r="I374" s="19" t="str">
        <v>Tally</v>
      </c>
      <c r="J374" s="1" t="str">
        <f t="shared" si="15"/>
        <v>Unique</v>
      </c>
      <c r="K374" s="21" t="str">
        <f t="shared" si="16"/>
        <v/>
      </c>
      <c r="L374" s="4" t="str">
        <f>IF(COUNTIFS(A:A,A374,C:C,C374)=2,IF(K374="Mismatch","Value Mismatch","Matched"),IF(I374= "Tally","Missing in GST","Missing in Tally"))</f>
        <v>Missing in GST</v>
      </c>
      <c r="M374" s="6" t="str">
        <f t="shared" si="17"/>
        <v/>
      </c>
    </row>
    <row r="375" spans="1:13" x14ac:dyDescent="0.2">
      <c r="A375" s="1" t="str">
        <v>INV1373</v>
      </c>
      <c r="B375" s="2" t="str">
        <v>11-04-2024</v>
      </c>
      <c r="C375" s="1" t="str">
        <v>07ZXCVB9876M1Z3</v>
      </c>
      <c r="D375" s="4" t="str">
        <v>Gupta Supplies</v>
      </c>
      <c r="E375" s="6">
        <v>7123.47</v>
      </c>
      <c r="F375" s="6">
        <v>641.11</v>
      </c>
      <c r="G375" s="6">
        <v>641.11</v>
      </c>
      <c r="H375" s="6">
        <v>8405.69</v>
      </c>
      <c r="I375" s="19" t="str">
        <v>Tally</v>
      </c>
      <c r="J375" s="1" t="str">
        <f t="shared" si="15"/>
        <v>Unique</v>
      </c>
      <c r="K375" s="21" t="str">
        <f t="shared" si="16"/>
        <v/>
      </c>
      <c r="L375" s="4" t="str">
        <f>IF(COUNTIFS(A:A,A375,C:C,C375)=2,IF(K375="Mismatch","Value Mismatch","Matched"),IF(I375= "Tally","Missing in GST","Missing in Tally"))</f>
        <v>Missing in GST</v>
      </c>
      <c r="M375" s="6" t="str">
        <f t="shared" si="17"/>
        <v/>
      </c>
    </row>
    <row r="376" spans="1:13" x14ac:dyDescent="0.2">
      <c r="A376" s="1" t="str">
        <v>INV1374</v>
      </c>
      <c r="B376" s="2" t="str">
        <v>06-04-2024</v>
      </c>
      <c r="C376" s="1" t="str">
        <v>27ABCDE1234F1Z5</v>
      </c>
      <c r="D376" s="4" t="str">
        <v>Sharma Traders</v>
      </c>
      <c r="E376" s="6">
        <v>7127.3</v>
      </c>
      <c r="F376" s="6">
        <v>641.46</v>
      </c>
      <c r="G376" s="6">
        <v>641.46</v>
      </c>
      <c r="H376" s="6">
        <v>8410.2199999999993</v>
      </c>
      <c r="I376" s="19" t="str">
        <v>Tally</v>
      </c>
      <c r="J376" s="1" t="str">
        <f t="shared" si="15"/>
        <v>Unique</v>
      </c>
      <c r="K376" s="21" t="str">
        <f t="shared" si="16"/>
        <v/>
      </c>
      <c r="L376" s="4" t="str">
        <f>IF(COUNTIFS(A:A,A376,C:C,C376)=2,IF(K376="Mismatch","Value Mismatch","Matched"),IF(I376= "Tally","Missing in GST","Missing in Tally"))</f>
        <v>Missing in GST</v>
      </c>
      <c r="M376" s="6" t="str">
        <f t="shared" si="17"/>
        <v/>
      </c>
    </row>
    <row r="377" spans="1:13" x14ac:dyDescent="0.2">
      <c r="A377" s="1" t="str">
        <v>INV1375</v>
      </c>
      <c r="B377" s="2" t="str">
        <v>03-04-2024</v>
      </c>
      <c r="C377" s="1" t="str">
        <v>19ASDFG2468H1Z9</v>
      </c>
      <c r="D377" s="4" t="str">
        <v>Eastern Distributors</v>
      </c>
      <c r="E377" s="6">
        <v>15417.7</v>
      </c>
      <c r="F377" s="6">
        <v>1387.59</v>
      </c>
      <c r="G377" s="6">
        <v>1387.59</v>
      </c>
      <c r="H377" s="6">
        <v>18192.88</v>
      </c>
      <c r="I377" s="19" t="str">
        <v>Tally</v>
      </c>
      <c r="J377" s="1" t="str">
        <f t="shared" si="15"/>
        <v>Unique</v>
      </c>
      <c r="K377" s="21" t="str">
        <f t="shared" si="16"/>
        <v/>
      </c>
      <c r="L377" s="4" t="str">
        <f>IF(COUNTIFS(A:A,A377,C:C,C377)=2,IF(K377="Mismatch","Value Mismatch","Matched"),IF(I377= "Tally","Missing in GST","Missing in Tally"))</f>
        <v>Missing in GST</v>
      </c>
      <c r="M377" s="6" t="str">
        <f t="shared" si="17"/>
        <v/>
      </c>
    </row>
    <row r="378" spans="1:13" x14ac:dyDescent="0.2">
      <c r="A378" s="1" t="str">
        <v>INV1376</v>
      </c>
      <c r="B378" s="2" t="str">
        <v>01-05-2024</v>
      </c>
      <c r="C378" s="1" t="str">
        <v>24LMNOP4321K1Z7</v>
      </c>
      <c r="D378" s="4" t="str">
        <v>Patel Industries</v>
      </c>
      <c r="E378" s="6">
        <v>26374.35</v>
      </c>
      <c r="F378" s="6">
        <v>2373.69</v>
      </c>
      <c r="G378" s="6">
        <v>2373.69</v>
      </c>
      <c r="H378" s="6">
        <v>31121.73</v>
      </c>
      <c r="I378" s="19" t="str">
        <v>Tally</v>
      </c>
      <c r="J378" s="1" t="str">
        <f t="shared" si="15"/>
        <v>Unique</v>
      </c>
      <c r="K378" s="21" t="str">
        <f t="shared" si="16"/>
        <v/>
      </c>
      <c r="L378" s="4" t="str">
        <f>IF(COUNTIFS(A:A,A378,C:C,C378)=2,IF(K378="Mismatch","Value Mismatch","Matched"),IF(I378= "Tally","Missing in GST","Missing in Tally"))</f>
        <v>Missing in GST</v>
      </c>
      <c r="M378" s="6" t="str">
        <f t="shared" si="17"/>
        <v/>
      </c>
    </row>
    <row r="379" spans="1:13" x14ac:dyDescent="0.2">
      <c r="A379" s="1" t="str">
        <v>INV1377</v>
      </c>
      <c r="B379" s="2" t="str">
        <v>20-06-2024</v>
      </c>
      <c r="C379" s="1" t="str">
        <v>07ZXCVB9876M1Z3</v>
      </c>
      <c r="D379" s="4" t="str">
        <v>Gupta Supplies</v>
      </c>
      <c r="E379" s="6">
        <v>16738.5</v>
      </c>
      <c r="F379" s="6">
        <v>1506.46</v>
      </c>
      <c r="G379" s="6">
        <v>1506.46</v>
      </c>
      <c r="H379" s="6">
        <v>19751.419999999998</v>
      </c>
      <c r="I379" s="19" t="str">
        <v>Tally</v>
      </c>
      <c r="J379" s="1" t="str">
        <f t="shared" si="15"/>
        <v>Unique</v>
      </c>
      <c r="K379" s="21" t="str">
        <f t="shared" si="16"/>
        <v/>
      </c>
      <c r="L379" s="4" t="str">
        <f>IF(COUNTIFS(A:A,A379,C:C,C379)=2,IF(K379="Mismatch","Value Mismatch","Matched"),IF(I379= "Tally","Missing in GST","Missing in Tally"))</f>
        <v>Missing in GST</v>
      </c>
      <c r="M379" s="6" t="str">
        <f t="shared" si="17"/>
        <v/>
      </c>
    </row>
    <row r="380" spans="1:13" x14ac:dyDescent="0.2">
      <c r="A380" s="1" t="str">
        <v>INV1378</v>
      </c>
      <c r="B380" s="2" t="str">
        <v>23-06-2024</v>
      </c>
      <c r="C380" s="1" t="str">
        <v>27ABCDE1234F1Z5</v>
      </c>
      <c r="D380" s="4" t="str">
        <v>Sharma Traders</v>
      </c>
      <c r="E380" s="6">
        <v>41012.36</v>
      </c>
      <c r="F380" s="6">
        <v>3691.11</v>
      </c>
      <c r="G380" s="6">
        <v>3691.11</v>
      </c>
      <c r="H380" s="6">
        <v>48394.58</v>
      </c>
      <c r="I380" s="19" t="str">
        <v>Tally</v>
      </c>
      <c r="J380" s="1" t="str">
        <f t="shared" si="15"/>
        <v>Unique</v>
      </c>
      <c r="K380" s="21" t="str">
        <f t="shared" si="16"/>
        <v/>
      </c>
      <c r="L380" s="4" t="str">
        <f>IF(COUNTIFS(A:A,A380,C:C,C380)=2,IF(K380="Mismatch","Value Mismatch","Matched"),IF(I380= "Tally","Missing in GST","Missing in Tally"))</f>
        <v>Missing in GST</v>
      </c>
      <c r="M380" s="6" t="str">
        <f t="shared" si="17"/>
        <v/>
      </c>
    </row>
    <row r="381" spans="1:13" x14ac:dyDescent="0.2">
      <c r="A381" s="1" t="str">
        <v>INV1379</v>
      </c>
      <c r="B381" s="2" t="str">
        <v>12-05-2024</v>
      </c>
      <c r="C381" s="1" t="str">
        <v>24LMNOP4321K1Z7</v>
      </c>
      <c r="D381" s="4" t="str">
        <v>Patel Industries</v>
      </c>
      <c r="E381" s="6">
        <v>23723.27</v>
      </c>
      <c r="F381" s="6">
        <v>2135.09</v>
      </c>
      <c r="G381" s="6">
        <v>2135.09</v>
      </c>
      <c r="H381" s="6">
        <v>27993.45</v>
      </c>
      <c r="I381" s="19" t="str">
        <v>Tally</v>
      </c>
      <c r="J381" s="1" t="str">
        <f t="shared" si="15"/>
        <v>Unique</v>
      </c>
      <c r="K381" s="21" t="str">
        <f t="shared" si="16"/>
        <v/>
      </c>
      <c r="L381" s="4" t="str">
        <f>IF(COUNTIFS(A:A,A381,C:C,C381)=2,IF(K381="Mismatch","Value Mismatch","Matched"),IF(I381= "Tally","Missing in GST","Missing in Tally"))</f>
        <v>Missing in GST</v>
      </c>
      <c r="M381" s="6" t="str">
        <f t="shared" si="17"/>
        <v/>
      </c>
    </row>
    <row r="382" spans="1:13" x14ac:dyDescent="0.2">
      <c r="A382" s="1" t="str">
        <v>INV1380</v>
      </c>
      <c r="B382" s="2" t="str">
        <v>12-06-2024</v>
      </c>
      <c r="C382" s="1" t="str">
        <v>07ZXCVB9876M1Z3</v>
      </c>
      <c r="D382" s="4" t="str">
        <v>Gupta Supplies</v>
      </c>
      <c r="E382" s="6">
        <v>19754.28</v>
      </c>
      <c r="F382" s="6">
        <v>1777.89</v>
      </c>
      <c r="G382" s="6">
        <v>1777.89</v>
      </c>
      <c r="H382" s="6">
        <v>23310.06</v>
      </c>
      <c r="I382" s="19" t="str">
        <v>Tally</v>
      </c>
      <c r="J382" s="1" t="str">
        <f t="shared" si="15"/>
        <v>Unique</v>
      </c>
      <c r="K382" s="21" t="str">
        <f t="shared" si="16"/>
        <v/>
      </c>
      <c r="L382" s="4" t="str">
        <f>IF(COUNTIFS(A:A,A382,C:C,C382)=2,IF(K382="Mismatch","Value Mismatch","Matched"),IF(I382= "Tally","Missing in GST","Missing in Tally"))</f>
        <v>Missing in GST</v>
      </c>
      <c r="M382" s="6" t="str">
        <f t="shared" si="17"/>
        <v/>
      </c>
    </row>
    <row r="383" spans="1:13" x14ac:dyDescent="0.2">
      <c r="A383" s="1" t="str">
        <v>INV1381</v>
      </c>
      <c r="B383" s="2" t="str">
        <v>24-06-2024</v>
      </c>
      <c r="C383" s="1" t="str">
        <v>29PQRSX5678L1Z2</v>
      </c>
      <c r="D383" s="4" t="str">
        <v>Kiran Enterprises</v>
      </c>
      <c r="E383" s="6">
        <v>24186.880000000001</v>
      </c>
      <c r="F383" s="6">
        <v>2176.8200000000002</v>
      </c>
      <c r="G383" s="6">
        <v>2176.8200000000002</v>
      </c>
      <c r="H383" s="6">
        <v>28540.52</v>
      </c>
      <c r="I383" s="19" t="str">
        <v>Tally</v>
      </c>
      <c r="J383" s="1" t="str">
        <f t="shared" si="15"/>
        <v>Unique</v>
      </c>
      <c r="K383" s="21" t="str">
        <f t="shared" si="16"/>
        <v/>
      </c>
      <c r="L383" s="4" t="str">
        <f>IF(COUNTIFS(A:A,A383,C:C,C383)=2,IF(K383="Mismatch","Value Mismatch","Matched"),IF(I383= "Tally","Missing in GST","Missing in Tally"))</f>
        <v>Missing in GST</v>
      </c>
      <c r="M383" s="6" t="str">
        <f t="shared" si="17"/>
        <v/>
      </c>
    </row>
    <row r="384" spans="1:13" x14ac:dyDescent="0.2">
      <c r="A384" s="1" t="str">
        <v>INV1382</v>
      </c>
      <c r="B384" s="2" t="str">
        <v>17-05-2024</v>
      </c>
      <c r="C384" s="1" t="str">
        <v>19ASDFG2468H1Z9</v>
      </c>
      <c r="D384" s="4" t="str">
        <v>Eastern Distributors</v>
      </c>
      <c r="E384" s="6">
        <v>46487.72</v>
      </c>
      <c r="F384" s="6">
        <v>4183.8900000000003</v>
      </c>
      <c r="G384" s="6">
        <v>4183.8900000000003</v>
      </c>
      <c r="H384" s="6">
        <v>54855.5</v>
      </c>
      <c r="I384" s="19" t="str">
        <v>Tally</v>
      </c>
      <c r="J384" s="1" t="str">
        <f t="shared" si="15"/>
        <v>Unique</v>
      </c>
      <c r="K384" s="21" t="str">
        <f t="shared" si="16"/>
        <v/>
      </c>
      <c r="L384" s="4" t="str">
        <f>IF(COUNTIFS(A:A,A384,C:C,C384)=2,IF(K384="Mismatch","Value Mismatch","Matched"),IF(I384= "Tally","Missing in GST","Missing in Tally"))</f>
        <v>Missing in GST</v>
      </c>
      <c r="M384" s="6" t="str">
        <f t="shared" si="17"/>
        <v/>
      </c>
    </row>
    <row r="385" spans="1:13" x14ac:dyDescent="0.2">
      <c r="A385" s="1" t="str">
        <v>INV1383</v>
      </c>
      <c r="B385" s="2" t="str">
        <v>05-06-2024</v>
      </c>
      <c r="C385" s="1" t="str">
        <v>29PQRSX5678L1Z2</v>
      </c>
      <c r="D385" s="4" t="str">
        <v>Kiran Enterprises</v>
      </c>
      <c r="E385" s="6">
        <v>46962.13</v>
      </c>
      <c r="F385" s="6">
        <v>4226.59</v>
      </c>
      <c r="G385" s="6">
        <v>4226.59</v>
      </c>
      <c r="H385" s="6">
        <v>55415.31</v>
      </c>
      <c r="I385" s="19" t="str">
        <v>Tally</v>
      </c>
      <c r="J385" s="1" t="str">
        <f t="shared" si="15"/>
        <v>Unique</v>
      </c>
      <c r="K385" s="21" t="str">
        <f t="shared" si="16"/>
        <v/>
      </c>
      <c r="L385" s="4" t="str">
        <f>IF(COUNTIFS(A:A,A385,C:C,C385)=2,IF(K385="Mismatch","Value Mismatch","Matched"),IF(I385= "Tally","Missing in GST","Missing in Tally"))</f>
        <v>Missing in GST</v>
      </c>
      <c r="M385" s="6" t="str">
        <f t="shared" si="17"/>
        <v/>
      </c>
    </row>
    <row r="386" spans="1:13" x14ac:dyDescent="0.2">
      <c r="A386" s="1" t="str">
        <v>INV1384</v>
      </c>
      <c r="B386" s="2" t="str">
        <v>27-04-2024</v>
      </c>
      <c r="C386" s="1" t="str">
        <v>07ZXCVB9876M1Z3</v>
      </c>
      <c r="D386" s="4" t="str">
        <v>Gupta Supplies</v>
      </c>
      <c r="E386" s="6">
        <v>28626.959999999999</v>
      </c>
      <c r="F386" s="6">
        <v>2576.4299999999998</v>
      </c>
      <c r="G386" s="6">
        <v>2576.4299999999998</v>
      </c>
      <c r="H386" s="6">
        <v>33779.82</v>
      </c>
      <c r="I386" s="19" t="str">
        <v>Tally</v>
      </c>
      <c r="J386" s="1" t="str">
        <f t="shared" si="15"/>
        <v>Unique</v>
      </c>
      <c r="K386" s="21" t="str">
        <f t="shared" si="16"/>
        <v/>
      </c>
      <c r="L386" s="4" t="str">
        <f>IF(COUNTIFS(A:A,A386,C:C,C386)=2,IF(K386="Mismatch","Value Mismatch","Matched"),IF(I386= "Tally","Missing in GST","Missing in Tally"))</f>
        <v>Missing in GST</v>
      </c>
      <c r="M386" s="6" t="str">
        <f t="shared" si="17"/>
        <v/>
      </c>
    </row>
    <row r="387" spans="1:13" x14ac:dyDescent="0.2">
      <c r="A387" s="1" t="str">
        <v>INV1385</v>
      </c>
      <c r="B387" s="2" t="str">
        <v>22-06-2024</v>
      </c>
      <c r="C387" s="1" t="str">
        <v>07ZXCVB9876M1Z3</v>
      </c>
      <c r="D387" s="4" t="str">
        <v>Gupta Supplies</v>
      </c>
      <c r="E387" s="6">
        <v>29711.3</v>
      </c>
      <c r="F387" s="6">
        <v>2674.02</v>
      </c>
      <c r="G387" s="6">
        <v>2674.02</v>
      </c>
      <c r="H387" s="6">
        <v>35059.339999999997</v>
      </c>
      <c r="I387" s="19" t="str">
        <v>Tally</v>
      </c>
      <c r="J387" s="1" t="str">
        <f t="shared" ref="J387:J450" si="18">IF(COUNTIFS(A:A,A387,D:D,D387,I:I,I387)&gt;1,"Duplicate","Unique")</f>
        <v>Unique</v>
      </c>
      <c r="K387" s="21" t="str">
        <f t="shared" ref="K387:K450" si="19">IF(COUNTIFS(A:A,A387,C:C,C387)=2,IF(SUMIFS(E:E,A:A,A387,C:C,C387)&lt;&gt;E387*2,"Mismatch","Matched"),"")</f>
        <v/>
      </c>
      <c r="L387" s="4" t="str">
        <f>IF(COUNTIFS(A:A,A387,C:C,C387)=2,IF(K387="Mismatch","Value Mismatch","Matched"),IF(I387= "Tally","Missing in GST","Missing in Tally"))</f>
        <v>Missing in GST</v>
      </c>
      <c r="M387" s="6" t="str">
        <f t="shared" ref="M387:M450" si="20">IF(COUNTIFS(A:A,A387,C:C,C387)=2,SUMIFS(E:E,A:A,A387,C:C,C387)-E387*2,"")</f>
        <v/>
      </c>
    </row>
    <row r="388" spans="1:13" x14ac:dyDescent="0.2">
      <c r="A388" s="1" t="str">
        <v>INV1386</v>
      </c>
      <c r="B388" s="2" t="str">
        <v>21-04-2024</v>
      </c>
      <c r="C388" s="1" t="str">
        <v>29PQRSX5678L1Z2</v>
      </c>
      <c r="D388" s="4" t="str">
        <v>Kiran Enterprises</v>
      </c>
      <c r="E388" s="6">
        <v>23567.74</v>
      </c>
      <c r="F388" s="6">
        <v>2121.1</v>
      </c>
      <c r="G388" s="6">
        <v>2121.1</v>
      </c>
      <c r="H388" s="6">
        <v>27809.94</v>
      </c>
      <c r="I388" s="19" t="str">
        <v>Tally</v>
      </c>
      <c r="J388" s="1" t="str">
        <f t="shared" si="18"/>
        <v>Unique</v>
      </c>
      <c r="K388" s="21" t="str">
        <f t="shared" si="19"/>
        <v/>
      </c>
      <c r="L388" s="4" t="str">
        <f>IF(COUNTIFS(A:A,A388,C:C,C388)=2,IF(K388="Mismatch","Value Mismatch","Matched"),IF(I388= "Tally","Missing in GST","Missing in Tally"))</f>
        <v>Missing in GST</v>
      </c>
      <c r="M388" s="6" t="str">
        <f t="shared" si="20"/>
        <v/>
      </c>
    </row>
    <row r="389" spans="1:13" x14ac:dyDescent="0.2">
      <c r="A389" s="1" t="str">
        <v>INV1387</v>
      </c>
      <c r="B389" s="2" t="str">
        <v>18-05-2024</v>
      </c>
      <c r="C389" s="1" t="str">
        <v>24LMNOP4321K1Z7</v>
      </c>
      <c r="D389" s="4" t="str">
        <v>Patel Industries</v>
      </c>
      <c r="E389" s="6">
        <v>16764.96</v>
      </c>
      <c r="F389" s="6">
        <v>1508.85</v>
      </c>
      <c r="G389" s="6">
        <v>1508.85</v>
      </c>
      <c r="H389" s="6">
        <v>19782.66</v>
      </c>
      <c r="I389" s="19" t="str">
        <v>Tally</v>
      </c>
      <c r="J389" s="1" t="str">
        <f t="shared" si="18"/>
        <v>Unique</v>
      </c>
      <c r="K389" s="21" t="str">
        <f t="shared" si="19"/>
        <v/>
      </c>
      <c r="L389" s="4" t="str">
        <f>IF(COUNTIFS(A:A,A389,C:C,C389)=2,IF(K389="Mismatch","Value Mismatch","Matched"),IF(I389= "Tally","Missing in GST","Missing in Tally"))</f>
        <v>Missing in GST</v>
      </c>
      <c r="M389" s="6" t="str">
        <f t="shared" si="20"/>
        <v/>
      </c>
    </row>
    <row r="390" spans="1:13" x14ac:dyDescent="0.2">
      <c r="A390" s="1" t="str">
        <v>INV1388</v>
      </c>
      <c r="B390" s="2" t="str">
        <v>09-05-2024</v>
      </c>
      <c r="C390" s="1" t="str">
        <v>27ABCDE1234F1Z5</v>
      </c>
      <c r="D390" s="4" t="str">
        <v>Sharma Traders</v>
      </c>
      <c r="E390" s="6">
        <v>11256.23</v>
      </c>
      <c r="F390" s="6">
        <v>1013.06</v>
      </c>
      <c r="G390" s="6">
        <v>1013.06</v>
      </c>
      <c r="H390" s="6">
        <v>13282.35</v>
      </c>
      <c r="I390" s="19" t="str">
        <v>Tally</v>
      </c>
      <c r="J390" s="1" t="str">
        <f t="shared" si="18"/>
        <v>Unique</v>
      </c>
      <c r="K390" s="21" t="str">
        <f t="shared" si="19"/>
        <v/>
      </c>
      <c r="L390" s="4" t="str">
        <f>IF(COUNTIFS(A:A,A390,C:C,C390)=2,IF(K390="Mismatch","Value Mismatch","Matched"),IF(I390= "Tally","Missing in GST","Missing in Tally"))</f>
        <v>Missing in GST</v>
      </c>
      <c r="M390" s="6" t="str">
        <f t="shared" si="20"/>
        <v/>
      </c>
    </row>
    <row r="391" spans="1:13" x14ac:dyDescent="0.2">
      <c r="A391" s="1" t="str">
        <v>INV1389</v>
      </c>
      <c r="B391" s="2" t="str">
        <v>26-05-2024</v>
      </c>
      <c r="C391" s="1" t="str">
        <v>29PQRSX5678L1Z2</v>
      </c>
      <c r="D391" s="4" t="str">
        <v>Kiran Enterprises</v>
      </c>
      <c r="E391" s="6">
        <v>20860.59</v>
      </c>
      <c r="F391" s="6">
        <v>1877.45</v>
      </c>
      <c r="G391" s="6">
        <v>1877.45</v>
      </c>
      <c r="H391" s="6">
        <v>24615.49</v>
      </c>
      <c r="I391" s="19" t="str">
        <v>Tally</v>
      </c>
      <c r="J391" s="1" t="str">
        <f t="shared" si="18"/>
        <v>Unique</v>
      </c>
      <c r="K391" s="21" t="str">
        <f t="shared" si="19"/>
        <v/>
      </c>
      <c r="L391" s="4" t="str">
        <f>IF(COUNTIFS(A:A,A391,C:C,C391)=2,IF(K391="Mismatch","Value Mismatch","Matched"),IF(I391= "Tally","Missing in GST","Missing in Tally"))</f>
        <v>Missing in GST</v>
      </c>
      <c r="M391" s="6" t="str">
        <f t="shared" si="20"/>
        <v/>
      </c>
    </row>
    <row r="392" spans="1:13" x14ac:dyDescent="0.2">
      <c r="A392" s="1" t="str">
        <v>INV1390</v>
      </c>
      <c r="B392" s="2" t="str">
        <v>15-06-2024</v>
      </c>
      <c r="C392" s="1" t="str">
        <v>19ASDFG2468H1Z9</v>
      </c>
      <c r="D392" s="4" t="str">
        <v>Eastern Distributors</v>
      </c>
      <c r="E392" s="6">
        <v>11376.19</v>
      </c>
      <c r="F392" s="6">
        <v>1023.86</v>
      </c>
      <c r="G392" s="6">
        <v>1023.86</v>
      </c>
      <c r="H392" s="6">
        <v>13423.91</v>
      </c>
      <c r="I392" s="19" t="str">
        <v>Tally</v>
      </c>
      <c r="J392" s="1" t="str">
        <f t="shared" si="18"/>
        <v>Unique</v>
      </c>
      <c r="K392" s="21" t="str">
        <f t="shared" si="19"/>
        <v/>
      </c>
      <c r="L392" s="4" t="str">
        <f>IF(COUNTIFS(A:A,A392,C:C,C392)=2,IF(K392="Mismatch","Value Mismatch","Matched"),IF(I392= "Tally","Missing in GST","Missing in Tally"))</f>
        <v>Missing in GST</v>
      </c>
      <c r="M392" s="6" t="str">
        <f t="shared" si="20"/>
        <v/>
      </c>
    </row>
    <row r="393" spans="1:13" x14ac:dyDescent="0.2">
      <c r="A393" s="1" t="str">
        <v>INV1391</v>
      </c>
      <c r="B393" s="2" t="str">
        <v>15-06-2024</v>
      </c>
      <c r="C393" s="1" t="str">
        <v>24LMNOP4321K1Z7</v>
      </c>
      <c r="D393" s="4" t="str">
        <v>Patel Industries</v>
      </c>
      <c r="E393" s="6">
        <v>7519.23</v>
      </c>
      <c r="F393" s="6">
        <v>676.73</v>
      </c>
      <c r="G393" s="6">
        <v>676.73</v>
      </c>
      <c r="H393" s="6">
        <v>8872.69</v>
      </c>
      <c r="I393" s="19" t="str">
        <v>Tally</v>
      </c>
      <c r="J393" s="1" t="str">
        <f t="shared" si="18"/>
        <v>Unique</v>
      </c>
      <c r="K393" s="21" t="str">
        <f t="shared" si="19"/>
        <v/>
      </c>
      <c r="L393" s="4" t="str">
        <f>IF(COUNTIFS(A:A,A393,C:C,C393)=2,IF(K393="Mismatch","Value Mismatch","Matched"),IF(I393= "Tally","Missing in GST","Missing in Tally"))</f>
        <v>Missing in GST</v>
      </c>
      <c r="M393" s="6" t="str">
        <f t="shared" si="20"/>
        <v/>
      </c>
    </row>
    <row r="394" spans="1:13" x14ac:dyDescent="0.2">
      <c r="A394" s="1" t="str">
        <v>INV1392</v>
      </c>
      <c r="B394" s="2" t="str">
        <v>02-04-2024</v>
      </c>
      <c r="C394" s="1" t="str">
        <v>29PQRSX5678L1Z2</v>
      </c>
      <c r="D394" s="4" t="str">
        <v>Kiran Enterprises</v>
      </c>
      <c r="E394" s="6">
        <v>37746.480000000003</v>
      </c>
      <c r="F394" s="6">
        <v>3397.18</v>
      </c>
      <c r="G394" s="6">
        <v>3397.18</v>
      </c>
      <c r="H394" s="6">
        <v>44540.84</v>
      </c>
      <c r="I394" s="19" t="str">
        <v>Tally</v>
      </c>
      <c r="J394" s="1" t="str">
        <f t="shared" si="18"/>
        <v>Unique</v>
      </c>
      <c r="K394" s="21" t="str">
        <f t="shared" si="19"/>
        <v/>
      </c>
      <c r="L394" s="4" t="str">
        <f>IF(COUNTIFS(A:A,A394,C:C,C394)=2,IF(K394="Mismatch","Value Mismatch","Matched"),IF(I394= "Tally","Missing in GST","Missing in Tally"))</f>
        <v>Missing in GST</v>
      </c>
      <c r="M394" s="6" t="str">
        <f t="shared" si="20"/>
        <v/>
      </c>
    </row>
    <row r="395" spans="1:13" x14ac:dyDescent="0.2">
      <c r="A395" s="1" t="str">
        <v>INV1393</v>
      </c>
      <c r="B395" s="2" t="str">
        <v>05-06-2024</v>
      </c>
      <c r="C395" s="1" t="str">
        <v>24LMNOP4321K1Z7</v>
      </c>
      <c r="D395" s="4" t="str">
        <v>Patel Industries</v>
      </c>
      <c r="E395" s="6">
        <v>14483.82</v>
      </c>
      <c r="F395" s="6">
        <v>1303.54</v>
      </c>
      <c r="G395" s="6">
        <v>1303.54</v>
      </c>
      <c r="H395" s="6">
        <v>17090.900000000001</v>
      </c>
      <c r="I395" s="19" t="str">
        <v>Tally</v>
      </c>
      <c r="J395" s="1" t="str">
        <f t="shared" si="18"/>
        <v>Unique</v>
      </c>
      <c r="K395" s="21" t="str">
        <f t="shared" si="19"/>
        <v/>
      </c>
      <c r="L395" s="4" t="str">
        <f>IF(COUNTIFS(A:A,A395,C:C,C395)=2,IF(K395="Mismatch","Value Mismatch","Matched"),IF(I395= "Tally","Missing in GST","Missing in Tally"))</f>
        <v>Missing in GST</v>
      </c>
      <c r="M395" s="6" t="str">
        <f t="shared" si="20"/>
        <v/>
      </c>
    </row>
    <row r="396" spans="1:13" x14ac:dyDescent="0.2">
      <c r="A396" s="1" t="str">
        <v>INV1394</v>
      </c>
      <c r="B396" s="2" t="str">
        <v>06-04-2024</v>
      </c>
      <c r="C396" s="1" t="str">
        <v>27ABCDE1234F1Z5</v>
      </c>
      <c r="D396" s="4" t="str">
        <v>Sharma Traders</v>
      </c>
      <c r="E396" s="6">
        <v>14685.89</v>
      </c>
      <c r="F396" s="6">
        <v>1321.73</v>
      </c>
      <c r="G396" s="6">
        <v>1321.73</v>
      </c>
      <c r="H396" s="6">
        <v>17329.349999999999</v>
      </c>
      <c r="I396" s="19" t="str">
        <v>Tally</v>
      </c>
      <c r="J396" s="1" t="str">
        <f t="shared" si="18"/>
        <v>Unique</v>
      </c>
      <c r="K396" s="21" t="str">
        <f t="shared" si="19"/>
        <v/>
      </c>
      <c r="L396" s="4" t="str">
        <f>IF(COUNTIFS(A:A,A396,C:C,C396)=2,IF(K396="Mismatch","Value Mismatch","Matched"),IF(I396= "Tally","Missing in GST","Missing in Tally"))</f>
        <v>Missing in GST</v>
      </c>
      <c r="M396" s="6" t="str">
        <f t="shared" si="20"/>
        <v/>
      </c>
    </row>
    <row r="397" spans="1:13" x14ac:dyDescent="0.2">
      <c r="A397" s="1" t="str">
        <v>INV1395</v>
      </c>
      <c r="B397" s="2" t="str">
        <v>25-04-2024</v>
      </c>
      <c r="C397" s="1" t="str">
        <v>29PQRSX5678L1Z2</v>
      </c>
      <c r="D397" s="4" t="str">
        <v>Kiran Enterprises</v>
      </c>
      <c r="E397" s="6">
        <v>25760.57</v>
      </c>
      <c r="F397" s="6">
        <v>2318.4499999999998</v>
      </c>
      <c r="G397" s="6">
        <v>2318.4499999999998</v>
      </c>
      <c r="H397" s="6">
        <v>30397.47</v>
      </c>
      <c r="I397" s="19" t="str">
        <v>Tally</v>
      </c>
      <c r="J397" s="1" t="str">
        <f t="shared" si="18"/>
        <v>Unique</v>
      </c>
      <c r="K397" s="21" t="str">
        <f t="shared" si="19"/>
        <v/>
      </c>
      <c r="L397" s="4" t="str">
        <f>IF(COUNTIFS(A:A,A397,C:C,C397)=2,IF(K397="Mismatch","Value Mismatch","Matched"),IF(I397= "Tally","Missing in GST","Missing in Tally"))</f>
        <v>Missing in GST</v>
      </c>
      <c r="M397" s="6" t="str">
        <f t="shared" si="20"/>
        <v/>
      </c>
    </row>
    <row r="398" spans="1:13" x14ac:dyDescent="0.2">
      <c r="A398" s="1" t="str">
        <v>INV1396</v>
      </c>
      <c r="B398" s="2" t="str">
        <v>12-04-2024</v>
      </c>
      <c r="C398" s="1" t="str">
        <v>24LMNOP4321K1Z7</v>
      </c>
      <c r="D398" s="4" t="str">
        <v>Patel Industries</v>
      </c>
      <c r="E398" s="6">
        <v>20548.240000000002</v>
      </c>
      <c r="F398" s="6">
        <v>1849.34</v>
      </c>
      <c r="G398" s="6">
        <v>1849.34</v>
      </c>
      <c r="H398" s="6">
        <v>24246.92</v>
      </c>
      <c r="I398" s="19" t="str">
        <v>Tally</v>
      </c>
      <c r="J398" s="1" t="str">
        <f t="shared" si="18"/>
        <v>Unique</v>
      </c>
      <c r="K398" s="21" t="str">
        <f t="shared" si="19"/>
        <v/>
      </c>
      <c r="L398" s="4" t="str">
        <f>IF(COUNTIFS(A:A,A398,C:C,C398)=2,IF(K398="Mismatch","Value Mismatch","Matched"),IF(I398= "Tally","Missing in GST","Missing in Tally"))</f>
        <v>Missing in GST</v>
      </c>
      <c r="M398" s="6" t="str">
        <f t="shared" si="20"/>
        <v/>
      </c>
    </row>
    <row r="399" spans="1:13" x14ac:dyDescent="0.2">
      <c r="A399" s="1" t="str">
        <v>INV1397</v>
      </c>
      <c r="B399" s="2" t="str">
        <v>24-06-2024</v>
      </c>
      <c r="C399" s="1" t="str">
        <v>27ABCDE1234F1Z5</v>
      </c>
      <c r="D399" s="4" t="str">
        <v>Sharma Traders</v>
      </c>
      <c r="E399" s="6">
        <v>3505.79</v>
      </c>
      <c r="F399" s="6">
        <v>315.52</v>
      </c>
      <c r="G399" s="6">
        <v>315.52</v>
      </c>
      <c r="H399" s="6">
        <v>4136.83</v>
      </c>
      <c r="I399" s="19" t="str">
        <v>Tally</v>
      </c>
      <c r="J399" s="1" t="str">
        <f t="shared" si="18"/>
        <v>Unique</v>
      </c>
      <c r="K399" s="21" t="str">
        <f t="shared" si="19"/>
        <v/>
      </c>
      <c r="L399" s="4" t="str">
        <f>IF(COUNTIFS(A:A,A399,C:C,C399)=2,IF(K399="Mismatch","Value Mismatch","Matched"),IF(I399= "Tally","Missing in GST","Missing in Tally"))</f>
        <v>Missing in GST</v>
      </c>
      <c r="M399" s="6" t="str">
        <f t="shared" si="20"/>
        <v/>
      </c>
    </row>
    <row r="400" spans="1:13" x14ac:dyDescent="0.2">
      <c r="A400" s="1" t="str">
        <v>INV1398</v>
      </c>
      <c r="B400" s="2" t="str">
        <v>27-04-2024</v>
      </c>
      <c r="C400" s="1" t="str">
        <v>27ABCDE1234F1Z5</v>
      </c>
      <c r="D400" s="4" t="str">
        <v>Sharma Traders</v>
      </c>
      <c r="E400" s="6">
        <v>32161.35</v>
      </c>
      <c r="F400" s="6">
        <v>2894.52</v>
      </c>
      <c r="G400" s="6">
        <v>2894.52</v>
      </c>
      <c r="H400" s="6">
        <v>37950.39</v>
      </c>
      <c r="I400" s="19" t="str">
        <v>Tally</v>
      </c>
      <c r="J400" s="1" t="str">
        <f t="shared" si="18"/>
        <v>Unique</v>
      </c>
      <c r="K400" s="21" t="str">
        <f t="shared" si="19"/>
        <v/>
      </c>
      <c r="L400" s="4" t="str">
        <f>IF(COUNTIFS(A:A,A400,C:C,C400)=2,IF(K400="Mismatch","Value Mismatch","Matched"),IF(I400= "Tally","Missing in GST","Missing in Tally"))</f>
        <v>Missing in GST</v>
      </c>
      <c r="M400" s="6" t="str">
        <f t="shared" si="20"/>
        <v/>
      </c>
    </row>
    <row r="401" spans="1:13" x14ac:dyDescent="0.2">
      <c r="A401" s="1" t="str">
        <v>INV1399</v>
      </c>
      <c r="B401" s="2" t="str">
        <v>22-05-2024</v>
      </c>
      <c r="C401" s="1" t="str">
        <v>29PQRSX5678L1Z2</v>
      </c>
      <c r="D401" s="4" t="str">
        <v>Kiran Enterprises</v>
      </c>
      <c r="E401" s="6">
        <v>23753.919999999998</v>
      </c>
      <c r="F401" s="6">
        <v>2137.85</v>
      </c>
      <c r="G401" s="6">
        <v>2137.85</v>
      </c>
      <c r="H401" s="6">
        <v>28029.62</v>
      </c>
      <c r="I401" s="19" t="str">
        <v>Tally</v>
      </c>
      <c r="J401" s="1" t="str">
        <f t="shared" si="18"/>
        <v>Unique</v>
      </c>
      <c r="K401" s="21" t="str">
        <f t="shared" si="19"/>
        <v/>
      </c>
      <c r="L401" s="4" t="str">
        <f>IF(COUNTIFS(A:A,A401,C:C,C401)=2,IF(K401="Mismatch","Value Mismatch","Matched"),IF(I401= "Tally","Missing in GST","Missing in Tally"))</f>
        <v>Missing in GST</v>
      </c>
      <c r="M401" s="6" t="str">
        <f t="shared" si="20"/>
        <v/>
      </c>
    </row>
    <row r="402" spans="1:13" x14ac:dyDescent="0.2">
      <c r="A402" s="1" t="str">
        <v>INV1400</v>
      </c>
      <c r="B402" s="2" t="str">
        <v>17-05-2024</v>
      </c>
      <c r="C402" s="1" t="str">
        <v>24LMNOP4321K1Z7</v>
      </c>
      <c r="D402" s="4" t="str">
        <v>Patel Industries</v>
      </c>
      <c r="E402" s="6">
        <v>34971.24</v>
      </c>
      <c r="F402" s="6">
        <v>3147.41</v>
      </c>
      <c r="G402" s="6">
        <v>3147.41</v>
      </c>
      <c r="H402" s="6">
        <v>41266.06</v>
      </c>
      <c r="I402" s="19" t="str">
        <v>Tally</v>
      </c>
      <c r="J402" s="1" t="str">
        <f t="shared" si="18"/>
        <v>Unique</v>
      </c>
      <c r="K402" s="21" t="str">
        <f t="shared" si="19"/>
        <v/>
      </c>
      <c r="L402" s="4" t="str">
        <f>IF(COUNTIFS(A:A,A402,C:C,C402)=2,IF(K402="Mismatch","Value Mismatch","Matched"),IF(I402= "Tally","Missing in GST","Missing in Tally"))</f>
        <v>Missing in GST</v>
      </c>
      <c r="M402" s="6" t="str">
        <f t="shared" si="20"/>
        <v/>
      </c>
    </row>
    <row r="403" spans="1:13" x14ac:dyDescent="0.2">
      <c r="A403" s="1" t="str">
        <v>INV1401</v>
      </c>
      <c r="B403" s="2" t="str">
        <v>05-06-2024</v>
      </c>
      <c r="C403" s="1" t="str">
        <v>07ZXCVB9876M1Z3</v>
      </c>
      <c r="D403" s="4" t="str">
        <v>Gupta Supplies</v>
      </c>
      <c r="E403" s="6">
        <v>25073.040000000001</v>
      </c>
      <c r="F403" s="6">
        <v>2256.5700000000002</v>
      </c>
      <c r="G403" s="6">
        <v>2256.5700000000002</v>
      </c>
      <c r="H403" s="6">
        <v>29586.18</v>
      </c>
      <c r="I403" s="19" t="str">
        <v>Tally</v>
      </c>
      <c r="J403" s="1" t="str">
        <f t="shared" si="18"/>
        <v>Unique</v>
      </c>
      <c r="K403" s="21" t="str">
        <f t="shared" si="19"/>
        <v/>
      </c>
      <c r="L403" s="4" t="str">
        <f>IF(COUNTIFS(A:A,A403,C:C,C403)=2,IF(K403="Mismatch","Value Mismatch","Matched"),IF(I403= "Tally","Missing in GST","Missing in Tally"))</f>
        <v>Missing in GST</v>
      </c>
      <c r="M403" s="6" t="str">
        <f t="shared" si="20"/>
        <v/>
      </c>
    </row>
    <row r="404" spans="1:13" x14ac:dyDescent="0.2">
      <c r="A404" s="1" t="str">
        <v>INV1402</v>
      </c>
      <c r="B404" s="2" t="str">
        <v>02-05-2024</v>
      </c>
      <c r="C404" s="1" t="str">
        <v>29PQRSX5678L1Z2</v>
      </c>
      <c r="D404" s="4" t="str">
        <v>Kiran Enterprises</v>
      </c>
      <c r="E404" s="6">
        <v>41006.68</v>
      </c>
      <c r="F404" s="6">
        <v>3690.6</v>
      </c>
      <c r="G404" s="6">
        <v>3690.6</v>
      </c>
      <c r="H404" s="6">
        <v>48387.88</v>
      </c>
      <c r="I404" s="19" t="str">
        <v>Tally</v>
      </c>
      <c r="J404" s="1" t="str">
        <f t="shared" si="18"/>
        <v>Unique</v>
      </c>
      <c r="K404" s="21" t="str">
        <f t="shared" si="19"/>
        <v/>
      </c>
      <c r="L404" s="4" t="str">
        <f>IF(COUNTIFS(A:A,A404,C:C,C404)=2,IF(K404="Mismatch","Value Mismatch","Matched"),IF(I404= "Tally","Missing in GST","Missing in Tally"))</f>
        <v>Missing in GST</v>
      </c>
      <c r="M404" s="6" t="str">
        <f t="shared" si="20"/>
        <v/>
      </c>
    </row>
    <row r="405" spans="1:13" x14ac:dyDescent="0.2">
      <c r="A405" s="1" t="str">
        <v>INV1403</v>
      </c>
      <c r="B405" s="2" t="str">
        <v>10-04-2024</v>
      </c>
      <c r="C405" s="1" t="str">
        <v>19ASDFG2468H1Z9</v>
      </c>
      <c r="D405" s="4" t="str">
        <v>Eastern Distributors</v>
      </c>
      <c r="E405" s="6">
        <v>38402.730000000003</v>
      </c>
      <c r="F405" s="6">
        <v>3456.25</v>
      </c>
      <c r="G405" s="6">
        <v>3456.25</v>
      </c>
      <c r="H405" s="6">
        <v>45315.23</v>
      </c>
      <c r="I405" s="19" t="str">
        <v>Tally</v>
      </c>
      <c r="J405" s="1" t="str">
        <f t="shared" si="18"/>
        <v>Unique</v>
      </c>
      <c r="K405" s="21" t="str">
        <f t="shared" si="19"/>
        <v/>
      </c>
      <c r="L405" s="4" t="str">
        <f>IF(COUNTIFS(A:A,A405,C:C,C405)=2,IF(K405="Mismatch","Value Mismatch","Matched"),IF(I405= "Tally","Missing in GST","Missing in Tally"))</f>
        <v>Missing in GST</v>
      </c>
      <c r="M405" s="6" t="str">
        <f t="shared" si="20"/>
        <v/>
      </c>
    </row>
    <row r="406" spans="1:13" x14ac:dyDescent="0.2">
      <c r="A406" s="1" t="str">
        <v>INV1404</v>
      </c>
      <c r="B406" s="2" t="str">
        <v>12-04-2024</v>
      </c>
      <c r="C406" s="1" t="str">
        <v>27ABCDE1234F1Z5</v>
      </c>
      <c r="D406" s="4" t="str">
        <v>Sharma Traders</v>
      </c>
      <c r="E406" s="6">
        <v>18398.73</v>
      </c>
      <c r="F406" s="6">
        <v>1655.89</v>
      </c>
      <c r="G406" s="6">
        <v>1655.89</v>
      </c>
      <c r="H406" s="6">
        <v>21710.51</v>
      </c>
      <c r="I406" s="19" t="str">
        <v>Tally</v>
      </c>
      <c r="J406" s="1" t="str">
        <f t="shared" si="18"/>
        <v>Unique</v>
      </c>
      <c r="K406" s="21" t="str">
        <f t="shared" si="19"/>
        <v/>
      </c>
      <c r="L406" s="4" t="str">
        <f>IF(COUNTIFS(A:A,A406,C:C,C406)=2,IF(K406="Mismatch","Value Mismatch","Matched"),IF(I406= "Tally","Missing in GST","Missing in Tally"))</f>
        <v>Missing in GST</v>
      </c>
      <c r="M406" s="6" t="str">
        <f t="shared" si="20"/>
        <v/>
      </c>
    </row>
    <row r="407" spans="1:13" x14ac:dyDescent="0.2">
      <c r="A407" s="1" t="str">
        <v>INV1405</v>
      </c>
      <c r="B407" s="2" t="str">
        <v>04-06-2024</v>
      </c>
      <c r="C407" s="1" t="str">
        <v>24LMNOP4321K1Z7</v>
      </c>
      <c r="D407" s="4" t="str">
        <v>Patel Industries</v>
      </c>
      <c r="E407" s="6">
        <v>25025.11</v>
      </c>
      <c r="F407" s="6">
        <v>2252.2600000000002</v>
      </c>
      <c r="G407" s="6">
        <v>2252.2600000000002</v>
      </c>
      <c r="H407" s="6">
        <v>29529.63</v>
      </c>
      <c r="I407" s="19" t="str">
        <v>Tally</v>
      </c>
      <c r="J407" s="1" t="str">
        <f t="shared" si="18"/>
        <v>Unique</v>
      </c>
      <c r="K407" s="21" t="str">
        <f t="shared" si="19"/>
        <v/>
      </c>
      <c r="L407" s="4" t="str">
        <f>IF(COUNTIFS(A:A,A407,C:C,C407)=2,IF(K407="Mismatch","Value Mismatch","Matched"),IF(I407= "Tally","Missing in GST","Missing in Tally"))</f>
        <v>Missing in GST</v>
      </c>
      <c r="M407" s="6" t="str">
        <f t="shared" si="20"/>
        <v/>
      </c>
    </row>
    <row r="408" spans="1:13" x14ac:dyDescent="0.2">
      <c r="A408" s="1" t="str">
        <v>INV1406</v>
      </c>
      <c r="B408" s="2" t="str">
        <v>06-04-2024</v>
      </c>
      <c r="C408" s="1" t="str">
        <v>29PQRSX5678L1Z2</v>
      </c>
      <c r="D408" s="4" t="str">
        <v>Kiran Enterprises</v>
      </c>
      <c r="E408" s="6">
        <v>26802.21</v>
      </c>
      <c r="F408" s="6">
        <v>2412.1999999999998</v>
      </c>
      <c r="G408" s="6">
        <v>2412.1999999999998</v>
      </c>
      <c r="H408" s="6">
        <v>31626.61</v>
      </c>
      <c r="I408" s="19" t="str">
        <v>Tally</v>
      </c>
      <c r="J408" s="1" t="str">
        <f t="shared" si="18"/>
        <v>Unique</v>
      </c>
      <c r="K408" s="21" t="str">
        <f t="shared" si="19"/>
        <v/>
      </c>
      <c r="L408" s="4" t="str">
        <f>IF(COUNTIFS(A:A,A408,C:C,C408)=2,IF(K408="Mismatch","Value Mismatch","Matched"),IF(I408= "Tally","Missing in GST","Missing in Tally"))</f>
        <v>Missing in GST</v>
      </c>
      <c r="M408" s="6" t="str">
        <f t="shared" si="20"/>
        <v/>
      </c>
    </row>
    <row r="409" spans="1:13" x14ac:dyDescent="0.2">
      <c r="A409" s="1" t="str">
        <v>INV1407</v>
      </c>
      <c r="B409" s="2" t="str">
        <v>16-04-2024</v>
      </c>
      <c r="C409" s="1" t="str">
        <v>27ABCDE1234F1Z5</v>
      </c>
      <c r="D409" s="4" t="str">
        <v>Sharma Traders</v>
      </c>
      <c r="E409" s="6">
        <v>36038.61</v>
      </c>
      <c r="F409" s="6">
        <v>3243.47</v>
      </c>
      <c r="G409" s="6">
        <v>3243.47</v>
      </c>
      <c r="H409" s="6">
        <v>42525.55</v>
      </c>
      <c r="I409" s="19" t="str">
        <v>Tally</v>
      </c>
      <c r="J409" s="1" t="str">
        <f t="shared" si="18"/>
        <v>Unique</v>
      </c>
      <c r="K409" s="21" t="str">
        <f t="shared" si="19"/>
        <v/>
      </c>
      <c r="L409" s="4" t="str">
        <f>IF(COUNTIFS(A:A,A409,C:C,C409)=2,IF(K409="Mismatch","Value Mismatch","Matched"),IF(I409= "Tally","Missing in GST","Missing in Tally"))</f>
        <v>Missing in GST</v>
      </c>
      <c r="M409" s="6" t="str">
        <f t="shared" si="20"/>
        <v/>
      </c>
    </row>
    <row r="410" spans="1:13" x14ac:dyDescent="0.2">
      <c r="A410" s="1" t="str">
        <v>INV1408</v>
      </c>
      <c r="B410" s="2" t="str">
        <v>13-05-2024</v>
      </c>
      <c r="C410" s="1" t="str">
        <v>07ZXCVB9876M1Z3</v>
      </c>
      <c r="D410" s="4" t="str">
        <v>Gupta Supplies</v>
      </c>
      <c r="E410" s="6">
        <v>20204.21</v>
      </c>
      <c r="F410" s="6">
        <v>1818.38</v>
      </c>
      <c r="G410" s="6">
        <v>1818.38</v>
      </c>
      <c r="H410" s="6">
        <v>23840.97</v>
      </c>
      <c r="I410" s="19" t="str">
        <v>Tally</v>
      </c>
      <c r="J410" s="1" t="str">
        <f t="shared" si="18"/>
        <v>Unique</v>
      </c>
      <c r="K410" s="21" t="str">
        <f t="shared" si="19"/>
        <v>Matched</v>
      </c>
      <c r="L410" s="4" t="str">
        <f>IF(COUNTIFS(A:A,A410,C:C,C410)=2,IF(K410="Mismatch","Value Mismatch","Matched"),IF(I410= "Tally","Missing in GST","Missing in Tally"))</f>
        <v>Matched</v>
      </c>
      <c r="M410" s="6">
        <f t="shared" si="20"/>
        <v>0</v>
      </c>
    </row>
    <row r="411" spans="1:13" x14ac:dyDescent="0.2">
      <c r="A411" s="1" t="str">
        <v>INV1409</v>
      </c>
      <c r="B411" s="2" t="str">
        <v>14-06-2024</v>
      </c>
      <c r="C411" s="1" t="str">
        <v>29PQRSX5678L1Z2</v>
      </c>
      <c r="D411" s="4" t="str">
        <v>Kiran Enterprises</v>
      </c>
      <c r="E411" s="6">
        <v>46141.54</v>
      </c>
      <c r="F411" s="6">
        <v>4152.74</v>
      </c>
      <c r="G411" s="6">
        <v>4152.74</v>
      </c>
      <c r="H411" s="6">
        <v>54447.02</v>
      </c>
      <c r="I411" s="19" t="str">
        <v>Tally</v>
      </c>
      <c r="J411" s="1" t="str">
        <f t="shared" si="18"/>
        <v>Unique</v>
      </c>
      <c r="K411" s="21" t="str">
        <f t="shared" si="19"/>
        <v>Matched</v>
      </c>
      <c r="L411" s="4" t="str">
        <f>IF(COUNTIFS(A:A,A411,C:C,C411)=2,IF(K411="Mismatch","Value Mismatch","Matched"),IF(I411= "Tally","Missing in GST","Missing in Tally"))</f>
        <v>Matched</v>
      </c>
      <c r="M411" s="6">
        <f t="shared" si="20"/>
        <v>0</v>
      </c>
    </row>
    <row r="412" spans="1:13" x14ac:dyDescent="0.2">
      <c r="A412" s="1" t="str">
        <v>INV1410</v>
      </c>
      <c r="B412" s="2" t="str">
        <v>30-04-2024</v>
      </c>
      <c r="C412" s="1" t="str">
        <v>29PQRSX5678L1Z2</v>
      </c>
      <c r="D412" s="4" t="str">
        <v>Kiran Enterprises</v>
      </c>
      <c r="E412" s="6">
        <v>34980.26</v>
      </c>
      <c r="F412" s="6">
        <v>3148.22</v>
      </c>
      <c r="G412" s="6">
        <v>3148.22</v>
      </c>
      <c r="H412" s="6">
        <v>41276.699999999997</v>
      </c>
      <c r="I412" s="19" t="str">
        <v>Tally</v>
      </c>
      <c r="J412" s="1" t="str">
        <f t="shared" si="18"/>
        <v>Unique</v>
      </c>
      <c r="K412" s="21" t="str">
        <f t="shared" si="19"/>
        <v/>
      </c>
      <c r="L412" s="4" t="str">
        <f>IF(COUNTIFS(A:A,A412,C:C,C412)=2,IF(K412="Mismatch","Value Mismatch","Matched"),IF(I412= "Tally","Missing in GST","Missing in Tally"))</f>
        <v>Missing in GST</v>
      </c>
      <c r="M412" s="6" t="str">
        <f t="shared" si="20"/>
        <v/>
      </c>
    </row>
    <row r="413" spans="1:13" x14ac:dyDescent="0.2">
      <c r="A413" s="1" t="str">
        <v>INV1411</v>
      </c>
      <c r="B413" s="2" t="str">
        <v>24-06-2024</v>
      </c>
      <c r="C413" s="1" t="str">
        <v>07ZXCVB9876M1Z3</v>
      </c>
      <c r="D413" s="4" t="str">
        <v>Gupta Supplies</v>
      </c>
      <c r="E413" s="6">
        <v>1528</v>
      </c>
      <c r="F413" s="6">
        <v>137.52000000000001</v>
      </c>
      <c r="G413" s="6">
        <v>137.52000000000001</v>
      </c>
      <c r="H413" s="6">
        <v>1803.04</v>
      </c>
      <c r="I413" s="19" t="str">
        <v>Tally</v>
      </c>
      <c r="J413" s="1" t="str">
        <f t="shared" si="18"/>
        <v>Unique</v>
      </c>
      <c r="K413" s="21" t="str">
        <f t="shared" si="19"/>
        <v/>
      </c>
      <c r="L413" s="4" t="str">
        <f>IF(COUNTIFS(A:A,A413,C:C,C413)=2,IF(K413="Mismatch","Value Mismatch","Matched"),IF(I413= "Tally","Missing in GST","Missing in Tally"))</f>
        <v>Missing in GST</v>
      </c>
      <c r="M413" s="6" t="str">
        <f t="shared" si="20"/>
        <v/>
      </c>
    </row>
    <row r="414" spans="1:13" x14ac:dyDescent="0.2">
      <c r="A414" s="1" t="str">
        <v>INV1412</v>
      </c>
      <c r="B414" s="2" t="str">
        <v>18-04-2024</v>
      </c>
      <c r="C414" s="1" t="str">
        <v>07ZXCVB9876M1Z3</v>
      </c>
      <c r="D414" s="4" t="str">
        <v>Gupta Supplies</v>
      </c>
      <c r="E414" s="6">
        <v>37865</v>
      </c>
      <c r="F414" s="6">
        <v>3407.85</v>
      </c>
      <c r="G414" s="6">
        <v>3407.85</v>
      </c>
      <c r="H414" s="6">
        <v>44680.7</v>
      </c>
      <c r="I414" s="19" t="str">
        <v>Tally</v>
      </c>
      <c r="J414" s="1" t="str">
        <f t="shared" si="18"/>
        <v>Unique</v>
      </c>
      <c r="K414" s="21" t="str">
        <f t="shared" si="19"/>
        <v/>
      </c>
      <c r="L414" s="4" t="str">
        <f>IF(COUNTIFS(A:A,A414,C:C,C414)=2,IF(K414="Mismatch","Value Mismatch","Matched"),IF(I414= "Tally","Missing in GST","Missing in Tally"))</f>
        <v>Missing in GST</v>
      </c>
      <c r="M414" s="6" t="str">
        <f t="shared" si="20"/>
        <v/>
      </c>
    </row>
    <row r="415" spans="1:13" x14ac:dyDescent="0.2">
      <c r="A415" s="1" t="str">
        <v>INV1413</v>
      </c>
      <c r="B415" s="2" t="str">
        <v>18-05-2024</v>
      </c>
      <c r="C415" s="1" t="str">
        <v>19ASDFG2468H1Z9</v>
      </c>
      <c r="D415" s="4" t="str">
        <v>Eastern Distributors</v>
      </c>
      <c r="E415" s="6">
        <v>38256.269999999997</v>
      </c>
      <c r="F415" s="6">
        <v>3443.06</v>
      </c>
      <c r="G415" s="6">
        <v>3443.06</v>
      </c>
      <c r="H415" s="6">
        <v>45142.39</v>
      </c>
      <c r="I415" s="19" t="str">
        <v>Tally</v>
      </c>
      <c r="J415" s="1" t="str">
        <f t="shared" si="18"/>
        <v>Unique</v>
      </c>
      <c r="K415" s="21" t="str">
        <f t="shared" si="19"/>
        <v/>
      </c>
      <c r="L415" s="4" t="str">
        <f>IF(COUNTIFS(A:A,A415,C:C,C415)=2,IF(K415="Mismatch","Value Mismatch","Matched"),IF(I415= "Tally","Missing in GST","Missing in Tally"))</f>
        <v>Missing in GST</v>
      </c>
      <c r="M415" s="6" t="str">
        <f t="shared" si="20"/>
        <v/>
      </c>
    </row>
    <row r="416" spans="1:13" x14ac:dyDescent="0.2">
      <c r="A416" s="1" t="str">
        <v>INV1414</v>
      </c>
      <c r="B416" s="2" t="str">
        <v>01-04-2024</v>
      </c>
      <c r="C416" s="1" t="str">
        <v>07ZXCVB9876M1Z3</v>
      </c>
      <c r="D416" s="4" t="str">
        <v>Gupta Supplies</v>
      </c>
      <c r="E416" s="6">
        <v>30320.06</v>
      </c>
      <c r="F416" s="6">
        <v>2728.81</v>
      </c>
      <c r="G416" s="6">
        <v>2728.81</v>
      </c>
      <c r="H416" s="6">
        <v>35777.68</v>
      </c>
      <c r="I416" s="19" t="str">
        <v>Tally</v>
      </c>
      <c r="J416" s="1" t="str">
        <f t="shared" si="18"/>
        <v>Unique</v>
      </c>
      <c r="K416" s="21" t="str">
        <f t="shared" si="19"/>
        <v/>
      </c>
      <c r="L416" s="4" t="str">
        <f>IF(COUNTIFS(A:A,A416,C:C,C416)=2,IF(K416="Mismatch","Value Mismatch","Matched"),IF(I416= "Tally","Missing in GST","Missing in Tally"))</f>
        <v>Missing in GST</v>
      </c>
      <c r="M416" s="6" t="str">
        <f t="shared" si="20"/>
        <v/>
      </c>
    </row>
    <row r="417" spans="1:13" x14ac:dyDescent="0.2">
      <c r="A417" s="1" t="str">
        <v>INV1415</v>
      </c>
      <c r="B417" s="2" t="str">
        <v>19-04-2024</v>
      </c>
      <c r="C417" s="1" t="str">
        <v>29PQRSX5678L1Z2</v>
      </c>
      <c r="D417" s="4" t="str">
        <v>Kiran Enterprises</v>
      </c>
      <c r="E417" s="6">
        <v>49101.919999999998</v>
      </c>
      <c r="F417" s="6">
        <v>4419.17</v>
      </c>
      <c r="G417" s="6">
        <v>4419.17</v>
      </c>
      <c r="H417" s="6">
        <v>57940.26</v>
      </c>
      <c r="I417" s="19" t="str">
        <v>Tally</v>
      </c>
      <c r="J417" s="1" t="str">
        <f t="shared" si="18"/>
        <v>Unique</v>
      </c>
      <c r="K417" s="21" t="str">
        <f t="shared" si="19"/>
        <v/>
      </c>
      <c r="L417" s="4" t="str">
        <f>IF(COUNTIFS(A:A,A417,C:C,C417)=2,IF(K417="Mismatch","Value Mismatch","Matched"),IF(I417= "Tally","Missing in GST","Missing in Tally"))</f>
        <v>Missing in GST</v>
      </c>
      <c r="M417" s="6" t="str">
        <f t="shared" si="20"/>
        <v/>
      </c>
    </row>
    <row r="418" spans="1:13" x14ac:dyDescent="0.2">
      <c r="A418" s="1" t="str">
        <v>INV1416</v>
      </c>
      <c r="B418" s="2" t="str">
        <v>07-06-2024</v>
      </c>
      <c r="C418" s="1" t="str">
        <v>29PQRSX5678L1Z2</v>
      </c>
      <c r="D418" s="4" t="str">
        <v>Kiran Enterprises</v>
      </c>
      <c r="E418" s="6">
        <v>21130.73</v>
      </c>
      <c r="F418" s="6">
        <v>1901.77</v>
      </c>
      <c r="G418" s="6">
        <v>1901.77</v>
      </c>
      <c r="H418" s="6">
        <v>24934.27</v>
      </c>
      <c r="I418" s="19" t="str">
        <v>Tally</v>
      </c>
      <c r="J418" s="1" t="str">
        <f t="shared" si="18"/>
        <v>Unique</v>
      </c>
      <c r="K418" s="21" t="str">
        <f t="shared" si="19"/>
        <v/>
      </c>
      <c r="L418" s="4" t="str">
        <f>IF(COUNTIFS(A:A,A418,C:C,C418)=2,IF(K418="Mismatch","Value Mismatch","Matched"),IF(I418= "Tally","Missing in GST","Missing in Tally"))</f>
        <v>Missing in GST</v>
      </c>
      <c r="M418" s="6" t="str">
        <f t="shared" si="20"/>
        <v/>
      </c>
    </row>
    <row r="419" spans="1:13" x14ac:dyDescent="0.2">
      <c r="A419" s="1" t="str">
        <v>INV1417</v>
      </c>
      <c r="B419" s="2" t="str">
        <v>23-04-2024</v>
      </c>
      <c r="C419" s="1" t="str">
        <v>29PQRSX5678L1Z2</v>
      </c>
      <c r="D419" s="4" t="str">
        <v>Kiran Enterprises</v>
      </c>
      <c r="E419" s="6">
        <v>5352.28</v>
      </c>
      <c r="F419" s="6">
        <v>481.71</v>
      </c>
      <c r="G419" s="6">
        <v>481.71</v>
      </c>
      <c r="H419" s="6">
        <v>6315.7</v>
      </c>
      <c r="I419" s="19" t="str">
        <v>Tally</v>
      </c>
      <c r="J419" s="1" t="str">
        <f t="shared" si="18"/>
        <v>Unique</v>
      </c>
      <c r="K419" s="21" t="str">
        <f t="shared" si="19"/>
        <v/>
      </c>
      <c r="L419" s="4" t="str">
        <f>IF(COUNTIFS(A:A,A419,C:C,C419)=2,IF(K419="Mismatch","Value Mismatch","Matched"),IF(I419= "Tally","Missing in GST","Missing in Tally"))</f>
        <v>Missing in GST</v>
      </c>
      <c r="M419" s="6" t="str">
        <f t="shared" si="20"/>
        <v/>
      </c>
    </row>
    <row r="420" spans="1:13" x14ac:dyDescent="0.2">
      <c r="A420" s="1" t="str">
        <v>INV1418</v>
      </c>
      <c r="B420" s="2" t="str">
        <v>14-04-2024</v>
      </c>
      <c r="C420" s="1" t="str">
        <v>19ASDFG2468H1Z9</v>
      </c>
      <c r="D420" s="4" t="str">
        <v>Eastern Distributors</v>
      </c>
      <c r="E420" s="6">
        <v>46570.75</v>
      </c>
      <c r="F420" s="6">
        <v>4191.37</v>
      </c>
      <c r="G420" s="6">
        <v>4191.37</v>
      </c>
      <c r="H420" s="6">
        <v>54953.49</v>
      </c>
      <c r="I420" s="19" t="str">
        <v>Tally</v>
      </c>
      <c r="J420" s="1" t="str">
        <f t="shared" si="18"/>
        <v>Unique</v>
      </c>
      <c r="K420" s="21" t="str">
        <f t="shared" si="19"/>
        <v/>
      </c>
      <c r="L420" s="4" t="str">
        <f>IF(COUNTIFS(A:A,A420,C:C,C420)=2,IF(K420="Mismatch","Value Mismatch","Matched"),IF(I420= "Tally","Missing in GST","Missing in Tally"))</f>
        <v>Missing in GST</v>
      </c>
      <c r="M420" s="6" t="str">
        <f t="shared" si="20"/>
        <v/>
      </c>
    </row>
    <row r="421" spans="1:13" x14ac:dyDescent="0.2">
      <c r="A421" s="1" t="str">
        <v>INV1419</v>
      </c>
      <c r="B421" s="2" t="str">
        <v>30-06-2024</v>
      </c>
      <c r="C421" s="1" t="str">
        <v>27ABCDE1234F1Z5</v>
      </c>
      <c r="D421" s="4" t="str">
        <v>Sharma Traders</v>
      </c>
      <c r="E421" s="6">
        <v>28562.240000000002</v>
      </c>
      <c r="F421" s="6">
        <v>2570.6</v>
      </c>
      <c r="G421" s="6">
        <v>2570.6</v>
      </c>
      <c r="H421" s="6">
        <v>33703.440000000002</v>
      </c>
      <c r="I421" s="19" t="str">
        <v>Tally</v>
      </c>
      <c r="J421" s="1" t="str">
        <f t="shared" si="18"/>
        <v>Unique</v>
      </c>
      <c r="K421" s="21" t="str">
        <f t="shared" si="19"/>
        <v/>
      </c>
      <c r="L421" s="4" t="str">
        <f>IF(COUNTIFS(A:A,A421,C:C,C421)=2,IF(K421="Mismatch","Value Mismatch","Matched"),IF(I421= "Tally","Missing in GST","Missing in Tally"))</f>
        <v>Missing in GST</v>
      </c>
      <c r="M421" s="6" t="str">
        <f t="shared" si="20"/>
        <v/>
      </c>
    </row>
    <row r="422" spans="1:13" x14ac:dyDescent="0.2">
      <c r="A422" s="1" t="str">
        <v>INV1420</v>
      </c>
      <c r="B422" s="2" t="str">
        <v>21-04-2024</v>
      </c>
      <c r="C422" s="1" t="str">
        <v>24LMNOP4321K1Z7</v>
      </c>
      <c r="D422" s="4" t="str">
        <v>Patel Industries</v>
      </c>
      <c r="E422" s="6">
        <v>40470.879999999997</v>
      </c>
      <c r="F422" s="6">
        <v>3642.38</v>
      </c>
      <c r="G422" s="6">
        <v>3642.38</v>
      </c>
      <c r="H422" s="6">
        <v>47755.64</v>
      </c>
      <c r="I422" s="19" t="str">
        <v>Tally</v>
      </c>
      <c r="J422" s="1" t="str">
        <f t="shared" si="18"/>
        <v>Unique</v>
      </c>
      <c r="K422" s="21" t="str">
        <f t="shared" si="19"/>
        <v/>
      </c>
      <c r="L422" s="4" t="str">
        <f>IF(COUNTIFS(A:A,A422,C:C,C422)=2,IF(K422="Mismatch","Value Mismatch","Matched"),IF(I422= "Tally","Missing in GST","Missing in Tally"))</f>
        <v>Missing in GST</v>
      </c>
      <c r="M422" s="6" t="str">
        <f t="shared" si="20"/>
        <v/>
      </c>
    </row>
    <row r="423" spans="1:13" x14ac:dyDescent="0.2">
      <c r="A423" s="1" t="str">
        <v>INV1421</v>
      </c>
      <c r="B423" s="2" t="str">
        <v>02-05-2024</v>
      </c>
      <c r="C423" s="1" t="str">
        <v>27ABCDE1234F1Z5</v>
      </c>
      <c r="D423" s="4" t="str">
        <v>Sharma Traders</v>
      </c>
      <c r="E423" s="6">
        <v>13403.98</v>
      </c>
      <c r="F423" s="6">
        <v>1206.3599999999999</v>
      </c>
      <c r="G423" s="6">
        <v>1206.3599999999999</v>
      </c>
      <c r="H423" s="6">
        <v>15816.7</v>
      </c>
      <c r="I423" s="19" t="str">
        <v>Tally</v>
      </c>
      <c r="J423" s="1" t="str">
        <f t="shared" si="18"/>
        <v>Unique</v>
      </c>
      <c r="K423" s="21" t="str">
        <f t="shared" si="19"/>
        <v/>
      </c>
      <c r="L423" s="4" t="str">
        <f>IF(COUNTIFS(A:A,A423,C:C,C423)=2,IF(K423="Mismatch","Value Mismatch","Matched"),IF(I423= "Tally","Missing in GST","Missing in Tally"))</f>
        <v>Missing in GST</v>
      </c>
      <c r="M423" s="6" t="str">
        <f t="shared" si="20"/>
        <v/>
      </c>
    </row>
    <row r="424" spans="1:13" x14ac:dyDescent="0.2">
      <c r="A424" s="1" t="str">
        <v>INV1422</v>
      </c>
      <c r="B424" s="2" t="str">
        <v>21-04-2024</v>
      </c>
      <c r="C424" s="1" t="str">
        <v>27ABCDE1234F1Z5</v>
      </c>
      <c r="D424" s="4" t="str">
        <v>Sharma Traders</v>
      </c>
      <c r="E424" s="6">
        <v>10214.86</v>
      </c>
      <c r="F424" s="6">
        <v>919.34</v>
      </c>
      <c r="G424" s="6">
        <v>919.34</v>
      </c>
      <c r="H424" s="6">
        <v>12053.54</v>
      </c>
      <c r="I424" s="19" t="str">
        <v>Tally</v>
      </c>
      <c r="J424" s="1" t="str">
        <f t="shared" si="18"/>
        <v>Unique</v>
      </c>
      <c r="K424" s="21" t="str">
        <f t="shared" si="19"/>
        <v/>
      </c>
      <c r="L424" s="4" t="str">
        <f>IF(COUNTIFS(A:A,A424,C:C,C424)=2,IF(K424="Mismatch","Value Mismatch","Matched"),IF(I424= "Tally","Missing in GST","Missing in Tally"))</f>
        <v>Missing in GST</v>
      </c>
      <c r="M424" s="6" t="str">
        <f t="shared" si="20"/>
        <v/>
      </c>
    </row>
    <row r="425" spans="1:13" x14ac:dyDescent="0.2">
      <c r="A425" s="1" t="str">
        <v>INV1423</v>
      </c>
      <c r="B425" s="2" t="str">
        <v>22-04-2024</v>
      </c>
      <c r="C425" s="1" t="str">
        <v>24LMNOP4321K1Z7</v>
      </c>
      <c r="D425" s="4" t="str">
        <v>Patel Industries</v>
      </c>
      <c r="E425" s="6">
        <v>22390.25</v>
      </c>
      <c r="F425" s="6">
        <v>2015.12</v>
      </c>
      <c r="G425" s="6">
        <v>2015.12</v>
      </c>
      <c r="H425" s="6">
        <v>26420.49</v>
      </c>
      <c r="I425" s="19" t="str">
        <v>Tally</v>
      </c>
      <c r="J425" s="1" t="str">
        <f t="shared" si="18"/>
        <v>Unique</v>
      </c>
      <c r="K425" s="21" t="str">
        <f t="shared" si="19"/>
        <v>Matched</v>
      </c>
      <c r="L425" s="4" t="str">
        <f>IF(COUNTIFS(A:A,A425,C:C,C425)=2,IF(K425="Mismatch","Value Mismatch","Matched"),IF(I425= "Tally","Missing in GST","Missing in Tally"))</f>
        <v>Matched</v>
      </c>
      <c r="M425" s="6">
        <f t="shared" si="20"/>
        <v>0</v>
      </c>
    </row>
    <row r="426" spans="1:13" x14ac:dyDescent="0.2">
      <c r="A426" s="1" t="str">
        <v>INV1424</v>
      </c>
      <c r="B426" s="2" t="str">
        <v>17-04-2024</v>
      </c>
      <c r="C426" s="1" t="str">
        <v>24LMNOP4321K1Z7</v>
      </c>
      <c r="D426" s="4" t="str">
        <v>Patel Industries</v>
      </c>
      <c r="E426" s="6">
        <v>46407.839999999997</v>
      </c>
      <c r="F426" s="6">
        <v>4176.71</v>
      </c>
      <c r="G426" s="6">
        <v>4176.71</v>
      </c>
      <c r="H426" s="6">
        <v>54761.26</v>
      </c>
      <c r="I426" s="19" t="str">
        <v>Tally</v>
      </c>
      <c r="J426" s="1" t="str">
        <f t="shared" si="18"/>
        <v>Unique</v>
      </c>
      <c r="K426" s="21" t="str">
        <f t="shared" si="19"/>
        <v/>
      </c>
      <c r="L426" s="4" t="str">
        <f>IF(COUNTIFS(A:A,A426,C:C,C426)=2,IF(K426="Mismatch","Value Mismatch","Matched"),IF(I426= "Tally","Missing in GST","Missing in Tally"))</f>
        <v>Missing in GST</v>
      </c>
      <c r="M426" s="6" t="str">
        <f t="shared" si="20"/>
        <v/>
      </c>
    </row>
    <row r="427" spans="1:13" x14ac:dyDescent="0.2">
      <c r="A427" s="1" t="str">
        <v>INV1425</v>
      </c>
      <c r="B427" s="2" t="str">
        <v>09-06-2024</v>
      </c>
      <c r="C427" s="1" t="str">
        <v>19ASDFG2468H1Z9</v>
      </c>
      <c r="D427" s="4" t="str">
        <v>Eastern Distributors</v>
      </c>
      <c r="E427" s="6">
        <v>10532.54</v>
      </c>
      <c r="F427" s="6">
        <v>947.93</v>
      </c>
      <c r="G427" s="6">
        <v>947.93</v>
      </c>
      <c r="H427" s="6">
        <v>12428.4</v>
      </c>
      <c r="I427" s="19" t="str">
        <v>Tally</v>
      </c>
      <c r="J427" s="1" t="str">
        <f t="shared" si="18"/>
        <v>Unique</v>
      </c>
      <c r="K427" s="21" t="str">
        <f t="shared" si="19"/>
        <v/>
      </c>
      <c r="L427" s="4" t="str">
        <f>IF(COUNTIFS(A:A,A427,C:C,C427)=2,IF(K427="Mismatch","Value Mismatch","Matched"),IF(I427= "Tally","Missing in GST","Missing in Tally"))</f>
        <v>Missing in GST</v>
      </c>
      <c r="M427" s="6" t="str">
        <f t="shared" si="20"/>
        <v/>
      </c>
    </row>
    <row r="428" spans="1:13" x14ac:dyDescent="0.2">
      <c r="A428" s="1" t="str">
        <v>INV1426</v>
      </c>
      <c r="B428" s="2" t="str">
        <v>23-06-2024</v>
      </c>
      <c r="C428" s="1" t="str">
        <v>27ABCDE1234F1Z5</v>
      </c>
      <c r="D428" s="4" t="str">
        <v>Sharma Traders</v>
      </c>
      <c r="E428" s="6">
        <v>23382.57</v>
      </c>
      <c r="F428" s="6">
        <v>2104.4299999999998</v>
      </c>
      <c r="G428" s="6">
        <v>2104.4299999999998</v>
      </c>
      <c r="H428" s="6">
        <v>27591.43</v>
      </c>
      <c r="I428" s="19" t="str">
        <v>Tally</v>
      </c>
      <c r="J428" s="1" t="str">
        <f t="shared" si="18"/>
        <v>Unique</v>
      </c>
      <c r="K428" s="21" t="str">
        <f t="shared" si="19"/>
        <v>Matched</v>
      </c>
      <c r="L428" s="4" t="str">
        <f>IF(COUNTIFS(A:A,A428,C:C,C428)=2,IF(K428="Mismatch","Value Mismatch","Matched"),IF(I428= "Tally","Missing in GST","Missing in Tally"))</f>
        <v>Matched</v>
      </c>
      <c r="M428" s="6">
        <f t="shared" si="20"/>
        <v>0</v>
      </c>
    </row>
    <row r="429" spans="1:13" x14ac:dyDescent="0.2">
      <c r="A429" s="1" t="str">
        <v>INV1427</v>
      </c>
      <c r="B429" s="2" t="str">
        <v>04-06-2024</v>
      </c>
      <c r="C429" s="1" t="str">
        <v>29PQRSX5678L1Z2</v>
      </c>
      <c r="D429" s="4" t="str">
        <v>Kiran Enterprises</v>
      </c>
      <c r="E429" s="6">
        <v>13838.44</v>
      </c>
      <c r="F429" s="6">
        <v>1245.46</v>
      </c>
      <c r="G429" s="6">
        <v>1245.46</v>
      </c>
      <c r="H429" s="6">
        <v>16329.36</v>
      </c>
      <c r="I429" s="19" t="str">
        <v>Tally</v>
      </c>
      <c r="J429" s="1" t="str">
        <f t="shared" si="18"/>
        <v>Unique</v>
      </c>
      <c r="K429" s="21" t="str">
        <f t="shared" si="19"/>
        <v/>
      </c>
      <c r="L429" s="4" t="str">
        <f>IF(COUNTIFS(A:A,A429,C:C,C429)=2,IF(K429="Mismatch","Value Mismatch","Matched"),IF(I429= "Tally","Missing in GST","Missing in Tally"))</f>
        <v>Missing in GST</v>
      </c>
      <c r="M429" s="6" t="str">
        <f t="shared" si="20"/>
        <v/>
      </c>
    </row>
    <row r="430" spans="1:13" x14ac:dyDescent="0.2">
      <c r="A430" s="1" t="str">
        <v>INV1428</v>
      </c>
      <c r="B430" s="2" t="str">
        <v>21-04-2024</v>
      </c>
      <c r="C430" s="1" t="str">
        <v>24LMNOP4321K1Z7</v>
      </c>
      <c r="D430" s="4" t="str">
        <v>Patel Industries</v>
      </c>
      <c r="E430" s="6">
        <v>48050.95</v>
      </c>
      <c r="F430" s="6">
        <v>4324.59</v>
      </c>
      <c r="G430" s="6">
        <v>4324.59</v>
      </c>
      <c r="H430" s="6">
        <v>56700.13</v>
      </c>
      <c r="I430" s="19" t="str">
        <v>Tally</v>
      </c>
      <c r="J430" s="1" t="str">
        <f t="shared" si="18"/>
        <v>Unique</v>
      </c>
      <c r="K430" s="21" t="str">
        <f t="shared" si="19"/>
        <v/>
      </c>
      <c r="L430" s="4" t="str">
        <f>IF(COUNTIFS(A:A,A430,C:C,C430)=2,IF(K430="Mismatch","Value Mismatch","Matched"),IF(I430= "Tally","Missing in GST","Missing in Tally"))</f>
        <v>Missing in GST</v>
      </c>
      <c r="M430" s="6" t="str">
        <f t="shared" si="20"/>
        <v/>
      </c>
    </row>
    <row r="431" spans="1:13" x14ac:dyDescent="0.2">
      <c r="A431" s="1" t="str">
        <v>INV1429</v>
      </c>
      <c r="B431" s="2" t="str">
        <v>28-04-2024</v>
      </c>
      <c r="C431" s="1" t="str">
        <v>19ASDFG2468H1Z9</v>
      </c>
      <c r="D431" s="4" t="str">
        <v>Eastern Distributors</v>
      </c>
      <c r="E431" s="6">
        <v>18519.93</v>
      </c>
      <c r="F431" s="6">
        <v>1666.79</v>
      </c>
      <c r="G431" s="6">
        <v>1666.79</v>
      </c>
      <c r="H431" s="6">
        <v>21853.51</v>
      </c>
      <c r="I431" s="19" t="str">
        <v>Tally</v>
      </c>
      <c r="J431" s="1" t="str">
        <f t="shared" si="18"/>
        <v>Unique</v>
      </c>
      <c r="K431" s="21" t="str">
        <f t="shared" si="19"/>
        <v/>
      </c>
      <c r="L431" s="4" t="str">
        <f>IF(COUNTIFS(A:A,A431,C:C,C431)=2,IF(K431="Mismatch","Value Mismatch","Matched"),IF(I431= "Tally","Missing in GST","Missing in Tally"))</f>
        <v>Missing in GST</v>
      </c>
      <c r="M431" s="6" t="str">
        <f t="shared" si="20"/>
        <v/>
      </c>
    </row>
    <row r="432" spans="1:13" x14ac:dyDescent="0.2">
      <c r="A432" s="1" t="str">
        <v>INV1430</v>
      </c>
      <c r="B432" s="2" t="str">
        <v>15-06-2024</v>
      </c>
      <c r="C432" s="1" t="str">
        <v>19ASDFG2468H1Z9</v>
      </c>
      <c r="D432" s="4" t="str">
        <v>Eastern Distributors</v>
      </c>
      <c r="E432" s="6">
        <v>14834.1</v>
      </c>
      <c r="F432" s="6">
        <v>1335.07</v>
      </c>
      <c r="G432" s="6">
        <v>1335.07</v>
      </c>
      <c r="H432" s="6">
        <v>17504.240000000002</v>
      </c>
      <c r="I432" s="19" t="str">
        <v>Tally</v>
      </c>
      <c r="J432" s="1" t="str">
        <f t="shared" si="18"/>
        <v>Unique</v>
      </c>
      <c r="K432" s="21" t="str">
        <f t="shared" si="19"/>
        <v/>
      </c>
      <c r="L432" s="4" t="str">
        <f>IF(COUNTIFS(A:A,A432,C:C,C432)=2,IF(K432="Mismatch","Value Mismatch","Matched"),IF(I432= "Tally","Missing in GST","Missing in Tally"))</f>
        <v>Missing in GST</v>
      </c>
      <c r="M432" s="6" t="str">
        <f t="shared" si="20"/>
        <v/>
      </c>
    </row>
    <row r="433" spans="1:13" x14ac:dyDescent="0.2">
      <c r="A433" s="1" t="str">
        <v>INV1431</v>
      </c>
      <c r="B433" s="2" t="str">
        <v>23-06-2024</v>
      </c>
      <c r="C433" s="1" t="str">
        <v>27ABCDE1234F1Z5</v>
      </c>
      <c r="D433" s="4" t="str">
        <v>Sharma Traders</v>
      </c>
      <c r="E433" s="6">
        <v>39389.11</v>
      </c>
      <c r="F433" s="6">
        <v>3545.02</v>
      </c>
      <c r="G433" s="6">
        <v>3545.02</v>
      </c>
      <c r="H433" s="6">
        <v>46479.15</v>
      </c>
      <c r="I433" s="19" t="str">
        <v>Tally</v>
      </c>
      <c r="J433" s="1" t="str">
        <f t="shared" si="18"/>
        <v>Unique</v>
      </c>
      <c r="K433" s="21" t="str">
        <f t="shared" si="19"/>
        <v/>
      </c>
      <c r="L433" s="4" t="str">
        <f>IF(COUNTIFS(A:A,A433,C:C,C433)=2,IF(K433="Mismatch","Value Mismatch","Matched"),IF(I433= "Tally","Missing in GST","Missing in Tally"))</f>
        <v>Missing in GST</v>
      </c>
      <c r="M433" s="6" t="str">
        <f t="shared" si="20"/>
        <v/>
      </c>
    </row>
    <row r="434" spans="1:13" x14ac:dyDescent="0.2">
      <c r="A434" s="1" t="str">
        <v>INV1432</v>
      </c>
      <c r="B434" s="2" t="str">
        <v>31-05-2024</v>
      </c>
      <c r="C434" s="1" t="str">
        <v>24LMNOP4321K1Z7</v>
      </c>
      <c r="D434" s="4" t="str">
        <v>Patel Industries</v>
      </c>
      <c r="E434" s="6">
        <v>11658.84</v>
      </c>
      <c r="F434" s="6">
        <v>1049.3</v>
      </c>
      <c r="G434" s="6">
        <v>1049.3</v>
      </c>
      <c r="H434" s="6">
        <v>13757.44</v>
      </c>
      <c r="I434" s="19" t="str">
        <v>Tally</v>
      </c>
      <c r="J434" s="1" t="str">
        <f t="shared" si="18"/>
        <v>Unique</v>
      </c>
      <c r="K434" s="21" t="str">
        <f t="shared" si="19"/>
        <v/>
      </c>
      <c r="L434" s="4" t="str">
        <f>IF(COUNTIFS(A:A,A434,C:C,C434)=2,IF(K434="Mismatch","Value Mismatch","Matched"),IF(I434= "Tally","Missing in GST","Missing in Tally"))</f>
        <v>Missing in GST</v>
      </c>
      <c r="M434" s="6" t="str">
        <f t="shared" si="20"/>
        <v/>
      </c>
    </row>
    <row r="435" spans="1:13" x14ac:dyDescent="0.2">
      <c r="A435" s="1" t="str">
        <v>INV1433</v>
      </c>
      <c r="B435" s="2" t="str">
        <v>03-04-2024</v>
      </c>
      <c r="C435" s="1" t="str">
        <v>27ABCDE1234F1Z5</v>
      </c>
      <c r="D435" s="4" t="str">
        <v>Sharma Traders</v>
      </c>
      <c r="E435" s="6">
        <v>42640.63</v>
      </c>
      <c r="F435" s="6">
        <v>3837.66</v>
      </c>
      <c r="G435" s="6">
        <v>3837.66</v>
      </c>
      <c r="H435" s="6">
        <v>50315.95</v>
      </c>
      <c r="I435" s="19" t="str">
        <v>Tally</v>
      </c>
      <c r="J435" s="1" t="str">
        <f t="shared" si="18"/>
        <v>Unique</v>
      </c>
      <c r="K435" s="21" t="str">
        <f t="shared" si="19"/>
        <v/>
      </c>
      <c r="L435" s="4" t="str">
        <f>IF(COUNTIFS(A:A,A435,C:C,C435)=2,IF(K435="Mismatch","Value Mismatch","Matched"),IF(I435= "Tally","Missing in GST","Missing in Tally"))</f>
        <v>Missing in GST</v>
      </c>
      <c r="M435" s="6" t="str">
        <f t="shared" si="20"/>
        <v/>
      </c>
    </row>
    <row r="436" spans="1:13" x14ac:dyDescent="0.2">
      <c r="A436" s="1" t="str">
        <v>INV1434</v>
      </c>
      <c r="B436" s="2" t="str">
        <v>27-04-2024</v>
      </c>
      <c r="C436" s="1" t="str">
        <v>07ZXCVB9876M1Z3</v>
      </c>
      <c r="D436" s="4" t="str">
        <v>Gupta Supplies</v>
      </c>
      <c r="E436" s="6">
        <v>19734.009999999998</v>
      </c>
      <c r="F436" s="6">
        <v>1776.06</v>
      </c>
      <c r="G436" s="6">
        <v>1776.06</v>
      </c>
      <c r="H436" s="6">
        <v>23286.13</v>
      </c>
      <c r="I436" s="19" t="str">
        <v>Tally</v>
      </c>
      <c r="J436" s="1" t="str">
        <f t="shared" si="18"/>
        <v>Unique</v>
      </c>
      <c r="K436" s="21" t="str">
        <f t="shared" si="19"/>
        <v/>
      </c>
      <c r="L436" s="4" t="str">
        <f>IF(COUNTIFS(A:A,A436,C:C,C436)=2,IF(K436="Mismatch","Value Mismatch","Matched"),IF(I436= "Tally","Missing in GST","Missing in Tally"))</f>
        <v>Missing in GST</v>
      </c>
      <c r="M436" s="6" t="str">
        <f t="shared" si="20"/>
        <v/>
      </c>
    </row>
    <row r="437" spans="1:13" x14ac:dyDescent="0.2">
      <c r="A437" s="1" t="str">
        <v>INV1435</v>
      </c>
      <c r="B437" s="2" t="str">
        <v>18-04-2024</v>
      </c>
      <c r="C437" s="1" t="str">
        <v>29PQRSX5678L1Z2</v>
      </c>
      <c r="D437" s="4" t="str">
        <v>Kiran Enterprises</v>
      </c>
      <c r="E437" s="6">
        <v>23407.08</v>
      </c>
      <c r="F437" s="6">
        <v>2106.64</v>
      </c>
      <c r="G437" s="6">
        <v>2106.64</v>
      </c>
      <c r="H437" s="6">
        <v>27620.36</v>
      </c>
      <c r="I437" s="19" t="str">
        <v>Tally</v>
      </c>
      <c r="J437" s="1" t="str">
        <f t="shared" si="18"/>
        <v>Unique</v>
      </c>
      <c r="K437" s="21" t="str">
        <f t="shared" si="19"/>
        <v/>
      </c>
      <c r="L437" s="4" t="str">
        <f>IF(COUNTIFS(A:A,A437,C:C,C437)=2,IF(K437="Mismatch","Value Mismatch","Matched"),IF(I437= "Tally","Missing in GST","Missing in Tally"))</f>
        <v>Missing in GST</v>
      </c>
      <c r="M437" s="6" t="str">
        <f t="shared" si="20"/>
        <v/>
      </c>
    </row>
    <row r="438" spans="1:13" x14ac:dyDescent="0.2">
      <c r="A438" s="1" t="str">
        <v>INV1436</v>
      </c>
      <c r="B438" s="2" t="str">
        <v>24-04-2024</v>
      </c>
      <c r="C438" s="1" t="str">
        <v>07ZXCVB9876M1Z3</v>
      </c>
      <c r="D438" s="4" t="str">
        <v>Gupta Supplies</v>
      </c>
      <c r="E438" s="6">
        <v>4859.4799999999996</v>
      </c>
      <c r="F438" s="6">
        <v>437.35</v>
      </c>
      <c r="G438" s="6">
        <v>437.35</v>
      </c>
      <c r="H438" s="6">
        <v>5734.18</v>
      </c>
      <c r="I438" s="19" t="str">
        <v>Tally</v>
      </c>
      <c r="J438" s="1" t="str">
        <f t="shared" si="18"/>
        <v>Unique</v>
      </c>
      <c r="K438" s="21" t="str">
        <f t="shared" si="19"/>
        <v/>
      </c>
      <c r="L438" s="4" t="str">
        <f>IF(COUNTIFS(A:A,A438,C:C,C438)=2,IF(K438="Mismatch","Value Mismatch","Matched"),IF(I438= "Tally","Missing in GST","Missing in Tally"))</f>
        <v>Missing in GST</v>
      </c>
      <c r="M438" s="6" t="str">
        <f t="shared" si="20"/>
        <v/>
      </c>
    </row>
    <row r="439" spans="1:13" x14ac:dyDescent="0.2">
      <c r="A439" s="1" t="str">
        <v>INV1437</v>
      </c>
      <c r="B439" s="2" t="str">
        <v>05-06-2024</v>
      </c>
      <c r="C439" s="1" t="str">
        <v>07ZXCVB9876M1Z3</v>
      </c>
      <c r="D439" s="4" t="str">
        <v>Gupta Supplies</v>
      </c>
      <c r="E439" s="6">
        <v>44607.31</v>
      </c>
      <c r="F439" s="6">
        <v>4014.66</v>
      </c>
      <c r="G439" s="6">
        <v>4014.66</v>
      </c>
      <c r="H439" s="6">
        <v>52636.63</v>
      </c>
      <c r="I439" s="19" t="str">
        <v>Tally</v>
      </c>
      <c r="J439" s="1" t="str">
        <f t="shared" si="18"/>
        <v>Unique</v>
      </c>
      <c r="K439" s="21" t="str">
        <f t="shared" si="19"/>
        <v>Matched</v>
      </c>
      <c r="L439" s="4" t="str">
        <f>IF(COUNTIFS(A:A,A439,C:C,C439)=2,IF(K439="Mismatch","Value Mismatch","Matched"),IF(I439= "Tally","Missing in GST","Missing in Tally"))</f>
        <v>Matched</v>
      </c>
      <c r="M439" s="6">
        <f t="shared" si="20"/>
        <v>0</v>
      </c>
    </row>
    <row r="440" spans="1:13" x14ac:dyDescent="0.2">
      <c r="A440" s="1" t="str">
        <v>INV1438</v>
      </c>
      <c r="B440" s="2" t="str">
        <v>21-06-2024</v>
      </c>
      <c r="C440" s="1" t="str">
        <v>29PQRSX5678L1Z2</v>
      </c>
      <c r="D440" s="4" t="str">
        <v>Kiran Enterprises</v>
      </c>
      <c r="E440" s="6">
        <v>9816.84</v>
      </c>
      <c r="F440" s="6">
        <v>883.52</v>
      </c>
      <c r="G440" s="6">
        <v>883.52</v>
      </c>
      <c r="H440" s="6">
        <v>11583.88</v>
      </c>
      <c r="I440" s="19" t="str">
        <v>Tally</v>
      </c>
      <c r="J440" s="1" t="str">
        <f t="shared" si="18"/>
        <v>Unique</v>
      </c>
      <c r="K440" s="21" t="str">
        <f t="shared" si="19"/>
        <v/>
      </c>
      <c r="L440" s="4" t="str">
        <f>IF(COUNTIFS(A:A,A440,C:C,C440)=2,IF(K440="Mismatch","Value Mismatch","Matched"),IF(I440= "Tally","Missing in GST","Missing in Tally"))</f>
        <v>Missing in GST</v>
      </c>
      <c r="M440" s="6" t="str">
        <f t="shared" si="20"/>
        <v/>
      </c>
    </row>
    <row r="441" spans="1:13" x14ac:dyDescent="0.2">
      <c r="A441" s="1" t="str">
        <v>INV1439</v>
      </c>
      <c r="B441" s="2" t="str">
        <v>15-06-2024</v>
      </c>
      <c r="C441" s="1" t="str">
        <v>24LMNOP4321K1Z7</v>
      </c>
      <c r="D441" s="4" t="str">
        <v>Patel Industries</v>
      </c>
      <c r="E441" s="6">
        <v>29129.439999999999</v>
      </c>
      <c r="F441" s="6">
        <v>2621.65</v>
      </c>
      <c r="G441" s="6">
        <v>2621.65</v>
      </c>
      <c r="H441" s="6">
        <v>34372.74</v>
      </c>
      <c r="I441" s="19" t="str">
        <v>Tally</v>
      </c>
      <c r="J441" s="1" t="str">
        <f t="shared" si="18"/>
        <v>Unique</v>
      </c>
      <c r="K441" s="21" t="str">
        <f t="shared" si="19"/>
        <v/>
      </c>
      <c r="L441" s="4" t="str">
        <f>IF(COUNTIFS(A:A,A441,C:C,C441)=2,IF(K441="Mismatch","Value Mismatch","Matched"),IF(I441= "Tally","Missing in GST","Missing in Tally"))</f>
        <v>Missing in GST</v>
      </c>
      <c r="M441" s="6" t="str">
        <f t="shared" si="20"/>
        <v/>
      </c>
    </row>
    <row r="442" spans="1:13" x14ac:dyDescent="0.2">
      <c r="A442" s="1" t="str">
        <v>INV1440</v>
      </c>
      <c r="B442" s="2" t="str">
        <v>21-05-2024</v>
      </c>
      <c r="C442" s="1" t="str">
        <v>29PQRSX5678L1Z2</v>
      </c>
      <c r="D442" s="4" t="str">
        <v>Kiran Enterprises</v>
      </c>
      <c r="E442" s="6">
        <v>27021.93</v>
      </c>
      <c r="F442" s="6">
        <v>2431.9699999999998</v>
      </c>
      <c r="G442" s="6">
        <v>2431.9699999999998</v>
      </c>
      <c r="H442" s="6">
        <v>31885.87</v>
      </c>
      <c r="I442" s="19" t="str">
        <v>Tally</v>
      </c>
      <c r="J442" s="1" t="str">
        <f t="shared" si="18"/>
        <v>Unique</v>
      </c>
      <c r="K442" s="21" t="str">
        <f t="shared" si="19"/>
        <v/>
      </c>
      <c r="L442" s="4" t="str">
        <f>IF(COUNTIFS(A:A,A442,C:C,C442)=2,IF(K442="Mismatch","Value Mismatch","Matched"),IF(I442= "Tally","Missing in GST","Missing in Tally"))</f>
        <v>Missing in GST</v>
      </c>
      <c r="M442" s="6" t="str">
        <f t="shared" si="20"/>
        <v/>
      </c>
    </row>
    <row r="443" spans="1:13" x14ac:dyDescent="0.2">
      <c r="A443" s="1" t="str">
        <v>INV1441</v>
      </c>
      <c r="B443" s="2" t="str">
        <v>07-05-2024</v>
      </c>
      <c r="C443" s="1" t="str">
        <v>27ABCDE1234F1Z5</v>
      </c>
      <c r="D443" s="4" t="str">
        <v>Sharma Traders</v>
      </c>
      <c r="E443" s="6">
        <v>10755.73</v>
      </c>
      <c r="F443" s="6">
        <v>968.02</v>
      </c>
      <c r="G443" s="6">
        <v>968.02</v>
      </c>
      <c r="H443" s="6">
        <v>12691.77</v>
      </c>
      <c r="I443" s="19" t="str">
        <v>Tally</v>
      </c>
      <c r="J443" s="1" t="str">
        <f t="shared" si="18"/>
        <v>Unique</v>
      </c>
      <c r="K443" s="21" t="str">
        <f t="shared" si="19"/>
        <v/>
      </c>
      <c r="L443" s="4" t="str">
        <f>IF(COUNTIFS(A:A,A443,C:C,C443)=2,IF(K443="Mismatch","Value Mismatch","Matched"),IF(I443= "Tally","Missing in GST","Missing in Tally"))</f>
        <v>Missing in GST</v>
      </c>
      <c r="M443" s="6" t="str">
        <f t="shared" si="20"/>
        <v/>
      </c>
    </row>
    <row r="444" spans="1:13" x14ac:dyDescent="0.2">
      <c r="A444" s="1" t="str">
        <v>INV1442</v>
      </c>
      <c r="B444" s="2" t="str">
        <v>12-06-2024</v>
      </c>
      <c r="C444" s="1" t="str">
        <v>19ASDFG2468H1Z9</v>
      </c>
      <c r="D444" s="4" t="str">
        <v>Eastern Distributors</v>
      </c>
      <c r="E444" s="6">
        <v>40128.949999999997</v>
      </c>
      <c r="F444" s="6">
        <v>3611.61</v>
      </c>
      <c r="G444" s="6">
        <v>3611.61</v>
      </c>
      <c r="H444" s="6">
        <v>47352.17</v>
      </c>
      <c r="I444" s="19" t="str">
        <v>Tally</v>
      </c>
      <c r="J444" s="1" t="str">
        <f t="shared" si="18"/>
        <v>Unique</v>
      </c>
      <c r="K444" s="21" t="str">
        <f t="shared" si="19"/>
        <v/>
      </c>
      <c r="L444" s="4" t="str">
        <f>IF(COUNTIFS(A:A,A444,C:C,C444)=2,IF(K444="Mismatch","Value Mismatch","Matched"),IF(I444= "Tally","Missing in GST","Missing in Tally"))</f>
        <v>Missing in GST</v>
      </c>
      <c r="M444" s="6" t="str">
        <f t="shared" si="20"/>
        <v/>
      </c>
    </row>
    <row r="445" spans="1:13" x14ac:dyDescent="0.2">
      <c r="A445" s="1" t="str">
        <v>INV1443</v>
      </c>
      <c r="B445" s="2" t="str">
        <v>07-06-2024</v>
      </c>
      <c r="C445" s="1" t="str">
        <v>24LMNOP4321K1Z7</v>
      </c>
      <c r="D445" s="4" t="str">
        <v>Patel Industries</v>
      </c>
      <c r="E445" s="6">
        <v>4123.2</v>
      </c>
      <c r="F445" s="6">
        <v>371.09</v>
      </c>
      <c r="G445" s="6">
        <v>371.09</v>
      </c>
      <c r="H445" s="6">
        <v>4865.38</v>
      </c>
      <c r="I445" s="19" t="str">
        <v>Tally</v>
      </c>
      <c r="J445" s="1" t="str">
        <f t="shared" si="18"/>
        <v>Unique</v>
      </c>
      <c r="K445" s="21" t="str">
        <f t="shared" si="19"/>
        <v/>
      </c>
      <c r="L445" s="4" t="str">
        <f>IF(COUNTIFS(A:A,A445,C:C,C445)=2,IF(K445="Mismatch","Value Mismatch","Matched"),IF(I445= "Tally","Missing in GST","Missing in Tally"))</f>
        <v>Missing in GST</v>
      </c>
      <c r="M445" s="6" t="str">
        <f t="shared" si="20"/>
        <v/>
      </c>
    </row>
    <row r="446" spans="1:13" x14ac:dyDescent="0.2">
      <c r="A446" s="1" t="str">
        <v>INV1444</v>
      </c>
      <c r="B446" s="2" t="str">
        <v>05-06-2024</v>
      </c>
      <c r="C446" s="1" t="str">
        <v>27ABCDE1234F1Z5</v>
      </c>
      <c r="D446" s="4" t="str">
        <v>Sharma Traders</v>
      </c>
      <c r="E446" s="6">
        <v>36964.11</v>
      </c>
      <c r="F446" s="6">
        <v>3326.77</v>
      </c>
      <c r="G446" s="6">
        <v>3326.77</v>
      </c>
      <c r="H446" s="6">
        <v>43617.65</v>
      </c>
      <c r="I446" s="19" t="str">
        <v>Tally</v>
      </c>
      <c r="J446" s="1" t="str">
        <f t="shared" si="18"/>
        <v>Unique</v>
      </c>
      <c r="K446" s="21" t="str">
        <f t="shared" si="19"/>
        <v/>
      </c>
      <c r="L446" s="4" t="str">
        <f>IF(COUNTIFS(A:A,A446,C:C,C446)=2,IF(K446="Mismatch","Value Mismatch","Matched"),IF(I446= "Tally","Missing in GST","Missing in Tally"))</f>
        <v>Missing in GST</v>
      </c>
      <c r="M446" s="6" t="str">
        <f t="shared" si="20"/>
        <v/>
      </c>
    </row>
    <row r="447" spans="1:13" x14ac:dyDescent="0.2">
      <c r="A447" s="1" t="str">
        <v>INV1445</v>
      </c>
      <c r="B447" s="2" t="str">
        <v>29-06-2024</v>
      </c>
      <c r="C447" s="1" t="str">
        <v>19ASDFG2468H1Z9</v>
      </c>
      <c r="D447" s="4" t="str">
        <v>Eastern Distributors</v>
      </c>
      <c r="E447" s="6">
        <v>44890.25</v>
      </c>
      <c r="F447" s="6">
        <v>4040.12</v>
      </c>
      <c r="G447" s="6">
        <v>4040.12</v>
      </c>
      <c r="H447" s="6">
        <v>52970.49</v>
      </c>
      <c r="I447" s="19" t="str">
        <v>Tally</v>
      </c>
      <c r="J447" s="1" t="str">
        <f t="shared" si="18"/>
        <v>Unique</v>
      </c>
      <c r="K447" s="21" t="str">
        <f t="shared" si="19"/>
        <v/>
      </c>
      <c r="L447" s="4" t="str">
        <f>IF(COUNTIFS(A:A,A447,C:C,C447)=2,IF(K447="Mismatch","Value Mismatch","Matched"),IF(I447= "Tally","Missing in GST","Missing in Tally"))</f>
        <v>Missing in GST</v>
      </c>
      <c r="M447" s="6" t="str">
        <f t="shared" si="20"/>
        <v/>
      </c>
    </row>
    <row r="448" spans="1:13" x14ac:dyDescent="0.2">
      <c r="A448" s="1" t="str">
        <v>INV1446</v>
      </c>
      <c r="B448" s="2" t="str">
        <v>05-05-2024</v>
      </c>
      <c r="C448" s="1" t="str">
        <v>07ZXCVB9876M1Z3</v>
      </c>
      <c r="D448" s="4" t="str">
        <v>Gupta Supplies</v>
      </c>
      <c r="E448" s="6">
        <v>41719.67</v>
      </c>
      <c r="F448" s="6">
        <v>3754.77</v>
      </c>
      <c r="G448" s="6">
        <v>3754.77</v>
      </c>
      <c r="H448" s="6">
        <v>49229.21</v>
      </c>
      <c r="I448" s="19" t="str">
        <v>Tally</v>
      </c>
      <c r="J448" s="1" t="str">
        <f t="shared" si="18"/>
        <v>Unique</v>
      </c>
      <c r="K448" s="21" t="str">
        <f t="shared" si="19"/>
        <v/>
      </c>
      <c r="L448" s="4" t="str">
        <f>IF(COUNTIFS(A:A,A448,C:C,C448)=2,IF(K448="Mismatch","Value Mismatch","Matched"),IF(I448= "Tally","Missing in GST","Missing in Tally"))</f>
        <v>Missing in GST</v>
      </c>
      <c r="M448" s="6" t="str">
        <f t="shared" si="20"/>
        <v/>
      </c>
    </row>
    <row r="449" spans="1:13" x14ac:dyDescent="0.2">
      <c r="A449" s="1" t="str">
        <v>INV1447</v>
      </c>
      <c r="B449" s="2" t="str">
        <v>30-04-2024</v>
      </c>
      <c r="C449" s="1" t="str">
        <v>27ABCDE1234F1Z5</v>
      </c>
      <c r="D449" s="4" t="str">
        <v>Sharma Traders</v>
      </c>
      <c r="E449" s="6">
        <v>34294.400000000001</v>
      </c>
      <c r="F449" s="6">
        <v>3086.5</v>
      </c>
      <c r="G449" s="6">
        <v>3086.5</v>
      </c>
      <c r="H449" s="6">
        <v>40467.4</v>
      </c>
      <c r="I449" s="19" t="str">
        <v>Tally</v>
      </c>
      <c r="J449" s="1" t="str">
        <f t="shared" si="18"/>
        <v>Unique</v>
      </c>
      <c r="K449" s="21" t="str">
        <f t="shared" si="19"/>
        <v/>
      </c>
      <c r="L449" s="4" t="str">
        <f>IF(COUNTIFS(A:A,A449,C:C,C449)=2,IF(K449="Mismatch","Value Mismatch","Matched"),IF(I449= "Tally","Missing in GST","Missing in Tally"))</f>
        <v>Missing in GST</v>
      </c>
      <c r="M449" s="6" t="str">
        <f t="shared" si="20"/>
        <v/>
      </c>
    </row>
    <row r="450" spans="1:13" x14ac:dyDescent="0.2">
      <c r="A450" s="1" t="str">
        <v>INV1448</v>
      </c>
      <c r="B450" s="2" t="str">
        <v>11-04-2024</v>
      </c>
      <c r="C450" s="1" t="str">
        <v>07ZXCVB9876M1Z3</v>
      </c>
      <c r="D450" s="4" t="str">
        <v>Gupta Supplies</v>
      </c>
      <c r="E450" s="6">
        <v>45101.73</v>
      </c>
      <c r="F450" s="6">
        <v>4059.16</v>
      </c>
      <c r="G450" s="6">
        <v>4059.16</v>
      </c>
      <c r="H450" s="6">
        <v>53220.05</v>
      </c>
      <c r="I450" s="19" t="str">
        <v>Tally</v>
      </c>
      <c r="J450" s="1" t="str">
        <f t="shared" si="18"/>
        <v>Unique</v>
      </c>
      <c r="K450" s="21" t="str">
        <f t="shared" si="19"/>
        <v/>
      </c>
      <c r="L450" s="4" t="str">
        <f>IF(COUNTIFS(A:A,A450,C:C,C450)=2,IF(K450="Mismatch","Value Mismatch","Matched"),IF(I450= "Tally","Missing in GST","Missing in Tally"))</f>
        <v>Missing in GST</v>
      </c>
      <c r="M450" s="6" t="str">
        <f t="shared" si="20"/>
        <v/>
      </c>
    </row>
    <row r="451" spans="1:13" x14ac:dyDescent="0.2">
      <c r="A451" s="1" t="str">
        <v>INV1449</v>
      </c>
      <c r="B451" s="2" t="str">
        <v>10-04-2024</v>
      </c>
      <c r="C451" s="1" t="str">
        <v>24LMNOP4321K1Z7</v>
      </c>
      <c r="D451" s="4" t="str">
        <v>Patel Industries</v>
      </c>
      <c r="E451" s="6">
        <v>25766.959999999999</v>
      </c>
      <c r="F451" s="6">
        <v>2319.0300000000002</v>
      </c>
      <c r="G451" s="6">
        <v>2319.0300000000002</v>
      </c>
      <c r="H451" s="6">
        <v>30405.02</v>
      </c>
      <c r="I451" s="19" t="str">
        <v>Tally</v>
      </c>
      <c r="J451" s="1" t="str">
        <f t="shared" ref="J451:J514" si="21">IF(COUNTIFS(A:A,A451,D:D,D451,I:I,I451)&gt;1,"Duplicate","Unique")</f>
        <v>Unique</v>
      </c>
      <c r="K451" s="21" t="str">
        <f t="shared" ref="K451:K514" si="22">IF(COUNTIFS(A:A,A451,C:C,C451)=2,IF(SUMIFS(E:E,A:A,A451,C:C,C451)&lt;&gt;E451*2,"Mismatch","Matched"),"")</f>
        <v/>
      </c>
      <c r="L451" s="4" t="str">
        <f>IF(COUNTIFS(A:A,A451,C:C,C451)=2,IF(K451="Mismatch","Value Mismatch","Matched"),IF(I451= "Tally","Missing in GST","Missing in Tally"))</f>
        <v>Missing in GST</v>
      </c>
      <c r="M451" s="6" t="str">
        <f t="shared" ref="M451:M514" si="23">IF(COUNTIFS(A:A,A451,C:C,C451)=2,SUMIFS(E:E,A:A,A451,C:C,C451)-E451*2,"")</f>
        <v/>
      </c>
    </row>
    <row r="452" spans="1:13" x14ac:dyDescent="0.2">
      <c r="A452" s="1" t="str">
        <v>INV1450</v>
      </c>
      <c r="B452" s="2" t="str">
        <v>30-06-2024</v>
      </c>
      <c r="C452" s="1" t="str">
        <v>29PQRSX5678L1Z2</v>
      </c>
      <c r="D452" s="4" t="str">
        <v>Kiran Enterprises</v>
      </c>
      <c r="E452" s="6">
        <v>16075.83</v>
      </c>
      <c r="F452" s="6">
        <v>1446.82</v>
      </c>
      <c r="G452" s="6">
        <v>1446.82</v>
      </c>
      <c r="H452" s="6">
        <v>18969.47</v>
      </c>
      <c r="I452" s="19" t="str">
        <v>Tally</v>
      </c>
      <c r="J452" s="1" t="str">
        <f t="shared" si="21"/>
        <v>Unique</v>
      </c>
      <c r="K452" s="21" t="str">
        <f t="shared" si="22"/>
        <v/>
      </c>
      <c r="L452" s="4" t="str">
        <f>IF(COUNTIFS(A:A,A452,C:C,C452)=2,IF(K452="Mismatch","Value Mismatch","Matched"),IF(I452= "Tally","Missing in GST","Missing in Tally"))</f>
        <v>Missing in GST</v>
      </c>
      <c r="M452" s="6" t="str">
        <f t="shared" si="23"/>
        <v/>
      </c>
    </row>
    <row r="453" spans="1:13" x14ac:dyDescent="0.2">
      <c r="A453" s="1" t="str">
        <v>INV1451</v>
      </c>
      <c r="B453" s="2" t="str">
        <v>02-06-2024</v>
      </c>
      <c r="C453" s="1" t="str">
        <v>29PQRSX5678L1Z2</v>
      </c>
      <c r="D453" s="4" t="str">
        <v>Kiran Enterprises</v>
      </c>
      <c r="E453" s="6">
        <v>40483.269999999997</v>
      </c>
      <c r="F453" s="6">
        <v>3643.49</v>
      </c>
      <c r="G453" s="6">
        <v>3643.49</v>
      </c>
      <c r="H453" s="6">
        <v>47770.25</v>
      </c>
      <c r="I453" s="19" t="str">
        <v>Tally</v>
      </c>
      <c r="J453" s="1" t="str">
        <f t="shared" si="21"/>
        <v>Unique</v>
      </c>
      <c r="K453" s="21" t="str">
        <f t="shared" si="22"/>
        <v/>
      </c>
      <c r="L453" s="4" t="str">
        <f>IF(COUNTIFS(A:A,A453,C:C,C453)=2,IF(K453="Mismatch","Value Mismatch","Matched"),IF(I453= "Tally","Missing in GST","Missing in Tally"))</f>
        <v>Missing in GST</v>
      </c>
      <c r="M453" s="6" t="str">
        <f t="shared" si="23"/>
        <v/>
      </c>
    </row>
    <row r="454" spans="1:13" x14ac:dyDescent="0.2">
      <c r="A454" s="1" t="str">
        <v>INV1452</v>
      </c>
      <c r="B454" s="2" t="str">
        <v>23-04-2024</v>
      </c>
      <c r="C454" s="1" t="str">
        <v>27ABCDE1234F1Z5</v>
      </c>
      <c r="D454" s="4" t="str">
        <v>Sharma Traders</v>
      </c>
      <c r="E454" s="6">
        <v>13788.1</v>
      </c>
      <c r="F454" s="6">
        <v>1240.93</v>
      </c>
      <c r="G454" s="6">
        <v>1240.93</v>
      </c>
      <c r="H454" s="6">
        <v>16269.96</v>
      </c>
      <c r="I454" s="19" t="str">
        <v>Tally</v>
      </c>
      <c r="J454" s="1" t="str">
        <f t="shared" si="21"/>
        <v>Unique</v>
      </c>
      <c r="K454" s="21" t="str">
        <f t="shared" si="22"/>
        <v/>
      </c>
      <c r="L454" s="4" t="str">
        <f>IF(COUNTIFS(A:A,A454,C:C,C454)=2,IF(K454="Mismatch","Value Mismatch","Matched"),IF(I454= "Tally","Missing in GST","Missing in Tally"))</f>
        <v>Missing in GST</v>
      </c>
      <c r="M454" s="6" t="str">
        <f t="shared" si="23"/>
        <v/>
      </c>
    </row>
    <row r="455" spans="1:13" x14ac:dyDescent="0.2">
      <c r="A455" s="1" t="str">
        <v>INV1453</v>
      </c>
      <c r="B455" s="2" t="str">
        <v>07-05-2024</v>
      </c>
      <c r="C455" s="1" t="str">
        <v>27ABCDE1234F1Z5</v>
      </c>
      <c r="D455" s="4" t="str">
        <v>Sharma Traders</v>
      </c>
      <c r="E455" s="6">
        <v>6996.82</v>
      </c>
      <c r="F455" s="6">
        <v>629.71</v>
      </c>
      <c r="G455" s="6">
        <v>629.71</v>
      </c>
      <c r="H455" s="6">
        <v>8256.24</v>
      </c>
      <c r="I455" s="19" t="str">
        <v>Tally</v>
      </c>
      <c r="J455" s="1" t="str">
        <f t="shared" si="21"/>
        <v>Unique</v>
      </c>
      <c r="K455" s="21" t="str">
        <f t="shared" si="22"/>
        <v/>
      </c>
      <c r="L455" s="4" t="str">
        <f>IF(COUNTIFS(A:A,A455,C:C,C455)=2,IF(K455="Mismatch","Value Mismatch","Matched"),IF(I455= "Tally","Missing in GST","Missing in Tally"))</f>
        <v>Missing in GST</v>
      </c>
      <c r="M455" s="6" t="str">
        <f t="shared" si="23"/>
        <v/>
      </c>
    </row>
    <row r="456" spans="1:13" x14ac:dyDescent="0.2">
      <c r="A456" s="1" t="str">
        <v>INV1454</v>
      </c>
      <c r="B456" s="2" t="str">
        <v>05-04-2024</v>
      </c>
      <c r="C456" s="1" t="str">
        <v>29PQRSX5678L1Z2</v>
      </c>
      <c r="D456" s="4" t="str">
        <v>Kiran Enterprises</v>
      </c>
      <c r="E456" s="6">
        <v>11114.14</v>
      </c>
      <c r="F456" s="6">
        <v>1000.27</v>
      </c>
      <c r="G456" s="6">
        <v>1000.27</v>
      </c>
      <c r="H456" s="6">
        <v>13114.68</v>
      </c>
      <c r="I456" s="19" t="str">
        <v>Tally</v>
      </c>
      <c r="J456" s="1" t="str">
        <f t="shared" si="21"/>
        <v>Unique</v>
      </c>
      <c r="K456" s="21" t="str">
        <f t="shared" si="22"/>
        <v/>
      </c>
      <c r="L456" s="4" t="str">
        <f>IF(COUNTIFS(A:A,A456,C:C,C456)=2,IF(K456="Mismatch","Value Mismatch","Matched"),IF(I456= "Tally","Missing in GST","Missing in Tally"))</f>
        <v>Missing in GST</v>
      </c>
      <c r="M456" s="6" t="str">
        <f t="shared" si="23"/>
        <v/>
      </c>
    </row>
    <row r="457" spans="1:13" x14ac:dyDescent="0.2">
      <c r="A457" s="1" t="str">
        <v>INV1455</v>
      </c>
      <c r="B457" s="2" t="str">
        <v>09-04-2024</v>
      </c>
      <c r="C457" s="1" t="str">
        <v>19ASDFG2468H1Z9</v>
      </c>
      <c r="D457" s="4" t="str">
        <v>Eastern Distributors</v>
      </c>
      <c r="E457" s="6">
        <v>17305.12</v>
      </c>
      <c r="F457" s="6">
        <v>1557.46</v>
      </c>
      <c r="G457" s="6">
        <v>1557.46</v>
      </c>
      <c r="H457" s="6">
        <v>20420.04</v>
      </c>
      <c r="I457" s="19" t="str">
        <v>Tally</v>
      </c>
      <c r="J457" s="1" t="str">
        <f t="shared" si="21"/>
        <v>Unique</v>
      </c>
      <c r="K457" s="21" t="str">
        <f t="shared" si="22"/>
        <v/>
      </c>
      <c r="L457" s="4" t="str">
        <f>IF(COUNTIFS(A:A,A457,C:C,C457)=2,IF(K457="Mismatch","Value Mismatch","Matched"),IF(I457= "Tally","Missing in GST","Missing in Tally"))</f>
        <v>Missing in GST</v>
      </c>
      <c r="M457" s="6" t="str">
        <f t="shared" si="23"/>
        <v/>
      </c>
    </row>
    <row r="458" spans="1:13" x14ac:dyDescent="0.2">
      <c r="A458" s="1" t="str">
        <v>INV1456</v>
      </c>
      <c r="B458" s="2" t="str">
        <v>28-05-2024</v>
      </c>
      <c r="C458" s="1" t="str">
        <v>24LMNOP4321K1Z7</v>
      </c>
      <c r="D458" s="4" t="str">
        <v>Patel Industries</v>
      </c>
      <c r="E458" s="6">
        <v>14322.3</v>
      </c>
      <c r="F458" s="6">
        <v>1289.01</v>
      </c>
      <c r="G458" s="6">
        <v>1289.01</v>
      </c>
      <c r="H458" s="6">
        <v>16900.32</v>
      </c>
      <c r="I458" s="19" t="str">
        <v>Tally</v>
      </c>
      <c r="J458" s="1" t="str">
        <f t="shared" si="21"/>
        <v>Unique</v>
      </c>
      <c r="K458" s="21" t="str">
        <f t="shared" si="22"/>
        <v/>
      </c>
      <c r="L458" s="4" t="str">
        <f>IF(COUNTIFS(A:A,A458,C:C,C458)=2,IF(K458="Mismatch","Value Mismatch","Matched"),IF(I458= "Tally","Missing in GST","Missing in Tally"))</f>
        <v>Missing in GST</v>
      </c>
      <c r="M458" s="6" t="str">
        <f t="shared" si="23"/>
        <v/>
      </c>
    </row>
    <row r="459" spans="1:13" x14ac:dyDescent="0.2">
      <c r="A459" s="1" t="str">
        <v>INV1457</v>
      </c>
      <c r="B459" s="2" t="str">
        <v>16-05-2024</v>
      </c>
      <c r="C459" s="1" t="str">
        <v>27ABCDE1234F1Z5</v>
      </c>
      <c r="D459" s="4" t="str">
        <v>Sharma Traders</v>
      </c>
      <c r="E459" s="6">
        <v>17861.189999999999</v>
      </c>
      <c r="F459" s="6">
        <v>1607.51</v>
      </c>
      <c r="G459" s="6">
        <v>1607.51</v>
      </c>
      <c r="H459" s="6">
        <v>21076.21</v>
      </c>
      <c r="I459" s="19" t="str">
        <v>Tally</v>
      </c>
      <c r="J459" s="1" t="str">
        <f t="shared" si="21"/>
        <v>Unique</v>
      </c>
      <c r="K459" s="21" t="str">
        <f t="shared" si="22"/>
        <v/>
      </c>
      <c r="L459" s="4" t="str">
        <f>IF(COUNTIFS(A:A,A459,C:C,C459)=2,IF(K459="Mismatch","Value Mismatch","Matched"),IF(I459= "Tally","Missing in GST","Missing in Tally"))</f>
        <v>Missing in GST</v>
      </c>
      <c r="M459" s="6" t="str">
        <f t="shared" si="23"/>
        <v/>
      </c>
    </row>
    <row r="460" spans="1:13" x14ac:dyDescent="0.2">
      <c r="A460" s="1" t="str">
        <v>INV1458</v>
      </c>
      <c r="B460" s="2" t="str">
        <v>12-06-2024</v>
      </c>
      <c r="C460" s="1" t="str">
        <v>29PQRSX5678L1Z2</v>
      </c>
      <c r="D460" s="4" t="str">
        <v>Kiran Enterprises</v>
      </c>
      <c r="E460" s="6">
        <v>23012.12</v>
      </c>
      <c r="F460" s="6">
        <v>2071.09</v>
      </c>
      <c r="G460" s="6">
        <v>2071.09</v>
      </c>
      <c r="H460" s="6">
        <v>27154.3</v>
      </c>
      <c r="I460" s="19" t="str">
        <v>Tally</v>
      </c>
      <c r="J460" s="1" t="str">
        <f t="shared" si="21"/>
        <v>Unique</v>
      </c>
      <c r="K460" s="21" t="str">
        <f t="shared" si="22"/>
        <v/>
      </c>
      <c r="L460" s="4" t="str">
        <f>IF(COUNTIFS(A:A,A460,C:C,C460)=2,IF(K460="Mismatch","Value Mismatch","Matched"),IF(I460= "Tally","Missing in GST","Missing in Tally"))</f>
        <v>Missing in GST</v>
      </c>
      <c r="M460" s="6" t="str">
        <f t="shared" si="23"/>
        <v/>
      </c>
    </row>
    <row r="461" spans="1:13" x14ac:dyDescent="0.2">
      <c r="A461" s="1" t="str">
        <v>INV1459</v>
      </c>
      <c r="B461" s="2" t="str">
        <v>19-05-2024</v>
      </c>
      <c r="C461" s="1" t="str">
        <v>07ZXCVB9876M1Z3</v>
      </c>
      <c r="D461" s="4" t="str">
        <v>Gupta Supplies</v>
      </c>
      <c r="E461" s="6">
        <v>11996.28</v>
      </c>
      <c r="F461" s="6">
        <v>1079.67</v>
      </c>
      <c r="G461" s="6">
        <v>1079.67</v>
      </c>
      <c r="H461" s="6">
        <v>14155.62</v>
      </c>
      <c r="I461" s="19" t="str">
        <v>Tally</v>
      </c>
      <c r="J461" s="1" t="str">
        <f t="shared" si="21"/>
        <v>Unique</v>
      </c>
      <c r="K461" s="21" t="str">
        <f t="shared" si="22"/>
        <v/>
      </c>
      <c r="L461" s="4" t="str">
        <f>IF(COUNTIFS(A:A,A461,C:C,C461)=2,IF(K461="Mismatch","Value Mismatch","Matched"),IF(I461= "Tally","Missing in GST","Missing in Tally"))</f>
        <v>Missing in GST</v>
      </c>
      <c r="M461" s="6" t="str">
        <f t="shared" si="23"/>
        <v/>
      </c>
    </row>
    <row r="462" spans="1:13" x14ac:dyDescent="0.2">
      <c r="A462" s="1" t="str">
        <v>INV1460</v>
      </c>
      <c r="B462" s="2" t="str">
        <v>26-05-2024</v>
      </c>
      <c r="C462" s="1" t="str">
        <v>19ASDFG2468H1Z9</v>
      </c>
      <c r="D462" s="4" t="str">
        <v>Eastern Distributors</v>
      </c>
      <c r="E462" s="6">
        <v>37646.36</v>
      </c>
      <c r="F462" s="6">
        <v>3388.17</v>
      </c>
      <c r="G462" s="6">
        <v>3388.17</v>
      </c>
      <c r="H462" s="6">
        <v>44422.7</v>
      </c>
      <c r="I462" s="19" t="str">
        <v>Tally</v>
      </c>
      <c r="J462" s="1" t="str">
        <f t="shared" si="21"/>
        <v>Unique</v>
      </c>
      <c r="K462" s="21" t="str">
        <f t="shared" si="22"/>
        <v/>
      </c>
      <c r="L462" s="4" t="str">
        <f>IF(COUNTIFS(A:A,A462,C:C,C462)=2,IF(K462="Mismatch","Value Mismatch","Matched"),IF(I462= "Tally","Missing in GST","Missing in Tally"))</f>
        <v>Missing in GST</v>
      </c>
      <c r="M462" s="6" t="str">
        <f t="shared" si="23"/>
        <v/>
      </c>
    </row>
    <row r="463" spans="1:13" x14ac:dyDescent="0.2">
      <c r="A463" s="1" t="str">
        <v>INV1461</v>
      </c>
      <c r="B463" s="2" t="str">
        <v>05-06-2024</v>
      </c>
      <c r="C463" s="1" t="str">
        <v>29PQRSX5678L1Z2</v>
      </c>
      <c r="D463" s="4" t="str">
        <v>Kiran Enterprises</v>
      </c>
      <c r="E463" s="6">
        <v>42062.52</v>
      </c>
      <c r="F463" s="6">
        <v>3785.63</v>
      </c>
      <c r="G463" s="6">
        <v>3785.63</v>
      </c>
      <c r="H463" s="6">
        <v>49633.78</v>
      </c>
      <c r="I463" s="19" t="str">
        <v>Tally</v>
      </c>
      <c r="J463" s="1" t="str">
        <f t="shared" si="21"/>
        <v>Unique</v>
      </c>
      <c r="K463" s="21" t="str">
        <f t="shared" si="22"/>
        <v>Matched</v>
      </c>
      <c r="L463" s="4" t="str">
        <f>IF(COUNTIFS(A:A,A463,C:C,C463)=2,IF(K463="Mismatch","Value Mismatch","Matched"),IF(I463= "Tally","Missing in GST","Missing in Tally"))</f>
        <v>Matched</v>
      </c>
      <c r="M463" s="6">
        <f t="shared" si="23"/>
        <v>0</v>
      </c>
    </row>
    <row r="464" spans="1:13" x14ac:dyDescent="0.2">
      <c r="A464" s="1" t="str">
        <v>INV1462</v>
      </c>
      <c r="B464" s="2" t="str">
        <v>08-06-2024</v>
      </c>
      <c r="C464" s="1" t="str">
        <v>29PQRSX5678L1Z2</v>
      </c>
      <c r="D464" s="4" t="str">
        <v>Kiran Enterprises</v>
      </c>
      <c r="E464" s="6">
        <v>18167.54</v>
      </c>
      <c r="F464" s="6">
        <v>1635.08</v>
      </c>
      <c r="G464" s="6">
        <v>1635.08</v>
      </c>
      <c r="H464" s="6">
        <v>21437.7</v>
      </c>
      <c r="I464" s="19" t="str">
        <v>Tally</v>
      </c>
      <c r="J464" s="1" t="str">
        <f t="shared" si="21"/>
        <v>Unique</v>
      </c>
      <c r="K464" s="21" t="str">
        <f t="shared" si="22"/>
        <v/>
      </c>
      <c r="L464" s="4" t="str">
        <f>IF(COUNTIFS(A:A,A464,C:C,C464)=2,IF(K464="Mismatch","Value Mismatch","Matched"),IF(I464= "Tally","Missing in GST","Missing in Tally"))</f>
        <v>Missing in GST</v>
      </c>
      <c r="M464" s="6" t="str">
        <f t="shared" si="23"/>
        <v/>
      </c>
    </row>
    <row r="465" spans="1:13" x14ac:dyDescent="0.2">
      <c r="A465" s="1" t="str">
        <v>INV1463</v>
      </c>
      <c r="B465" s="2" t="str">
        <v>14-05-2024</v>
      </c>
      <c r="C465" s="1" t="str">
        <v>29PQRSX5678L1Z2</v>
      </c>
      <c r="D465" s="4" t="str">
        <v>Kiran Enterprises</v>
      </c>
      <c r="E465" s="6">
        <v>19746.78</v>
      </c>
      <c r="F465" s="6">
        <v>1777.21</v>
      </c>
      <c r="G465" s="6">
        <v>1777.21</v>
      </c>
      <c r="H465" s="6">
        <v>23301.200000000001</v>
      </c>
      <c r="I465" s="19" t="str">
        <v>Tally</v>
      </c>
      <c r="J465" s="1" t="str">
        <f t="shared" si="21"/>
        <v>Unique</v>
      </c>
      <c r="K465" s="21" t="str">
        <f t="shared" si="22"/>
        <v/>
      </c>
      <c r="L465" s="4" t="str">
        <f>IF(COUNTIFS(A:A,A465,C:C,C465)=2,IF(K465="Mismatch","Value Mismatch","Matched"),IF(I465= "Tally","Missing in GST","Missing in Tally"))</f>
        <v>Missing in GST</v>
      </c>
      <c r="M465" s="6" t="str">
        <f t="shared" si="23"/>
        <v/>
      </c>
    </row>
    <row r="466" spans="1:13" x14ac:dyDescent="0.2">
      <c r="A466" s="1" t="str">
        <v>INV1464</v>
      </c>
      <c r="B466" s="2" t="str">
        <v>21-05-2024</v>
      </c>
      <c r="C466" s="1" t="str">
        <v>24LMNOP4321K1Z7</v>
      </c>
      <c r="D466" s="4" t="str">
        <v>Patel Industries</v>
      </c>
      <c r="E466" s="6">
        <v>10797.05</v>
      </c>
      <c r="F466" s="6">
        <v>971.73</v>
      </c>
      <c r="G466" s="6">
        <v>971.73</v>
      </c>
      <c r="H466" s="6">
        <v>12740.51</v>
      </c>
      <c r="I466" s="19" t="str">
        <v>Tally</v>
      </c>
      <c r="J466" s="1" t="str">
        <f t="shared" si="21"/>
        <v>Unique</v>
      </c>
      <c r="K466" s="21" t="str">
        <f t="shared" si="22"/>
        <v/>
      </c>
      <c r="L466" s="4" t="str">
        <f>IF(COUNTIFS(A:A,A466,C:C,C466)=2,IF(K466="Mismatch","Value Mismatch","Matched"),IF(I466= "Tally","Missing in GST","Missing in Tally"))</f>
        <v>Missing in GST</v>
      </c>
      <c r="M466" s="6" t="str">
        <f t="shared" si="23"/>
        <v/>
      </c>
    </row>
    <row r="467" spans="1:13" x14ac:dyDescent="0.2">
      <c r="A467" s="1" t="str">
        <v>INV1465</v>
      </c>
      <c r="B467" s="2" t="str">
        <v>14-06-2024</v>
      </c>
      <c r="C467" s="1" t="str">
        <v>07ZXCVB9876M1Z3</v>
      </c>
      <c r="D467" s="4" t="str">
        <v>Gupta Supplies</v>
      </c>
      <c r="E467" s="6">
        <v>29304.52</v>
      </c>
      <c r="F467" s="6">
        <v>2637.41</v>
      </c>
      <c r="G467" s="6">
        <v>2637.41</v>
      </c>
      <c r="H467" s="6">
        <v>34579.339999999997</v>
      </c>
      <c r="I467" s="19" t="str">
        <v>Tally</v>
      </c>
      <c r="J467" s="1" t="str">
        <f t="shared" si="21"/>
        <v>Unique</v>
      </c>
      <c r="K467" s="21" t="str">
        <f t="shared" si="22"/>
        <v/>
      </c>
      <c r="L467" s="4" t="str">
        <f>IF(COUNTIFS(A:A,A467,C:C,C467)=2,IF(K467="Mismatch","Value Mismatch","Matched"),IF(I467= "Tally","Missing in GST","Missing in Tally"))</f>
        <v>Missing in GST</v>
      </c>
      <c r="M467" s="6" t="str">
        <f t="shared" si="23"/>
        <v/>
      </c>
    </row>
    <row r="468" spans="1:13" x14ac:dyDescent="0.2">
      <c r="A468" s="1" t="str">
        <v>INV1466</v>
      </c>
      <c r="B468" s="2" t="str">
        <v>22-06-2024</v>
      </c>
      <c r="C468" s="1" t="str">
        <v>24LMNOP4321K1Z7</v>
      </c>
      <c r="D468" s="4" t="str">
        <v>Patel Industries</v>
      </c>
      <c r="E468" s="6">
        <v>20156.62</v>
      </c>
      <c r="F468" s="6">
        <v>1814.1</v>
      </c>
      <c r="G468" s="6">
        <v>1814.1</v>
      </c>
      <c r="H468" s="6">
        <v>23784.82</v>
      </c>
      <c r="I468" s="19" t="str">
        <v>Tally</v>
      </c>
      <c r="J468" s="1" t="str">
        <f t="shared" si="21"/>
        <v>Unique</v>
      </c>
      <c r="K468" s="21" t="str">
        <f t="shared" si="22"/>
        <v>Matched</v>
      </c>
      <c r="L468" s="4" t="str">
        <f>IF(COUNTIFS(A:A,A468,C:C,C468)=2,IF(K468="Mismatch","Value Mismatch","Matched"),IF(I468= "Tally","Missing in GST","Missing in Tally"))</f>
        <v>Matched</v>
      </c>
      <c r="M468" s="6">
        <f t="shared" si="23"/>
        <v>0</v>
      </c>
    </row>
    <row r="469" spans="1:13" x14ac:dyDescent="0.2">
      <c r="A469" s="1" t="str">
        <v>INV1467</v>
      </c>
      <c r="B469" s="2" t="str">
        <v>05-05-2024</v>
      </c>
      <c r="C469" s="1" t="str">
        <v>07ZXCVB9876M1Z3</v>
      </c>
      <c r="D469" s="4" t="str">
        <v>Gupta Supplies</v>
      </c>
      <c r="E469" s="6">
        <v>7624.92</v>
      </c>
      <c r="F469" s="6">
        <v>686.24</v>
      </c>
      <c r="G469" s="6">
        <v>686.24</v>
      </c>
      <c r="H469" s="6">
        <v>8997.4</v>
      </c>
      <c r="I469" s="19" t="str">
        <v>Tally</v>
      </c>
      <c r="J469" s="1" t="str">
        <f t="shared" si="21"/>
        <v>Unique</v>
      </c>
      <c r="K469" s="21" t="str">
        <f t="shared" si="22"/>
        <v>Matched</v>
      </c>
      <c r="L469" s="4" t="str">
        <f>IF(COUNTIFS(A:A,A469,C:C,C469)=2,IF(K469="Mismatch","Value Mismatch","Matched"),IF(I469= "Tally","Missing in GST","Missing in Tally"))</f>
        <v>Matched</v>
      </c>
      <c r="M469" s="6">
        <f t="shared" si="23"/>
        <v>0</v>
      </c>
    </row>
    <row r="470" spans="1:13" x14ac:dyDescent="0.2">
      <c r="A470" s="1" t="str">
        <v>INV1468</v>
      </c>
      <c r="B470" s="2" t="str">
        <v>01-06-2024</v>
      </c>
      <c r="C470" s="1" t="str">
        <v>19ASDFG2468H1Z9</v>
      </c>
      <c r="D470" s="4" t="str">
        <v>Eastern Distributors</v>
      </c>
      <c r="E470" s="6">
        <v>11554.74</v>
      </c>
      <c r="F470" s="6">
        <v>1039.93</v>
      </c>
      <c r="G470" s="6">
        <v>1039.93</v>
      </c>
      <c r="H470" s="6">
        <v>13634.6</v>
      </c>
      <c r="I470" s="19" t="str">
        <v>Tally</v>
      </c>
      <c r="J470" s="1" t="str">
        <f t="shared" si="21"/>
        <v>Unique</v>
      </c>
      <c r="K470" s="21" t="str">
        <f t="shared" si="22"/>
        <v/>
      </c>
      <c r="L470" s="4" t="str">
        <f>IF(COUNTIFS(A:A,A470,C:C,C470)=2,IF(K470="Mismatch","Value Mismatch","Matched"),IF(I470= "Tally","Missing in GST","Missing in Tally"))</f>
        <v>Missing in GST</v>
      </c>
      <c r="M470" s="6" t="str">
        <f t="shared" si="23"/>
        <v/>
      </c>
    </row>
    <row r="471" spans="1:13" x14ac:dyDescent="0.2">
      <c r="A471" s="1" t="str">
        <v>INV1469</v>
      </c>
      <c r="B471" s="2" t="str">
        <v>01-06-2024</v>
      </c>
      <c r="C471" s="1" t="str">
        <v>07ZXCVB9876M1Z3</v>
      </c>
      <c r="D471" s="4" t="str">
        <v>Gupta Supplies</v>
      </c>
      <c r="E471" s="6">
        <v>34880.239999999998</v>
      </c>
      <c r="F471" s="6">
        <v>3139.22</v>
      </c>
      <c r="G471" s="6">
        <v>3139.22</v>
      </c>
      <c r="H471" s="6">
        <v>41158.68</v>
      </c>
      <c r="I471" s="19" t="str">
        <v>Tally</v>
      </c>
      <c r="J471" s="1" t="str">
        <f t="shared" si="21"/>
        <v>Unique</v>
      </c>
      <c r="K471" s="21" t="str">
        <f t="shared" si="22"/>
        <v/>
      </c>
      <c r="L471" s="4" t="str">
        <f>IF(COUNTIFS(A:A,A471,C:C,C471)=2,IF(K471="Mismatch","Value Mismatch","Matched"),IF(I471= "Tally","Missing in GST","Missing in Tally"))</f>
        <v>Missing in GST</v>
      </c>
      <c r="M471" s="6" t="str">
        <f t="shared" si="23"/>
        <v/>
      </c>
    </row>
    <row r="472" spans="1:13" x14ac:dyDescent="0.2">
      <c r="A472" s="1" t="str">
        <v>INV1470</v>
      </c>
      <c r="B472" s="2" t="str">
        <v>05-06-2024</v>
      </c>
      <c r="C472" s="1" t="str">
        <v>24LMNOP4321K1Z7</v>
      </c>
      <c r="D472" s="4" t="str">
        <v>Patel Industries</v>
      </c>
      <c r="E472" s="6">
        <v>37929.74</v>
      </c>
      <c r="F472" s="6">
        <v>3413.68</v>
      </c>
      <c r="G472" s="6">
        <v>3413.68</v>
      </c>
      <c r="H472" s="6">
        <v>44757.1</v>
      </c>
      <c r="I472" s="19" t="str">
        <v>Tally</v>
      </c>
      <c r="J472" s="1" t="str">
        <f t="shared" si="21"/>
        <v>Unique</v>
      </c>
      <c r="K472" s="21" t="str">
        <f t="shared" si="22"/>
        <v/>
      </c>
      <c r="L472" s="4" t="str">
        <f>IF(COUNTIFS(A:A,A472,C:C,C472)=2,IF(K472="Mismatch","Value Mismatch","Matched"),IF(I472= "Tally","Missing in GST","Missing in Tally"))</f>
        <v>Missing in GST</v>
      </c>
      <c r="M472" s="6" t="str">
        <f t="shared" si="23"/>
        <v/>
      </c>
    </row>
    <row r="473" spans="1:13" x14ac:dyDescent="0.2">
      <c r="A473" s="1" t="str">
        <v>INV1471</v>
      </c>
      <c r="B473" s="2" t="str">
        <v>22-04-2024</v>
      </c>
      <c r="C473" s="1" t="str">
        <v>07ZXCVB9876M1Z3</v>
      </c>
      <c r="D473" s="4" t="str">
        <v>Gupta Supplies</v>
      </c>
      <c r="E473" s="6">
        <v>13780.12</v>
      </c>
      <c r="F473" s="6">
        <v>1240.21</v>
      </c>
      <c r="G473" s="6">
        <v>1240.21</v>
      </c>
      <c r="H473" s="6">
        <v>16260.54</v>
      </c>
      <c r="I473" s="19" t="str">
        <v>Tally</v>
      </c>
      <c r="J473" s="1" t="str">
        <f t="shared" si="21"/>
        <v>Unique</v>
      </c>
      <c r="K473" s="21" t="str">
        <f t="shared" si="22"/>
        <v/>
      </c>
      <c r="L473" s="4" t="str">
        <f>IF(COUNTIFS(A:A,A473,C:C,C473)=2,IF(K473="Mismatch","Value Mismatch","Matched"),IF(I473= "Tally","Missing in GST","Missing in Tally"))</f>
        <v>Missing in GST</v>
      </c>
      <c r="M473" s="6" t="str">
        <f t="shared" si="23"/>
        <v/>
      </c>
    </row>
    <row r="474" spans="1:13" x14ac:dyDescent="0.2">
      <c r="A474" s="1" t="str">
        <v>INV1472</v>
      </c>
      <c r="B474" s="2" t="str">
        <v>28-06-2024</v>
      </c>
      <c r="C474" s="1" t="str">
        <v>27ABCDE1234F1Z5</v>
      </c>
      <c r="D474" s="4" t="str">
        <v>Sharma Traders</v>
      </c>
      <c r="E474" s="6">
        <v>3607.99</v>
      </c>
      <c r="F474" s="6">
        <v>324.72000000000003</v>
      </c>
      <c r="G474" s="6">
        <v>324.72000000000003</v>
      </c>
      <c r="H474" s="6">
        <v>4257.43</v>
      </c>
      <c r="I474" s="19" t="str">
        <v>Tally</v>
      </c>
      <c r="J474" s="1" t="str">
        <f t="shared" si="21"/>
        <v>Unique</v>
      </c>
      <c r="K474" s="21" t="str">
        <f t="shared" si="22"/>
        <v>Matched</v>
      </c>
      <c r="L474" s="4" t="str">
        <f>IF(COUNTIFS(A:A,A474,C:C,C474)=2,IF(K474="Mismatch","Value Mismatch","Matched"),IF(I474= "Tally","Missing in GST","Missing in Tally"))</f>
        <v>Matched</v>
      </c>
      <c r="M474" s="6">
        <f t="shared" si="23"/>
        <v>0</v>
      </c>
    </row>
    <row r="475" spans="1:13" x14ac:dyDescent="0.2">
      <c r="A475" s="1" t="str">
        <v>INV1473</v>
      </c>
      <c r="B475" s="2" t="str">
        <v>29-04-2024</v>
      </c>
      <c r="C475" s="1" t="str">
        <v>07ZXCVB9876M1Z3</v>
      </c>
      <c r="D475" s="4" t="str">
        <v>Gupta Supplies</v>
      </c>
      <c r="E475" s="6">
        <v>4888.24</v>
      </c>
      <c r="F475" s="6">
        <v>439.94</v>
      </c>
      <c r="G475" s="6">
        <v>439.94</v>
      </c>
      <c r="H475" s="6">
        <v>5768.12</v>
      </c>
      <c r="I475" s="19" t="str">
        <v>Tally</v>
      </c>
      <c r="J475" s="1" t="str">
        <f t="shared" si="21"/>
        <v>Unique</v>
      </c>
      <c r="K475" s="21" t="str">
        <f t="shared" si="22"/>
        <v/>
      </c>
      <c r="L475" s="4" t="str">
        <f>IF(COUNTIFS(A:A,A475,C:C,C475)=2,IF(K475="Mismatch","Value Mismatch","Matched"),IF(I475= "Tally","Missing in GST","Missing in Tally"))</f>
        <v>Missing in GST</v>
      </c>
      <c r="M475" s="6" t="str">
        <f t="shared" si="23"/>
        <v/>
      </c>
    </row>
    <row r="476" spans="1:13" x14ac:dyDescent="0.2">
      <c r="A476" s="1" t="str">
        <v>INV1474</v>
      </c>
      <c r="B476" s="2" t="str">
        <v>02-04-2024</v>
      </c>
      <c r="C476" s="1" t="str">
        <v>27ABCDE1234F1Z5</v>
      </c>
      <c r="D476" s="4" t="str">
        <v>Sharma Traders</v>
      </c>
      <c r="E476" s="6">
        <v>34213.35</v>
      </c>
      <c r="F476" s="6">
        <v>3079.2</v>
      </c>
      <c r="G476" s="6">
        <v>3079.2</v>
      </c>
      <c r="H476" s="6">
        <v>40371.75</v>
      </c>
      <c r="I476" s="19" t="str">
        <v>Tally</v>
      </c>
      <c r="J476" s="1" t="str">
        <f t="shared" si="21"/>
        <v>Unique</v>
      </c>
      <c r="K476" s="21" t="str">
        <f t="shared" si="22"/>
        <v/>
      </c>
      <c r="L476" s="4" t="str">
        <f>IF(COUNTIFS(A:A,A476,C:C,C476)=2,IF(K476="Mismatch","Value Mismatch","Matched"),IF(I476= "Tally","Missing in GST","Missing in Tally"))</f>
        <v>Missing in GST</v>
      </c>
      <c r="M476" s="6" t="str">
        <f t="shared" si="23"/>
        <v/>
      </c>
    </row>
    <row r="477" spans="1:13" x14ac:dyDescent="0.2">
      <c r="A477" s="1" t="str">
        <v>INV1475</v>
      </c>
      <c r="B477" s="2" t="str">
        <v>03-05-2024</v>
      </c>
      <c r="C477" s="1" t="str">
        <v>27ABCDE1234F1Z5</v>
      </c>
      <c r="D477" s="4" t="str">
        <v>Sharma Traders</v>
      </c>
      <c r="E477" s="6">
        <v>25820.25</v>
      </c>
      <c r="F477" s="6">
        <v>2323.8200000000002</v>
      </c>
      <c r="G477" s="6">
        <v>2323.8200000000002</v>
      </c>
      <c r="H477" s="6">
        <v>30467.89</v>
      </c>
      <c r="I477" s="19" t="str">
        <v>Tally</v>
      </c>
      <c r="J477" s="1" t="str">
        <f t="shared" si="21"/>
        <v>Unique</v>
      </c>
      <c r="K477" s="21" t="str">
        <f t="shared" si="22"/>
        <v/>
      </c>
      <c r="L477" s="4" t="str">
        <f>IF(COUNTIFS(A:A,A477,C:C,C477)=2,IF(K477="Mismatch","Value Mismatch","Matched"),IF(I477= "Tally","Missing in GST","Missing in Tally"))</f>
        <v>Missing in GST</v>
      </c>
      <c r="M477" s="6" t="str">
        <f t="shared" si="23"/>
        <v/>
      </c>
    </row>
    <row r="478" spans="1:13" x14ac:dyDescent="0.2">
      <c r="A478" s="1" t="str">
        <v>INV1476</v>
      </c>
      <c r="B478" s="2" t="str">
        <v>11-05-2024</v>
      </c>
      <c r="C478" s="1" t="str">
        <v>07ZXCVB9876M1Z3</v>
      </c>
      <c r="D478" s="4" t="str">
        <v>Gupta Supplies</v>
      </c>
      <c r="E478" s="6">
        <v>39682.800000000003</v>
      </c>
      <c r="F478" s="6">
        <v>3571.45</v>
      </c>
      <c r="G478" s="6">
        <v>3571.45</v>
      </c>
      <c r="H478" s="6">
        <v>46825.7</v>
      </c>
      <c r="I478" s="19" t="str">
        <v>Tally</v>
      </c>
      <c r="J478" s="1" t="str">
        <f t="shared" si="21"/>
        <v>Unique</v>
      </c>
      <c r="K478" s="21" t="str">
        <f t="shared" si="22"/>
        <v/>
      </c>
      <c r="L478" s="4" t="str">
        <f>IF(COUNTIFS(A:A,A478,C:C,C478)=2,IF(K478="Mismatch","Value Mismatch","Matched"),IF(I478= "Tally","Missing in GST","Missing in Tally"))</f>
        <v>Missing in GST</v>
      </c>
      <c r="M478" s="6" t="str">
        <f t="shared" si="23"/>
        <v/>
      </c>
    </row>
    <row r="479" spans="1:13" x14ac:dyDescent="0.2">
      <c r="A479" s="1" t="str">
        <v>INV1477</v>
      </c>
      <c r="B479" s="2" t="str">
        <v>25-06-2024</v>
      </c>
      <c r="C479" s="1" t="str">
        <v>19ASDFG2468H1Z9</v>
      </c>
      <c r="D479" s="4" t="str">
        <v>Eastern Distributors</v>
      </c>
      <c r="E479" s="6">
        <v>12712.55</v>
      </c>
      <c r="F479" s="6">
        <v>1144.1300000000001</v>
      </c>
      <c r="G479" s="6">
        <v>1144.1300000000001</v>
      </c>
      <c r="H479" s="6">
        <v>15000.81</v>
      </c>
      <c r="I479" s="19" t="str">
        <v>Tally</v>
      </c>
      <c r="J479" s="1" t="str">
        <f t="shared" si="21"/>
        <v>Unique</v>
      </c>
      <c r="K479" s="21" t="str">
        <f t="shared" si="22"/>
        <v/>
      </c>
      <c r="L479" s="4" t="str">
        <f>IF(COUNTIFS(A:A,A479,C:C,C479)=2,IF(K479="Mismatch","Value Mismatch","Matched"),IF(I479= "Tally","Missing in GST","Missing in Tally"))</f>
        <v>Missing in GST</v>
      </c>
      <c r="M479" s="6" t="str">
        <f t="shared" si="23"/>
        <v/>
      </c>
    </row>
    <row r="480" spans="1:13" x14ac:dyDescent="0.2">
      <c r="A480" s="1" t="str">
        <v>INV1478</v>
      </c>
      <c r="B480" s="2" t="str">
        <v>13-04-2024</v>
      </c>
      <c r="C480" s="1" t="str">
        <v>29PQRSX5678L1Z2</v>
      </c>
      <c r="D480" s="4" t="str">
        <v>Kiran Enterprises</v>
      </c>
      <c r="E480" s="6">
        <v>22516.27</v>
      </c>
      <c r="F480" s="6">
        <v>2026.46</v>
      </c>
      <c r="G480" s="6">
        <v>2026.46</v>
      </c>
      <c r="H480" s="6">
        <v>26569.19</v>
      </c>
      <c r="I480" s="19" t="str">
        <v>Tally</v>
      </c>
      <c r="J480" s="1" t="str">
        <f t="shared" si="21"/>
        <v>Unique</v>
      </c>
      <c r="K480" s="21" t="str">
        <f t="shared" si="22"/>
        <v/>
      </c>
      <c r="L480" s="4" t="str">
        <f>IF(COUNTIFS(A:A,A480,C:C,C480)=2,IF(K480="Mismatch","Value Mismatch","Matched"),IF(I480= "Tally","Missing in GST","Missing in Tally"))</f>
        <v>Missing in GST</v>
      </c>
      <c r="M480" s="6" t="str">
        <f t="shared" si="23"/>
        <v/>
      </c>
    </row>
    <row r="481" spans="1:13" x14ac:dyDescent="0.2">
      <c r="A481" s="1" t="str">
        <v>INV1479</v>
      </c>
      <c r="B481" s="2" t="str">
        <v>06-05-2024</v>
      </c>
      <c r="C481" s="1" t="str">
        <v>19ASDFG2468H1Z9</v>
      </c>
      <c r="D481" s="4" t="str">
        <v>Eastern Distributors</v>
      </c>
      <c r="E481" s="6">
        <v>13668.71</v>
      </c>
      <c r="F481" s="6">
        <v>1230.18</v>
      </c>
      <c r="G481" s="6">
        <v>1230.18</v>
      </c>
      <c r="H481" s="6">
        <v>16129.07</v>
      </c>
      <c r="I481" s="19" t="str">
        <v>Tally</v>
      </c>
      <c r="J481" s="1" t="str">
        <f t="shared" si="21"/>
        <v>Unique</v>
      </c>
      <c r="K481" s="21" t="str">
        <f t="shared" si="22"/>
        <v/>
      </c>
      <c r="L481" s="4" t="str">
        <f>IF(COUNTIFS(A:A,A481,C:C,C481)=2,IF(K481="Mismatch","Value Mismatch","Matched"),IF(I481= "Tally","Missing in GST","Missing in Tally"))</f>
        <v>Missing in GST</v>
      </c>
      <c r="M481" s="6" t="str">
        <f t="shared" si="23"/>
        <v/>
      </c>
    </row>
    <row r="482" spans="1:13" x14ac:dyDescent="0.2">
      <c r="A482" s="1" t="str">
        <v>INV1480</v>
      </c>
      <c r="B482" s="2" t="str">
        <v>13-06-2024</v>
      </c>
      <c r="C482" s="1" t="str">
        <v>07ZXCVB9876M1Z3</v>
      </c>
      <c r="D482" s="4" t="str">
        <v>Gupta Supplies</v>
      </c>
      <c r="E482" s="6">
        <v>29372.45</v>
      </c>
      <c r="F482" s="6">
        <v>2643.52</v>
      </c>
      <c r="G482" s="6">
        <v>2643.52</v>
      </c>
      <c r="H482" s="6">
        <v>34659.49</v>
      </c>
      <c r="I482" s="19" t="str">
        <v>Tally</v>
      </c>
      <c r="J482" s="1" t="str">
        <f t="shared" si="21"/>
        <v>Unique</v>
      </c>
      <c r="K482" s="21" t="str">
        <f t="shared" si="22"/>
        <v/>
      </c>
      <c r="L482" s="4" t="str">
        <f>IF(COUNTIFS(A:A,A482,C:C,C482)=2,IF(K482="Mismatch","Value Mismatch","Matched"),IF(I482= "Tally","Missing in GST","Missing in Tally"))</f>
        <v>Missing in GST</v>
      </c>
      <c r="M482" s="6" t="str">
        <f t="shared" si="23"/>
        <v/>
      </c>
    </row>
    <row r="483" spans="1:13" x14ac:dyDescent="0.2">
      <c r="A483" s="1" t="str">
        <v>INV1481</v>
      </c>
      <c r="B483" s="2" t="str">
        <v>16-05-2024</v>
      </c>
      <c r="C483" s="1" t="str">
        <v>27ABCDE1234F1Z5</v>
      </c>
      <c r="D483" s="4" t="str">
        <v>Sharma Traders</v>
      </c>
      <c r="E483" s="6">
        <v>36504.97</v>
      </c>
      <c r="F483" s="6">
        <v>3285.45</v>
      </c>
      <c r="G483" s="6">
        <v>3285.45</v>
      </c>
      <c r="H483" s="6">
        <v>43075.87</v>
      </c>
      <c r="I483" s="19" t="str">
        <v>Tally</v>
      </c>
      <c r="J483" s="1" t="str">
        <f t="shared" si="21"/>
        <v>Unique</v>
      </c>
      <c r="K483" s="21" t="str">
        <f t="shared" si="22"/>
        <v/>
      </c>
      <c r="L483" s="4" t="str">
        <f>IF(COUNTIFS(A:A,A483,C:C,C483)=2,IF(K483="Mismatch","Value Mismatch","Matched"),IF(I483= "Tally","Missing in GST","Missing in Tally"))</f>
        <v>Missing in GST</v>
      </c>
      <c r="M483" s="6" t="str">
        <f t="shared" si="23"/>
        <v/>
      </c>
    </row>
    <row r="484" spans="1:13" x14ac:dyDescent="0.2">
      <c r="A484" s="1" t="str">
        <v>INV1482</v>
      </c>
      <c r="B484" s="2" t="str">
        <v>19-06-2024</v>
      </c>
      <c r="C484" s="1" t="str">
        <v>27ABCDE1234F1Z5</v>
      </c>
      <c r="D484" s="4" t="str">
        <v>Sharma Traders</v>
      </c>
      <c r="E484" s="6">
        <v>39177.760000000002</v>
      </c>
      <c r="F484" s="6">
        <v>3526</v>
      </c>
      <c r="G484" s="6">
        <v>3526</v>
      </c>
      <c r="H484" s="6">
        <v>46229.760000000002</v>
      </c>
      <c r="I484" s="19" t="str">
        <v>Tally</v>
      </c>
      <c r="J484" s="1" t="str">
        <f t="shared" si="21"/>
        <v>Unique</v>
      </c>
      <c r="K484" s="21" t="str">
        <f t="shared" si="22"/>
        <v/>
      </c>
      <c r="L484" s="4" t="str">
        <f>IF(COUNTIFS(A:A,A484,C:C,C484)=2,IF(K484="Mismatch","Value Mismatch","Matched"),IF(I484= "Tally","Missing in GST","Missing in Tally"))</f>
        <v>Missing in GST</v>
      </c>
      <c r="M484" s="6" t="str">
        <f t="shared" si="23"/>
        <v/>
      </c>
    </row>
    <row r="485" spans="1:13" x14ac:dyDescent="0.2">
      <c r="A485" s="1" t="str">
        <v>INV1483</v>
      </c>
      <c r="B485" s="2" t="str">
        <v>07-06-2024</v>
      </c>
      <c r="C485" s="1" t="str">
        <v>24LMNOP4321K1Z7</v>
      </c>
      <c r="D485" s="4" t="str">
        <v>Patel Industries</v>
      </c>
      <c r="E485" s="6">
        <v>23683.46</v>
      </c>
      <c r="F485" s="6">
        <v>2131.5100000000002</v>
      </c>
      <c r="G485" s="6">
        <v>2131.5100000000002</v>
      </c>
      <c r="H485" s="6">
        <v>27946.48</v>
      </c>
      <c r="I485" s="19" t="str">
        <v>Tally</v>
      </c>
      <c r="J485" s="1" t="str">
        <f t="shared" si="21"/>
        <v>Unique</v>
      </c>
      <c r="K485" s="21" t="str">
        <f t="shared" si="22"/>
        <v/>
      </c>
      <c r="L485" s="4" t="str">
        <f>IF(COUNTIFS(A:A,A485,C:C,C485)=2,IF(K485="Mismatch","Value Mismatch","Matched"),IF(I485= "Tally","Missing in GST","Missing in Tally"))</f>
        <v>Missing in GST</v>
      </c>
      <c r="M485" s="6" t="str">
        <f t="shared" si="23"/>
        <v/>
      </c>
    </row>
    <row r="486" spans="1:13" x14ac:dyDescent="0.2">
      <c r="A486" s="1" t="str">
        <v>INV1484</v>
      </c>
      <c r="B486" s="2" t="str">
        <v>29-06-2024</v>
      </c>
      <c r="C486" s="1" t="str">
        <v>24LMNOP4321K1Z7</v>
      </c>
      <c r="D486" s="4" t="str">
        <v>Patel Industries</v>
      </c>
      <c r="E486" s="6">
        <v>27699.35</v>
      </c>
      <c r="F486" s="6">
        <v>2492.94</v>
      </c>
      <c r="G486" s="6">
        <v>2492.94</v>
      </c>
      <c r="H486" s="6">
        <v>32685.23</v>
      </c>
      <c r="I486" s="19" t="str">
        <v>Tally</v>
      </c>
      <c r="J486" s="1" t="str">
        <f t="shared" si="21"/>
        <v>Unique</v>
      </c>
      <c r="K486" s="21" t="str">
        <f t="shared" si="22"/>
        <v/>
      </c>
      <c r="L486" s="4" t="str">
        <f>IF(COUNTIFS(A:A,A486,C:C,C486)=2,IF(K486="Mismatch","Value Mismatch","Matched"),IF(I486= "Tally","Missing in GST","Missing in Tally"))</f>
        <v>Missing in GST</v>
      </c>
      <c r="M486" s="6" t="str">
        <f t="shared" si="23"/>
        <v/>
      </c>
    </row>
    <row r="487" spans="1:13" x14ac:dyDescent="0.2">
      <c r="A487" s="1" t="str">
        <v>INV1485</v>
      </c>
      <c r="B487" s="2" t="str">
        <v>26-05-2024</v>
      </c>
      <c r="C487" s="1" t="str">
        <v>19ASDFG2468H1Z9</v>
      </c>
      <c r="D487" s="4" t="str">
        <v>Eastern Distributors</v>
      </c>
      <c r="E487" s="6">
        <v>29699.66</v>
      </c>
      <c r="F487" s="6">
        <v>2672.97</v>
      </c>
      <c r="G487" s="6">
        <v>2672.97</v>
      </c>
      <c r="H487" s="6">
        <v>35045.599999999999</v>
      </c>
      <c r="I487" s="19" t="str">
        <v>Tally</v>
      </c>
      <c r="J487" s="1" t="str">
        <f t="shared" si="21"/>
        <v>Unique</v>
      </c>
      <c r="K487" s="21" t="str">
        <f t="shared" si="22"/>
        <v/>
      </c>
      <c r="L487" s="4" t="str">
        <f>IF(COUNTIFS(A:A,A487,C:C,C487)=2,IF(K487="Mismatch","Value Mismatch","Matched"),IF(I487= "Tally","Missing in GST","Missing in Tally"))</f>
        <v>Missing in GST</v>
      </c>
      <c r="M487" s="6" t="str">
        <f t="shared" si="23"/>
        <v/>
      </c>
    </row>
    <row r="488" spans="1:13" x14ac:dyDescent="0.2">
      <c r="A488" s="1" t="str">
        <v>INV1486</v>
      </c>
      <c r="B488" s="2" t="str">
        <v>23-05-2024</v>
      </c>
      <c r="C488" s="1" t="str">
        <v>29PQRSX5678L1Z2</v>
      </c>
      <c r="D488" s="4" t="str">
        <v>Kiran Enterprises</v>
      </c>
      <c r="E488" s="6">
        <v>23477.34</v>
      </c>
      <c r="F488" s="6">
        <v>2112.96</v>
      </c>
      <c r="G488" s="6">
        <v>2112.96</v>
      </c>
      <c r="H488" s="6">
        <v>27703.26</v>
      </c>
      <c r="I488" s="19" t="str">
        <v>Tally</v>
      </c>
      <c r="J488" s="1" t="str">
        <f t="shared" si="21"/>
        <v>Unique</v>
      </c>
      <c r="K488" s="21" t="str">
        <f t="shared" si="22"/>
        <v/>
      </c>
      <c r="L488" s="4" t="str">
        <f>IF(COUNTIFS(A:A,A488,C:C,C488)=2,IF(K488="Mismatch","Value Mismatch","Matched"),IF(I488= "Tally","Missing in GST","Missing in Tally"))</f>
        <v>Missing in GST</v>
      </c>
      <c r="M488" s="6" t="str">
        <f t="shared" si="23"/>
        <v/>
      </c>
    </row>
    <row r="489" spans="1:13" x14ac:dyDescent="0.2">
      <c r="A489" s="1" t="str">
        <v>INV1487</v>
      </c>
      <c r="B489" s="2" t="str">
        <v>14-04-2024</v>
      </c>
      <c r="C489" s="1" t="str">
        <v>07ZXCVB9876M1Z3</v>
      </c>
      <c r="D489" s="4" t="str">
        <v>Gupta Supplies</v>
      </c>
      <c r="E489" s="6">
        <v>29074.52</v>
      </c>
      <c r="F489" s="6">
        <v>2616.71</v>
      </c>
      <c r="G489" s="6">
        <v>2616.71</v>
      </c>
      <c r="H489" s="6">
        <v>34307.94</v>
      </c>
      <c r="I489" s="19" t="str">
        <v>Tally</v>
      </c>
      <c r="J489" s="1" t="str">
        <f t="shared" si="21"/>
        <v>Unique</v>
      </c>
      <c r="K489" s="21" t="str">
        <f t="shared" si="22"/>
        <v/>
      </c>
      <c r="L489" s="4" t="str">
        <f>IF(COUNTIFS(A:A,A489,C:C,C489)=2,IF(K489="Mismatch","Value Mismatch","Matched"),IF(I489= "Tally","Missing in GST","Missing in Tally"))</f>
        <v>Missing in GST</v>
      </c>
      <c r="M489" s="6" t="str">
        <f t="shared" si="23"/>
        <v/>
      </c>
    </row>
    <row r="490" spans="1:13" x14ac:dyDescent="0.2">
      <c r="A490" s="1" t="str">
        <v>INV1488</v>
      </c>
      <c r="B490" s="2" t="str">
        <v>09-04-2024</v>
      </c>
      <c r="C490" s="1" t="str">
        <v>27ABCDE1234F1Z5</v>
      </c>
      <c r="D490" s="4" t="str">
        <v>Sharma Traders</v>
      </c>
      <c r="E490" s="6">
        <v>33091.49</v>
      </c>
      <c r="F490" s="6">
        <v>2978.23</v>
      </c>
      <c r="G490" s="6">
        <v>2978.23</v>
      </c>
      <c r="H490" s="6">
        <v>39047.949999999997</v>
      </c>
      <c r="I490" s="19" t="str">
        <v>Tally</v>
      </c>
      <c r="J490" s="1" t="str">
        <f t="shared" si="21"/>
        <v>Unique</v>
      </c>
      <c r="K490" s="21" t="str">
        <f t="shared" si="22"/>
        <v/>
      </c>
      <c r="L490" s="4" t="str">
        <f>IF(COUNTIFS(A:A,A490,C:C,C490)=2,IF(K490="Mismatch","Value Mismatch","Matched"),IF(I490= "Tally","Missing in GST","Missing in Tally"))</f>
        <v>Missing in GST</v>
      </c>
      <c r="M490" s="6" t="str">
        <f t="shared" si="23"/>
        <v/>
      </c>
    </row>
    <row r="491" spans="1:13" x14ac:dyDescent="0.2">
      <c r="A491" s="1" t="str">
        <v>INV1489</v>
      </c>
      <c r="B491" s="2" t="str">
        <v>23-05-2024</v>
      </c>
      <c r="C491" s="1" t="str">
        <v>19ASDFG2468H1Z9</v>
      </c>
      <c r="D491" s="4" t="str">
        <v>Eastern Distributors</v>
      </c>
      <c r="E491" s="6">
        <v>4425.41</v>
      </c>
      <c r="F491" s="6">
        <v>398.29</v>
      </c>
      <c r="G491" s="6">
        <v>398.29</v>
      </c>
      <c r="H491" s="6">
        <v>5221.99</v>
      </c>
      <c r="I491" s="19" t="str">
        <v>Tally</v>
      </c>
      <c r="J491" s="1" t="str">
        <f t="shared" si="21"/>
        <v>Unique</v>
      </c>
      <c r="K491" s="21" t="str">
        <f t="shared" si="22"/>
        <v/>
      </c>
      <c r="L491" s="4" t="str">
        <f>IF(COUNTIFS(A:A,A491,C:C,C491)=2,IF(K491="Mismatch","Value Mismatch","Matched"),IF(I491= "Tally","Missing in GST","Missing in Tally"))</f>
        <v>Missing in GST</v>
      </c>
      <c r="M491" s="6" t="str">
        <f t="shared" si="23"/>
        <v/>
      </c>
    </row>
    <row r="492" spans="1:13" x14ac:dyDescent="0.2">
      <c r="A492" s="1" t="str">
        <v>INV1490</v>
      </c>
      <c r="B492" s="2" t="str">
        <v>08-05-2024</v>
      </c>
      <c r="C492" s="1" t="str">
        <v>27ABCDE1234F1Z5</v>
      </c>
      <c r="D492" s="4" t="str">
        <v>Sharma Traders</v>
      </c>
      <c r="E492" s="6">
        <v>44508.35</v>
      </c>
      <c r="F492" s="6">
        <v>4005.75</v>
      </c>
      <c r="G492" s="6">
        <v>4005.75</v>
      </c>
      <c r="H492" s="6">
        <v>52519.85</v>
      </c>
      <c r="I492" s="19" t="str">
        <v>Tally</v>
      </c>
      <c r="J492" s="1" t="str">
        <f t="shared" si="21"/>
        <v>Unique</v>
      </c>
      <c r="K492" s="21" t="str">
        <f t="shared" si="22"/>
        <v/>
      </c>
      <c r="L492" s="4" t="str">
        <f>IF(COUNTIFS(A:A,A492,C:C,C492)=2,IF(K492="Mismatch","Value Mismatch","Matched"),IF(I492= "Tally","Missing in GST","Missing in Tally"))</f>
        <v>Missing in GST</v>
      </c>
      <c r="M492" s="6" t="str">
        <f t="shared" si="23"/>
        <v/>
      </c>
    </row>
    <row r="493" spans="1:13" x14ac:dyDescent="0.2">
      <c r="A493" s="1" t="str">
        <v>INV1491</v>
      </c>
      <c r="B493" s="2" t="str">
        <v>26-04-2024</v>
      </c>
      <c r="C493" s="1" t="str">
        <v>19ASDFG2468H1Z9</v>
      </c>
      <c r="D493" s="4" t="str">
        <v>Eastern Distributors</v>
      </c>
      <c r="E493" s="6">
        <v>3571.68</v>
      </c>
      <c r="F493" s="6">
        <v>321.45</v>
      </c>
      <c r="G493" s="6">
        <v>321.45</v>
      </c>
      <c r="H493" s="6">
        <v>4214.58</v>
      </c>
      <c r="I493" s="19" t="str">
        <v>Tally</v>
      </c>
      <c r="J493" s="1" t="str">
        <f t="shared" si="21"/>
        <v>Unique</v>
      </c>
      <c r="K493" s="21" t="str">
        <f t="shared" si="22"/>
        <v>Matched</v>
      </c>
      <c r="L493" s="4" t="str">
        <f>IF(COUNTIFS(A:A,A493,C:C,C493)=2,IF(K493="Mismatch","Value Mismatch","Matched"),IF(I493= "Tally","Missing in GST","Missing in Tally"))</f>
        <v>Matched</v>
      </c>
      <c r="M493" s="6">
        <f t="shared" si="23"/>
        <v>0</v>
      </c>
    </row>
    <row r="494" spans="1:13" x14ac:dyDescent="0.2">
      <c r="A494" s="1" t="str">
        <v>INV1492</v>
      </c>
      <c r="B494" s="2" t="str">
        <v>01-06-2024</v>
      </c>
      <c r="C494" s="1" t="str">
        <v>29PQRSX5678L1Z2</v>
      </c>
      <c r="D494" s="4" t="str">
        <v>Kiran Enterprises</v>
      </c>
      <c r="E494" s="6">
        <v>7633.42</v>
      </c>
      <c r="F494" s="6">
        <v>687.01</v>
      </c>
      <c r="G494" s="6">
        <v>687.01</v>
      </c>
      <c r="H494" s="6">
        <v>9007.44</v>
      </c>
      <c r="I494" s="19" t="str">
        <v>Tally</v>
      </c>
      <c r="J494" s="1" t="str">
        <f t="shared" si="21"/>
        <v>Unique</v>
      </c>
      <c r="K494" s="21" t="str">
        <f t="shared" si="22"/>
        <v/>
      </c>
      <c r="L494" s="4" t="str">
        <f>IF(COUNTIFS(A:A,A494,C:C,C494)=2,IF(K494="Mismatch","Value Mismatch","Matched"),IF(I494= "Tally","Missing in GST","Missing in Tally"))</f>
        <v>Missing in GST</v>
      </c>
      <c r="M494" s="6" t="str">
        <f t="shared" si="23"/>
        <v/>
      </c>
    </row>
    <row r="495" spans="1:13" x14ac:dyDescent="0.2">
      <c r="A495" s="1" t="str">
        <v>INV1493</v>
      </c>
      <c r="B495" s="2" t="str">
        <v>09-04-2024</v>
      </c>
      <c r="C495" s="1" t="str">
        <v>07ZXCVB9876M1Z3</v>
      </c>
      <c r="D495" s="4" t="str">
        <v>Gupta Supplies</v>
      </c>
      <c r="E495" s="6">
        <v>3794.7</v>
      </c>
      <c r="F495" s="6">
        <v>341.52</v>
      </c>
      <c r="G495" s="6">
        <v>341.52</v>
      </c>
      <c r="H495" s="6">
        <v>4477.74</v>
      </c>
      <c r="I495" s="19" t="str">
        <v>Tally</v>
      </c>
      <c r="J495" s="1" t="str">
        <f t="shared" si="21"/>
        <v>Unique</v>
      </c>
      <c r="K495" s="21" t="str">
        <f t="shared" si="22"/>
        <v/>
      </c>
      <c r="L495" s="4" t="str">
        <f>IF(COUNTIFS(A:A,A495,C:C,C495)=2,IF(K495="Mismatch","Value Mismatch","Matched"),IF(I495= "Tally","Missing in GST","Missing in Tally"))</f>
        <v>Missing in GST</v>
      </c>
      <c r="M495" s="6" t="str">
        <f t="shared" si="23"/>
        <v/>
      </c>
    </row>
    <row r="496" spans="1:13" x14ac:dyDescent="0.2">
      <c r="A496" s="1" t="str">
        <v>INV1494</v>
      </c>
      <c r="B496" s="2" t="str">
        <v>28-04-2024</v>
      </c>
      <c r="C496" s="1" t="str">
        <v>07ZXCVB9876M1Z3</v>
      </c>
      <c r="D496" s="4" t="str">
        <v>Gupta Supplies</v>
      </c>
      <c r="E496" s="6">
        <v>11312.88</v>
      </c>
      <c r="F496" s="6">
        <v>1018.16</v>
      </c>
      <c r="G496" s="6">
        <v>1018.16</v>
      </c>
      <c r="H496" s="6">
        <v>13349.2</v>
      </c>
      <c r="I496" s="19" t="str">
        <v>Tally</v>
      </c>
      <c r="J496" s="1" t="str">
        <f t="shared" si="21"/>
        <v>Unique</v>
      </c>
      <c r="K496" s="21" t="str">
        <f t="shared" si="22"/>
        <v>Matched</v>
      </c>
      <c r="L496" s="4" t="str">
        <f>IF(COUNTIFS(A:A,A496,C:C,C496)=2,IF(K496="Mismatch","Value Mismatch","Matched"),IF(I496= "Tally","Missing in GST","Missing in Tally"))</f>
        <v>Matched</v>
      </c>
      <c r="M496" s="6">
        <f t="shared" si="23"/>
        <v>0</v>
      </c>
    </row>
    <row r="497" spans="1:13" x14ac:dyDescent="0.2">
      <c r="A497" s="1" t="str">
        <v>INV1495</v>
      </c>
      <c r="B497" s="2" t="str">
        <v>27-05-2024</v>
      </c>
      <c r="C497" s="1" t="str">
        <v>24LMNOP4321K1Z7</v>
      </c>
      <c r="D497" s="4" t="str">
        <v>Patel Industries</v>
      </c>
      <c r="E497" s="6">
        <v>12468.79</v>
      </c>
      <c r="F497" s="6">
        <v>1122.19</v>
      </c>
      <c r="G497" s="6">
        <v>1122.19</v>
      </c>
      <c r="H497" s="6">
        <v>14713.17</v>
      </c>
      <c r="I497" s="19" t="str">
        <v>Tally</v>
      </c>
      <c r="J497" s="1" t="str">
        <f t="shared" si="21"/>
        <v>Unique</v>
      </c>
      <c r="K497" s="21" t="str">
        <f t="shared" si="22"/>
        <v/>
      </c>
      <c r="L497" s="4" t="str">
        <f>IF(COUNTIFS(A:A,A497,C:C,C497)=2,IF(K497="Mismatch","Value Mismatch","Matched"),IF(I497= "Tally","Missing in GST","Missing in Tally"))</f>
        <v>Missing in GST</v>
      </c>
      <c r="M497" s="6" t="str">
        <f t="shared" si="23"/>
        <v/>
      </c>
    </row>
    <row r="498" spans="1:13" x14ac:dyDescent="0.2">
      <c r="A498" s="1" t="str">
        <v>INV1496</v>
      </c>
      <c r="B498" s="2" t="str">
        <v>02-06-2024</v>
      </c>
      <c r="C498" s="1" t="str">
        <v>27ABCDE1234F1Z5</v>
      </c>
      <c r="D498" s="4" t="str">
        <v>Sharma Traders</v>
      </c>
      <c r="E498" s="6">
        <v>13872.95</v>
      </c>
      <c r="F498" s="6">
        <v>1248.57</v>
      </c>
      <c r="G498" s="6">
        <v>1248.57</v>
      </c>
      <c r="H498" s="6">
        <v>16370.09</v>
      </c>
      <c r="I498" s="19" t="str">
        <v>Tally</v>
      </c>
      <c r="J498" s="1" t="str">
        <f t="shared" si="21"/>
        <v>Unique</v>
      </c>
      <c r="K498" s="21" t="str">
        <f t="shared" si="22"/>
        <v/>
      </c>
      <c r="L498" s="4" t="str">
        <f>IF(COUNTIFS(A:A,A498,C:C,C498)=2,IF(K498="Mismatch","Value Mismatch","Matched"),IF(I498= "Tally","Missing in GST","Missing in Tally"))</f>
        <v>Missing in GST</v>
      </c>
      <c r="M498" s="6" t="str">
        <f t="shared" si="23"/>
        <v/>
      </c>
    </row>
    <row r="499" spans="1:13" x14ac:dyDescent="0.2">
      <c r="A499" s="1" t="str">
        <v>INV1497</v>
      </c>
      <c r="B499" s="2" t="str">
        <v>24-04-2024</v>
      </c>
      <c r="C499" s="1" t="str">
        <v>19ASDFG2468H1Z9</v>
      </c>
      <c r="D499" s="4" t="str">
        <v>Eastern Distributors</v>
      </c>
      <c r="E499" s="6">
        <v>11907.67</v>
      </c>
      <c r="F499" s="6">
        <v>1071.69</v>
      </c>
      <c r="G499" s="6">
        <v>1071.69</v>
      </c>
      <c r="H499" s="6">
        <v>14051.05</v>
      </c>
      <c r="I499" s="19" t="str">
        <v>Tally</v>
      </c>
      <c r="J499" s="1" t="str">
        <f t="shared" si="21"/>
        <v>Unique</v>
      </c>
      <c r="K499" s="21" t="str">
        <f t="shared" si="22"/>
        <v/>
      </c>
      <c r="L499" s="4" t="str">
        <f>IF(COUNTIFS(A:A,A499,C:C,C499)=2,IF(K499="Mismatch","Value Mismatch","Matched"),IF(I499= "Tally","Missing in GST","Missing in Tally"))</f>
        <v>Missing in GST</v>
      </c>
      <c r="M499" s="6" t="str">
        <f t="shared" si="23"/>
        <v/>
      </c>
    </row>
    <row r="500" spans="1:13" x14ac:dyDescent="0.2">
      <c r="A500" s="1" t="str">
        <v>INV1498</v>
      </c>
      <c r="B500" s="2" t="str">
        <v>26-06-2024</v>
      </c>
      <c r="C500" s="1" t="str">
        <v>29PQRSX5678L1Z2</v>
      </c>
      <c r="D500" s="4" t="str">
        <v>Kiran Enterprises</v>
      </c>
      <c r="E500" s="6">
        <v>43565.62</v>
      </c>
      <c r="F500" s="6">
        <v>3920.91</v>
      </c>
      <c r="G500" s="6">
        <v>3920.91</v>
      </c>
      <c r="H500" s="6">
        <v>51407.44</v>
      </c>
      <c r="I500" s="19" t="str">
        <v>Tally</v>
      </c>
      <c r="J500" s="1" t="str">
        <f t="shared" si="21"/>
        <v>Unique</v>
      </c>
      <c r="K500" s="21" t="str">
        <f t="shared" si="22"/>
        <v/>
      </c>
      <c r="L500" s="4" t="str">
        <f>IF(COUNTIFS(A:A,A500,C:C,C500)=2,IF(K500="Mismatch","Value Mismatch","Matched"),IF(I500= "Tally","Missing in GST","Missing in Tally"))</f>
        <v>Missing in GST</v>
      </c>
      <c r="M500" s="6" t="str">
        <f t="shared" si="23"/>
        <v/>
      </c>
    </row>
    <row r="501" spans="1:13" x14ac:dyDescent="0.2">
      <c r="A501" s="1" t="str">
        <v>INV1499</v>
      </c>
      <c r="B501" s="2" t="str">
        <v>15-04-2024</v>
      </c>
      <c r="C501" s="1" t="str">
        <v>24LMNOP4321K1Z7</v>
      </c>
      <c r="D501" s="4" t="str">
        <v>Patel Industries</v>
      </c>
      <c r="E501" s="6">
        <v>32370.75</v>
      </c>
      <c r="F501" s="6">
        <v>2913.37</v>
      </c>
      <c r="G501" s="6">
        <v>2913.37</v>
      </c>
      <c r="H501" s="6">
        <v>38197.49</v>
      </c>
      <c r="I501" s="19" t="str">
        <v>Tally</v>
      </c>
      <c r="J501" s="1" t="str">
        <f t="shared" si="21"/>
        <v>Unique</v>
      </c>
      <c r="K501" s="21" t="str">
        <f t="shared" si="22"/>
        <v/>
      </c>
      <c r="L501" s="4" t="str">
        <f>IF(COUNTIFS(A:A,A501,C:C,C501)=2,IF(K501="Mismatch","Value Mismatch","Matched"),IF(I501= "Tally","Missing in GST","Missing in Tally"))</f>
        <v>Missing in GST</v>
      </c>
      <c r="M501" s="6" t="str">
        <f t="shared" si="23"/>
        <v/>
      </c>
    </row>
    <row r="502" spans="1:13" x14ac:dyDescent="0.2">
      <c r="A502" s="1" t="str">
        <v>INV1366</v>
      </c>
      <c r="B502" s="2" t="str">
        <v>19-06-2024</v>
      </c>
      <c r="C502" s="1" t="str">
        <v>07ZXCVB9876M1Z3</v>
      </c>
      <c r="D502" s="4" t="str">
        <v>Gupta Supplies</v>
      </c>
      <c r="E502" s="6">
        <v>28366.81</v>
      </c>
      <c r="F502" s="6">
        <v>2553.0100000000002</v>
      </c>
      <c r="G502" s="6">
        <v>2553.0100000000002</v>
      </c>
      <c r="H502" s="6">
        <v>33472.83</v>
      </c>
      <c r="I502" s="19" t="str">
        <v>GST</v>
      </c>
      <c r="J502" s="1" t="str">
        <f t="shared" si="21"/>
        <v>Unique</v>
      </c>
      <c r="K502" s="21" t="str">
        <f t="shared" si="22"/>
        <v>Matched</v>
      </c>
      <c r="L502" s="4" t="str">
        <f>IF(COUNTIFS(A:A,A502,C:C,C502)=2,IF(K502="Mismatch","Value Mismatch","Matched"),IF(I502= "Tally","Missing in GST","Missing in Tally"))</f>
        <v>Matched</v>
      </c>
      <c r="M502" s="6">
        <f t="shared" si="23"/>
        <v>0</v>
      </c>
    </row>
    <row r="503" spans="1:13" x14ac:dyDescent="0.2">
      <c r="A503" s="1" t="str">
        <v>INV1408</v>
      </c>
      <c r="B503" s="2" t="str">
        <v>13-05-2024</v>
      </c>
      <c r="C503" s="1" t="str">
        <v>07ZXCVB9876M1Z3</v>
      </c>
      <c r="D503" s="4" t="str">
        <v>Gupta Supplies</v>
      </c>
      <c r="E503" s="6">
        <v>20204.21</v>
      </c>
      <c r="F503" s="6">
        <v>1818.38</v>
      </c>
      <c r="G503" s="6">
        <v>1818.38</v>
      </c>
      <c r="H503" s="6">
        <v>23840.97</v>
      </c>
      <c r="I503" s="19" t="str">
        <v>GST</v>
      </c>
      <c r="J503" s="1" t="str">
        <f t="shared" si="21"/>
        <v>Unique</v>
      </c>
      <c r="K503" s="21" t="str">
        <f t="shared" si="22"/>
        <v>Matched</v>
      </c>
      <c r="L503" s="4" t="str">
        <f>IF(COUNTIFS(A:A,A503,C:C,C503)=2,IF(K503="Mismatch","Value Mismatch","Matched"),IF(I503= "Tally","Missing in GST","Missing in Tally"))</f>
        <v>Matched</v>
      </c>
      <c r="M503" s="6">
        <f t="shared" si="23"/>
        <v>0</v>
      </c>
    </row>
    <row r="504" spans="1:13" x14ac:dyDescent="0.2">
      <c r="A504" s="14" t="str">
        <v>INV1059</v>
      </c>
      <c r="B504" s="15" t="str">
        <v>27-05-2024</v>
      </c>
      <c r="C504" s="14" t="str">
        <v>29PQRSX5678L1Z2</v>
      </c>
      <c r="D504" s="16" t="str">
        <v>Kiran Enterprises</v>
      </c>
      <c r="E504" s="17">
        <v>44289.59</v>
      </c>
      <c r="F504" s="17">
        <v>3986.06</v>
      </c>
      <c r="G504" s="17">
        <v>3986.06</v>
      </c>
      <c r="H504" s="17">
        <v>52261.71</v>
      </c>
      <c r="I504" s="18" t="str">
        <v>GST</v>
      </c>
      <c r="J504" s="14" t="str">
        <f t="shared" si="21"/>
        <v>Duplicate</v>
      </c>
      <c r="K504" s="20" t="str">
        <f t="shared" si="22"/>
        <v/>
      </c>
      <c r="L504" s="16" t="str">
        <f>IF(COUNTIFS(A:A,A504,C:C,C504)=2,IF(K504="Mismatch","Value Mismatch","Matched"),IF(I504= "Tally","Missing in GST","Missing in Tally"))</f>
        <v>Missing in Tally</v>
      </c>
      <c r="M504" s="17" t="str">
        <f t="shared" si="23"/>
        <v/>
      </c>
    </row>
    <row r="505" spans="1:13" x14ac:dyDescent="0.2">
      <c r="A505" s="1" t="str">
        <v>INV1351</v>
      </c>
      <c r="B505" s="2" t="str">
        <v>11-05-2024</v>
      </c>
      <c r="C505" s="1" t="str">
        <v>19ASDFG2468H1Z9</v>
      </c>
      <c r="D505" s="4" t="str">
        <v>Eastern Distributors</v>
      </c>
      <c r="E505" s="6">
        <v>35302.49</v>
      </c>
      <c r="F505" s="6">
        <v>3177.22</v>
      </c>
      <c r="G505" s="6">
        <v>3177.22</v>
      </c>
      <c r="H505" s="6">
        <v>41656.93</v>
      </c>
      <c r="I505" s="19" t="str">
        <v>GST</v>
      </c>
      <c r="J505" s="1" t="str">
        <f t="shared" si="21"/>
        <v>Unique</v>
      </c>
      <c r="K505" s="21" t="str">
        <f t="shared" si="22"/>
        <v>Matched</v>
      </c>
      <c r="L505" s="4" t="str">
        <f>IF(COUNTIFS(A:A,A505,C:C,C505)=2,IF(K505="Mismatch","Value Mismatch","Matched"),IF(I505= "Tally","Missing in GST","Missing in Tally"))</f>
        <v>Matched</v>
      </c>
      <c r="M505" s="6">
        <f t="shared" si="23"/>
        <v>0</v>
      </c>
    </row>
    <row r="506" spans="1:13" x14ac:dyDescent="0.2">
      <c r="A506" s="1" t="str">
        <v>INV1029</v>
      </c>
      <c r="B506" s="2" t="str">
        <v>01-05-2024</v>
      </c>
      <c r="C506" s="1" t="str">
        <v>19ASDFG2468H1Z9</v>
      </c>
      <c r="D506" s="4" t="str">
        <v>Eastern Distributors</v>
      </c>
      <c r="E506" s="6">
        <v>38382.44</v>
      </c>
      <c r="F506" s="6">
        <v>3454.42</v>
      </c>
      <c r="G506" s="6">
        <v>3454.42</v>
      </c>
      <c r="H506" s="6">
        <v>45291.28</v>
      </c>
      <c r="I506" s="19" t="str">
        <v>GST</v>
      </c>
      <c r="J506" s="1" t="str">
        <f t="shared" si="21"/>
        <v>Unique</v>
      </c>
      <c r="K506" s="21" t="str">
        <f t="shared" si="22"/>
        <v>Matched</v>
      </c>
      <c r="L506" s="4" t="str">
        <f>IF(COUNTIFS(A:A,A506,C:C,C506)=2,IF(K506="Mismatch","Value Mismatch","Matched"),IF(I506= "Tally","Missing in GST","Missing in Tally"))</f>
        <v>Matched</v>
      </c>
      <c r="M506" s="6">
        <f t="shared" si="23"/>
        <v>0</v>
      </c>
    </row>
    <row r="507" spans="1:13" x14ac:dyDescent="0.2">
      <c r="A507" s="1" t="str">
        <v>INV1107</v>
      </c>
      <c r="B507" s="2" t="str">
        <v>12-06-2024</v>
      </c>
      <c r="C507" s="1" t="str">
        <v>19ASDFG2468H1Z9</v>
      </c>
      <c r="D507" s="4" t="str">
        <v>Eastern Distributors</v>
      </c>
      <c r="E507" s="6">
        <v>13242.61</v>
      </c>
      <c r="F507" s="6">
        <v>1191.83</v>
      </c>
      <c r="G507" s="6">
        <v>1191.83</v>
      </c>
      <c r="H507" s="6">
        <v>15626.27</v>
      </c>
      <c r="I507" s="19" t="str">
        <v>GST</v>
      </c>
      <c r="J507" s="1" t="str">
        <f t="shared" si="21"/>
        <v>Unique</v>
      </c>
      <c r="K507" s="21" t="str">
        <f t="shared" si="22"/>
        <v>Matched</v>
      </c>
      <c r="L507" s="4" t="str">
        <f>IF(COUNTIFS(A:A,A507,C:C,C507)=2,IF(K507="Mismatch","Value Mismatch","Matched"),IF(I507= "Tally","Missing in GST","Missing in Tally"))</f>
        <v>Matched</v>
      </c>
      <c r="M507" s="6">
        <f t="shared" si="23"/>
        <v>0</v>
      </c>
    </row>
    <row r="508" spans="1:13" x14ac:dyDescent="0.2">
      <c r="A508" s="14" t="str">
        <v>INV1354</v>
      </c>
      <c r="B508" s="15" t="str">
        <v>22-06-2024</v>
      </c>
      <c r="C508" s="14" t="str">
        <v>24LMNOP4321K1Z7</v>
      </c>
      <c r="D508" s="16" t="str">
        <v>Patel Industries</v>
      </c>
      <c r="E508" s="17">
        <v>31697.52</v>
      </c>
      <c r="F508" s="17">
        <v>2852.78</v>
      </c>
      <c r="G508" s="17">
        <v>2852.78</v>
      </c>
      <c r="H508" s="17">
        <v>37403.08</v>
      </c>
      <c r="I508" s="18" t="str">
        <v>GST</v>
      </c>
      <c r="J508" s="14" t="str">
        <f t="shared" si="21"/>
        <v>Duplicate</v>
      </c>
      <c r="K508" s="20" t="str">
        <f t="shared" si="22"/>
        <v/>
      </c>
      <c r="L508" s="16" t="str">
        <f>IF(COUNTIFS(A:A,A508,C:C,C508)=2,IF(K508="Mismatch","Value Mismatch","Matched"),IF(I508= "Tally","Missing in GST","Missing in Tally"))</f>
        <v>Missing in Tally</v>
      </c>
      <c r="M508" s="17" t="str">
        <f t="shared" si="23"/>
        <v/>
      </c>
    </row>
    <row r="509" spans="1:13" x14ac:dyDescent="0.2">
      <c r="A509" s="1" t="str">
        <v>INV1095</v>
      </c>
      <c r="B509" s="2" t="str">
        <v>26-06-2024</v>
      </c>
      <c r="C509" s="1" t="str">
        <v>29PQRSX5678L1Z2</v>
      </c>
      <c r="D509" s="4" t="str">
        <v>Kiran Enterprises</v>
      </c>
      <c r="E509" s="6">
        <v>7177.44</v>
      </c>
      <c r="F509" s="6">
        <v>645.97</v>
      </c>
      <c r="G509" s="6">
        <v>645.97</v>
      </c>
      <c r="H509" s="6">
        <v>8469.3799999999992</v>
      </c>
      <c r="I509" s="19" t="str">
        <v>GST</v>
      </c>
      <c r="J509" s="1" t="str">
        <f t="shared" si="21"/>
        <v>Unique</v>
      </c>
      <c r="K509" s="21" t="str">
        <f t="shared" si="22"/>
        <v>Matched</v>
      </c>
      <c r="L509" s="4" t="str">
        <f>IF(COUNTIFS(A:A,A509,C:C,C509)=2,IF(K509="Mismatch","Value Mismatch","Matched"),IF(I509= "Tally","Missing in GST","Missing in Tally"))</f>
        <v>Matched</v>
      </c>
      <c r="M509" s="6">
        <f t="shared" si="23"/>
        <v>0</v>
      </c>
    </row>
    <row r="510" spans="1:13" x14ac:dyDescent="0.2">
      <c r="A510" s="1" t="str">
        <v>INV1494</v>
      </c>
      <c r="B510" s="2" t="str">
        <v>28-04-2024</v>
      </c>
      <c r="C510" s="1" t="str">
        <v>07ZXCVB9876M1Z3</v>
      </c>
      <c r="D510" s="4" t="str">
        <v>Gupta Supplies</v>
      </c>
      <c r="E510" s="6">
        <v>11312.88</v>
      </c>
      <c r="F510" s="6">
        <v>1018.16</v>
      </c>
      <c r="G510" s="6">
        <v>1018.16</v>
      </c>
      <c r="H510" s="6">
        <v>13349.2</v>
      </c>
      <c r="I510" s="19" t="str">
        <v>GST</v>
      </c>
      <c r="J510" s="1" t="str">
        <f t="shared" si="21"/>
        <v>Unique</v>
      </c>
      <c r="K510" s="21" t="str">
        <f t="shared" si="22"/>
        <v>Matched</v>
      </c>
      <c r="L510" s="4" t="str">
        <f>IF(COUNTIFS(A:A,A510,C:C,C510)=2,IF(K510="Mismatch","Value Mismatch","Matched"),IF(I510= "Tally","Missing in GST","Missing in Tally"))</f>
        <v>Matched</v>
      </c>
      <c r="M510" s="6">
        <f t="shared" si="23"/>
        <v>0</v>
      </c>
    </row>
    <row r="511" spans="1:13" x14ac:dyDescent="0.2">
      <c r="A511" s="1" t="str">
        <v>INV1243</v>
      </c>
      <c r="B511" s="2" t="str">
        <v>26-06-2024</v>
      </c>
      <c r="C511" s="1" t="str">
        <v>19ASDFG2468H1Z9</v>
      </c>
      <c r="D511" s="4" t="str">
        <v>Eastern Distributors</v>
      </c>
      <c r="E511" s="6">
        <v>8951.81</v>
      </c>
      <c r="F511" s="6">
        <v>805.66</v>
      </c>
      <c r="G511" s="6">
        <v>805.66</v>
      </c>
      <c r="H511" s="6">
        <v>10563.13</v>
      </c>
      <c r="I511" s="19" t="str">
        <v>GST</v>
      </c>
      <c r="J511" s="1" t="str">
        <f t="shared" si="21"/>
        <v>Unique</v>
      </c>
      <c r="K511" s="21" t="str">
        <f t="shared" si="22"/>
        <v>Matched</v>
      </c>
      <c r="L511" s="4" t="str">
        <f>IF(COUNTIFS(A:A,A511,C:C,C511)=2,IF(K511="Mismatch","Value Mismatch","Matched"),IF(I511= "Tally","Missing in GST","Missing in Tally"))</f>
        <v>Matched</v>
      </c>
      <c r="M511" s="6">
        <f t="shared" si="23"/>
        <v>0</v>
      </c>
    </row>
    <row r="512" spans="1:13" x14ac:dyDescent="0.2">
      <c r="A512" s="1" t="str">
        <v>INV1146</v>
      </c>
      <c r="B512" s="2" t="str">
        <v>05-05-2024</v>
      </c>
      <c r="C512" s="1" t="str">
        <v>07ZXCVB9876M1Z3</v>
      </c>
      <c r="D512" s="4" t="str">
        <v>Gupta Supplies</v>
      </c>
      <c r="E512" s="6">
        <v>33740.379999999997</v>
      </c>
      <c r="F512" s="6">
        <v>3036.63</v>
      </c>
      <c r="G512" s="6">
        <v>3036.63</v>
      </c>
      <c r="H512" s="6">
        <v>39813.64</v>
      </c>
      <c r="I512" s="19" t="str">
        <v>GST</v>
      </c>
      <c r="J512" s="1" t="str">
        <f t="shared" si="21"/>
        <v>Unique</v>
      </c>
      <c r="K512" s="21" t="str">
        <f t="shared" si="22"/>
        <v>Matched</v>
      </c>
      <c r="L512" s="4" t="str">
        <f>IF(COUNTIFS(A:A,A512,C:C,C512)=2,IF(K512="Mismatch","Value Mismatch","Matched"),IF(I512= "Tally","Missing in GST","Missing in Tally"))</f>
        <v>Matched</v>
      </c>
      <c r="M512" s="6">
        <f t="shared" si="23"/>
        <v>0</v>
      </c>
    </row>
    <row r="513" spans="1:13" x14ac:dyDescent="0.2">
      <c r="A513" s="1" t="str">
        <v>INV1491</v>
      </c>
      <c r="B513" s="2" t="str">
        <v>26-04-2024</v>
      </c>
      <c r="C513" s="1" t="str">
        <v>19ASDFG2468H1Z9</v>
      </c>
      <c r="D513" s="4" t="str">
        <v>Eastern Distributors</v>
      </c>
      <c r="E513" s="6">
        <v>3571.68</v>
      </c>
      <c r="F513" s="6">
        <v>321.45</v>
      </c>
      <c r="G513" s="6">
        <v>321.45</v>
      </c>
      <c r="H513" s="6">
        <v>4214.58</v>
      </c>
      <c r="I513" s="19" t="str">
        <v>GST</v>
      </c>
      <c r="J513" s="1" t="str">
        <f t="shared" si="21"/>
        <v>Unique</v>
      </c>
      <c r="K513" s="21" t="str">
        <f t="shared" si="22"/>
        <v>Matched</v>
      </c>
      <c r="L513" s="4" t="str">
        <f>IF(COUNTIFS(A:A,A513,C:C,C513)=2,IF(K513="Mismatch","Value Mismatch","Matched"),IF(I513= "Tally","Missing in GST","Missing in Tally"))</f>
        <v>Matched</v>
      </c>
      <c r="M513" s="6">
        <f t="shared" si="23"/>
        <v>0</v>
      </c>
    </row>
    <row r="514" spans="1:13" x14ac:dyDescent="0.2">
      <c r="A514" s="14" t="str">
        <v>INV1339</v>
      </c>
      <c r="B514" s="15" t="str">
        <v>31-05-2024</v>
      </c>
      <c r="C514" s="14" t="str">
        <v>27ABCDE1234F1Z5</v>
      </c>
      <c r="D514" s="16" t="str">
        <v>Sharma Traders</v>
      </c>
      <c r="E514" s="17">
        <v>10275.1</v>
      </c>
      <c r="F514" s="17">
        <v>924.76</v>
      </c>
      <c r="G514" s="17">
        <v>924.76</v>
      </c>
      <c r="H514" s="17">
        <v>12124.62</v>
      </c>
      <c r="I514" s="18" t="str">
        <v>GST</v>
      </c>
      <c r="J514" s="14" t="str">
        <f t="shared" si="21"/>
        <v>Duplicate</v>
      </c>
      <c r="K514" s="20" t="str">
        <f t="shared" si="22"/>
        <v/>
      </c>
      <c r="L514" s="16" t="str">
        <f>IF(COUNTIFS(A:A,A514,C:C,C514)=2,IF(K514="Mismatch","Value Mismatch","Matched"),IF(I514= "Tally","Missing in GST","Missing in Tally"))</f>
        <v>Missing in Tally</v>
      </c>
      <c r="M514" s="17" t="str">
        <f t="shared" si="23"/>
        <v/>
      </c>
    </row>
    <row r="515" spans="1:13" x14ac:dyDescent="0.2">
      <c r="A515" s="1" t="str">
        <v>INV1123</v>
      </c>
      <c r="B515" s="2" t="str">
        <v>02-04-2024</v>
      </c>
      <c r="C515" s="1" t="str">
        <v>24LMNOP4321K1Z7</v>
      </c>
      <c r="D515" s="4" t="str">
        <v>Patel Industries</v>
      </c>
      <c r="E515" s="6">
        <v>38965.550000000003</v>
      </c>
      <c r="F515" s="6">
        <v>3506.9</v>
      </c>
      <c r="G515" s="6">
        <v>3506.9</v>
      </c>
      <c r="H515" s="6">
        <v>45979.35</v>
      </c>
      <c r="I515" s="19" t="str">
        <v>GST</v>
      </c>
      <c r="J515" s="1" t="str">
        <f t="shared" ref="J515:J578" si="24">IF(COUNTIFS(A:A,A515,D:D,D515,I:I,I515)&gt;1,"Duplicate","Unique")</f>
        <v>Unique</v>
      </c>
      <c r="K515" s="21" t="str">
        <f t="shared" ref="K515:K578" si="25">IF(COUNTIFS(A:A,A515,C:C,C515)=2,IF(SUMIFS(E:E,A:A,A515,C:C,C515)&lt;&gt;E515*2,"Mismatch","Matched"),"")</f>
        <v>Matched</v>
      </c>
      <c r="L515" s="4" t="str">
        <f>IF(COUNTIFS(A:A,A515,C:C,C515)=2,IF(K515="Mismatch","Value Mismatch","Matched"),IF(I515= "Tally","Missing in GST","Missing in Tally"))</f>
        <v>Matched</v>
      </c>
      <c r="M515" s="6">
        <f t="shared" ref="M515:M578" si="26">IF(COUNTIFS(A:A,A515,C:C,C515)=2,SUMIFS(E:E,A:A,A515,C:C,C515)-E515*2,"")</f>
        <v>0</v>
      </c>
    </row>
    <row r="516" spans="1:13" x14ac:dyDescent="0.2">
      <c r="A516" s="1" t="str">
        <v>INV1091</v>
      </c>
      <c r="B516" s="2" t="str">
        <v>14-05-2024</v>
      </c>
      <c r="C516" s="1" t="str">
        <v>29PQRSX5678L1Z2</v>
      </c>
      <c r="D516" s="4" t="str">
        <v>Kiran Enterprises</v>
      </c>
      <c r="E516" s="6">
        <v>28782.54</v>
      </c>
      <c r="F516" s="6">
        <v>2590.4299999999998</v>
      </c>
      <c r="G516" s="6">
        <v>2590.4299999999998</v>
      </c>
      <c r="H516" s="6">
        <v>33963.4</v>
      </c>
      <c r="I516" s="19" t="str">
        <v>GST</v>
      </c>
      <c r="J516" s="1" t="str">
        <f t="shared" si="24"/>
        <v>Unique</v>
      </c>
      <c r="K516" s="21" t="str">
        <f t="shared" si="25"/>
        <v>Matched</v>
      </c>
      <c r="L516" s="4" t="str">
        <f>IF(COUNTIFS(A:A,A516,C:C,C516)=2,IF(K516="Mismatch","Value Mismatch","Matched"),IF(I516= "Tally","Missing in GST","Missing in Tally"))</f>
        <v>Matched</v>
      </c>
      <c r="M516" s="6">
        <f t="shared" si="26"/>
        <v>0</v>
      </c>
    </row>
    <row r="517" spans="1:13" x14ac:dyDescent="0.2">
      <c r="A517" s="1" t="str">
        <v>INV1364</v>
      </c>
      <c r="B517" s="2" t="str">
        <v>26-06-2024</v>
      </c>
      <c r="C517" s="1" t="str">
        <v>27ABCDE1234F1Z5</v>
      </c>
      <c r="D517" s="4" t="str">
        <v>Sharma Traders</v>
      </c>
      <c r="E517" s="6">
        <v>35963.81</v>
      </c>
      <c r="F517" s="6">
        <v>3236.74</v>
      </c>
      <c r="G517" s="6">
        <v>3236.74</v>
      </c>
      <c r="H517" s="6">
        <v>42437.29</v>
      </c>
      <c r="I517" s="19" t="str">
        <v>GST</v>
      </c>
      <c r="J517" s="1" t="str">
        <f t="shared" si="24"/>
        <v>Unique</v>
      </c>
      <c r="K517" s="21" t="str">
        <f t="shared" si="25"/>
        <v>Matched</v>
      </c>
      <c r="L517" s="4" t="str">
        <f>IF(COUNTIFS(A:A,A517,C:C,C517)=2,IF(K517="Mismatch","Value Mismatch","Matched"),IF(I517= "Tally","Missing in GST","Missing in Tally"))</f>
        <v>Matched</v>
      </c>
      <c r="M517" s="6">
        <f t="shared" si="26"/>
        <v>0</v>
      </c>
    </row>
    <row r="518" spans="1:13" x14ac:dyDescent="0.2">
      <c r="A518" s="1" t="str">
        <v>INV1106</v>
      </c>
      <c r="B518" s="2" t="str">
        <v>27-05-2024</v>
      </c>
      <c r="C518" s="1" t="str">
        <v>19ASDFG2468H1Z9</v>
      </c>
      <c r="D518" s="4" t="str">
        <v>Eastern Distributors</v>
      </c>
      <c r="E518" s="6">
        <v>49107.12</v>
      </c>
      <c r="F518" s="6">
        <v>4419.6400000000003</v>
      </c>
      <c r="G518" s="6">
        <v>4419.6400000000003</v>
      </c>
      <c r="H518" s="6">
        <v>57946.400000000001</v>
      </c>
      <c r="I518" s="19" t="str">
        <v>GST</v>
      </c>
      <c r="J518" s="1" t="str">
        <f t="shared" si="24"/>
        <v>Unique</v>
      </c>
      <c r="K518" s="21" t="str">
        <f t="shared" si="25"/>
        <v>Matched</v>
      </c>
      <c r="L518" s="4" t="str">
        <f>IF(COUNTIFS(A:A,A518,C:C,C518)=2,IF(K518="Mismatch","Value Mismatch","Matched"),IF(I518= "Tally","Missing in GST","Missing in Tally"))</f>
        <v>Matched</v>
      </c>
      <c r="M518" s="6">
        <f t="shared" si="26"/>
        <v>0</v>
      </c>
    </row>
    <row r="519" spans="1:13" x14ac:dyDescent="0.2">
      <c r="A519" s="1" t="str">
        <v>INV1467</v>
      </c>
      <c r="B519" s="2" t="str">
        <v>05-05-2024</v>
      </c>
      <c r="C519" s="1" t="str">
        <v>07ZXCVB9876M1Z3</v>
      </c>
      <c r="D519" s="4" t="str">
        <v>Gupta Supplies</v>
      </c>
      <c r="E519" s="6">
        <v>7624.92</v>
      </c>
      <c r="F519" s="6">
        <v>686.24</v>
      </c>
      <c r="G519" s="6">
        <v>686.24</v>
      </c>
      <c r="H519" s="6">
        <v>8997.4</v>
      </c>
      <c r="I519" s="19" t="str">
        <v>GST</v>
      </c>
      <c r="J519" s="1" t="str">
        <f t="shared" si="24"/>
        <v>Unique</v>
      </c>
      <c r="K519" s="21" t="str">
        <f t="shared" si="25"/>
        <v>Matched</v>
      </c>
      <c r="L519" s="4" t="str">
        <f>IF(COUNTIFS(A:A,A519,C:C,C519)=2,IF(K519="Mismatch","Value Mismatch","Matched"),IF(I519= "Tally","Missing in GST","Missing in Tally"))</f>
        <v>Matched</v>
      </c>
      <c r="M519" s="6">
        <f t="shared" si="26"/>
        <v>0</v>
      </c>
    </row>
    <row r="520" spans="1:13" x14ac:dyDescent="0.2">
      <c r="A520" s="1" t="str">
        <v>INV1328</v>
      </c>
      <c r="B520" s="2" t="str">
        <v>29-06-2024</v>
      </c>
      <c r="C520" s="1" t="str">
        <v>27ABCDE1234F1Z5</v>
      </c>
      <c r="D520" s="4" t="str">
        <v>Sharma Traders</v>
      </c>
      <c r="E520" s="6">
        <v>3292.74</v>
      </c>
      <c r="F520" s="6">
        <v>296.35000000000002</v>
      </c>
      <c r="G520" s="6">
        <v>296.35000000000002</v>
      </c>
      <c r="H520" s="6">
        <v>3885.44</v>
      </c>
      <c r="I520" s="19" t="str">
        <v>GST</v>
      </c>
      <c r="J520" s="1" t="str">
        <f t="shared" si="24"/>
        <v>Unique</v>
      </c>
      <c r="K520" s="21" t="str">
        <f t="shared" si="25"/>
        <v>Matched</v>
      </c>
      <c r="L520" s="4" t="str">
        <f>IF(COUNTIFS(A:A,A520,C:C,C520)=2,IF(K520="Mismatch","Value Mismatch","Matched"),IF(I520= "Tally","Missing in GST","Missing in Tally"))</f>
        <v>Matched</v>
      </c>
      <c r="M520" s="6">
        <f t="shared" si="26"/>
        <v>0</v>
      </c>
    </row>
    <row r="521" spans="1:13" x14ac:dyDescent="0.2">
      <c r="A521" s="1" t="str">
        <v>INV1217</v>
      </c>
      <c r="B521" s="2" t="str">
        <v>17-04-2024</v>
      </c>
      <c r="C521" s="1" t="str">
        <v>19ASDFG2468H1Z9</v>
      </c>
      <c r="D521" s="4" t="str">
        <v>Eastern Distributors</v>
      </c>
      <c r="E521" s="6">
        <v>3538.62</v>
      </c>
      <c r="F521" s="6">
        <v>318.48</v>
      </c>
      <c r="G521" s="6">
        <v>318.48</v>
      </c>
      <c r="H521" s="6">
        <v>4175.58</v>
      </c>
      <c r="I521" s="19" t="str">
        <v>GST</v>
      </c>
      <c r="J521" s="1" t="str">
        <f t="shared" si="24"/>
        <v>Unique</v>
      </c>
      <c r="K521" s="21" t="str">
        <f t="shared" si="25"/>
        <v>Matched</v>
      </c>
      <c r="L521" s="4" t="str">
        <f>IF(COUNTIFS(A:A,A521,C:C,C521)=2,IF(K521="Mismatch","Value Mismatch","Matched"),IF(I521= "Tally","Missing in GST","Missing in Tally"))</f>
        <v>Matched</v>
      </c>
      <c r="M521" s="6">
        <f t="shared" si="26"/>
        <v>0</v>
      </c>
    </row>
    <row r="522" spans="1:13" x14ac:dyDescent="0.2">
      <c r="A522" s="1" t="str">
        <v>INV1055</v>
      </c>
      <c r="B522" s="2" t="str">
        <v>27-05-2024</v>
      </c>
      <c r="C522" s="1" t="str">
        <v>29PQRSX5678L1Z2</v>
      </c>
      <c r="D522" s="4" t="str">
        <v>Kiran Enterprises</v>
      </c>
      <c r="E522" s="6">
        <v>20484.740000000002</v>
      </c>
      <c r="F522" s="6">
        <v>1843.63</v>
      </c>
      <c r="G522" s="6">
        <v>1843.63</v>
      </c>
      <c r="H522" s="6">
        <v>24172</v>
      </c>
      <c r="I522" s="19" t="str">
        <v>GST</v>
      </c>
      <c r="J522" s="1" t="str">
        <f t="shared" si="24"/>
        <v>Unique</v>
      </c>
      <c r="K522" s="21" t="str">
        <f t="shared" si="25"/>
        <v>Matched</v>
      </c>
      <c r="L522" s="4" t="str">
        <f>IF(COUNTIFS(A:A,A522,C:C,C522)=2,IF(K522="Mismatch","Value Mismatch","Matched"),IF(I522= "Tally","Missing in GST","Missing in Tally"))</f>
        <v>Matched</v>
      </c>
      <c r="M522" s="6">
        <f t="shared" si="26"/>
        <v>0</v>
      </c>
    </row>
    <row r="523" spans="1:13" x14ac:dyDescent="0.2">
      <c r="A523" s="1" t="str">
        <v>INV1409</v>
      </c>
      <c r="B523" s="2" t="str">
        <v>14-06-2024</v>
      </c>
      <c r="C523" s="1" t="str">
        <v>29PQRSX5678L1Z2</v>
      </c>
      <c r="D523" s="4" t="str">
        <v>Kiran Enterprises</v>
      </c>
      <c r="E523" s="6">
        <v>46141.54</v>
      </c>
      <c r="F523" s="6">
        <v>4152.74</v>
      </c>
      <c r="G523" s="6">
        <v>4152.74</v>
      </c>
      <c r="H523" s="6">
        <v>54447.02</v>
      </c>
      <c r="I523" s="19" t="str">
        <v>GST</v>
      </c>
      <c r="J523" s="1" t="str">
        <f t="shared" si="24"/>
        <v>Unique</v>
      </c>
      <c r="K523" s="21" t="str">
        <f t="shared" si="25"/>
        <v>Matched</v>
      </c>
      <c r="L523" s="4" t="str">
        <f>IF(COUNTIFS(A:A,A523,C:C,C523)=2,IF(K523="Mismatch","Value Mismatch","Matched"),IF(I523= "Tally","Missing in GST","Missing in Tally"))</f>
        <v>Matched</v>
      </c>
      <c r="M523" s="6">
        <f t="shared" si="26"/>
        <v>0</v>
      </c>
    </row>
    <row r="524" spans="1:13" x14ac:dyDescent="0.2">
      <c r="A524" s="1" t="str">
        <v>INV1049</v>
      </c>
      <c r="B524" s="2" t="str">
        <v>12-05-2024</v>
      </c>
      <c r="C524" s="1" t="str">
        <v>29PQRSX5678L1Z2</v>
      </c>
      <c r="D524" s="4" t="str">
        <v>Kiran Enterprises</v>
      </c>
      <c r="E524" s="6">
        <v>26513.16</v>
      </c>
      <c r="F524" s="6">
        <v>2386.1799999999998</v>
      </c>
      <c r="G524" s="6">
        <v>2386.1799999999998</v>
      </c>
      <c r="H524" s="6">
        <v>31285.52</v>
      </c>
      <c r="I524" s="19" t="str">
        <v>GST</v>
      </c>
      <c r="J524" s="1" t="str">
        <f t="shared" si="24"/>
        <v>Unique</v>
      </c>
      <c r="K524" s="21" t="str">
        <f t="shared" si="25"/>
        <v>Matched</v>
      </c>
      <c r="L524" s="4" t="str">
        <f>IF(COUNTIFS(A:A,A524,C:C,C524)=2,IF(K524="Mismatch","Value Mismatch","Matched"),IF(I524= "Tally","Missing in GST","Missing in Tally"))</f>
        <v>Matched</v>
      </c>
      <c r="M524" s="6">
        <f t="shared" si="26"/>
        <v>0</v>
      </c>
    </row>
    <row r="525" spans="1:13" x14ac:dyDescent="0.2">
      <c r="A525" s="1" t="str">
        <v>INV1258</v>
      </c>
      <c r="B525" s="2" t="str">
        <v>12-04-2024</v>
      </c>
      <c r="C525" s="1" t="str">
        <v>24LMNOP4321K1Z7</v>
      </c>
      <c r="D525" s="4" t="str">
        <v>Patel Industries</v>
      </c>
      <c r="E525" s="6">
        <v>15459.13</v>
      </c>
      <c r="F525" s="6">
        <v>1391.32</v>
      </c>
      <c r="G525" s="6">
        <v>1391.32</v>
      </c>
      <c r="H525" s="6">
        <v>18241.77</v>
      </c>
      <c r="I525" s="19" t="str">
        <v>GST</v>
      </c>
      <c r="J525" s="1" t="str">
        <f t="shared" si="24"/>
        <v>Unique</v>
      </c>
      <c r="K525" s="21" t="str">
        <f t="shared" si="25"/>
        <v>Matched</v>
      </c>
      <c r="L525" s="4" t="str">
        <f>IF(COUNTIFS(A:A,A525,C:C,C525)=2,IF(K525="Mismatch","Value Mismatch","Matched"),IF(I525= "Tally","Missing in GST","Missing in Tally"))</f>
        <v>Matched</v>
      </c>
      <c r="M525" s="6">
        <f t="shared" si="26"/>
        <v>0</v>
      </c>
    </row>
    <row r="526" spans="1:13" x14ac:dyDescent="0.2">
      <c r="A526" s="1" t="str">
        <v>INV1245</v>
      </c>
      <c r="B526" s="2" t="str">
        <v>09-04-2024</v>
      </c>
      <c r="C526" s="1" t="str">
        <v>19ASDFG2468H1Z9</v>
      </c>
      <c r="D526" s="4" t="str">
        <v>Eastern Distributors</v>
      </c>
      <c r="E526" s="6">
        <v>9898.69</v>
      </c>
      <c r="F526" s="6">
        <v>890.88</v>
      </c>
      <c r="G526" s="6">
        <v>890.88</v>
      </c>
      <c r="H526" s="6">
        <v>11680.45</v>
      </c>
      <c r="I526" s="19" t="str">
        <v>GST</v>
      </c>
      <c r="J526" s="1" t="str">
        <f t="shared" si="24"/>
        <v>Unique</v>
      </c>
      <c r="K526" s="21" t="str">
        <f t="shared" si="25"/>
        <v>Matched</v>
      </c>
      <c r="L526" s="4" t="str">
        <f>IF(COUNTIFS(A:A,A526,C:C,C526)=2,IF(K526="Mismatch","Value Mismatch","Matched"),IF(I526= "Tally","Missing in GST","Missing in Tally"))</f>
        <v>Matched</v>
      </c>
      <c r="M526" s="6">
        <f t="shared" si="26"/>
        <v>0</v>
      </c>
    </row>
    <row r="527" spans="1:13" x14ac:dyDescent="0.2">
      <c r="A527" s="1" t="str">
        <v>INV1007</v>
      </c>
      <c r="B527" s="2" t="str">
        <v>02-06-2024</v>
      </c>
      <c r="C527" s="1" t="str">
        <v>19ASDFG2468H1Z9</v>
      </c>
      <c r="D527" s="4" t="str">
        <v>Eastern Distributors</v>
      </c>
      <c r="E527" s="6">
        <v>29107.09</v>
      </c>
      <c r="F527" s="6">
        <v>2619.64</v>
      </c>
      <c r="G527" s="6">
        <v>2619.64</v>
      </c>
      <c r="H527" s="6">
        <v>34346.370000000003</v>
      </c>
      <c r="I527" s="19" t="str">
        <v>GST</v>
      </c>
      <c r="J527" s="1" t="str">
        <f t="shared" si="24"/>
        <v>Unique</v>
      </c>
      <c r="K527" s="21" t="str">
        <f t="shared" si="25"/>
        <v>Matched</v>
      </c>
      <c r="L527" s="4" t="str">
        <f>IF(COUNTIFS(A:A,A527,C:C,C527)=2,IF(K527="Mismatch","Value Mismatch","Matched"),IF(I527= "Tally","Missing in GST","Missing in Tally"))</f>
        <v>Matched</v>
      </c>
      <c r="M527" s="6">
        <f t="shared" si="26"/>
        <v>0</v>
      </c>
    </row>
    <row r="528" spans="1:13" x14ac:dyDescent="0.2">
      <c r="A528" s="1" t="str">
        <v>INV1019</v>
      </c>
      <c r="B528" s="2" t="str">
        <v>11-05-2024</v>
      </c>
      <c r="C528" s="1" t="str">
        <v>24LMNOP4321K1Z7</v>
      </c>
      <c r="D528" s="4" t="str">
        <v>Patel Industries</v>
      </c>
      <c r="E528" s="6">
        <v>37378.43</v>
      </c>
      <c r="F528" s="6">
        <v>3364.06</v>
      </c>
      <c r="G528" s="6">
        <v>3364.06</v>
      </c>
      <c r="H528" s="6">
        <v>44106.55</v>
      </c>
      <c r="I528" s="19" t="str">
        <v>GST</v>
      </c>
      <c r="J528" s="1" t="str">
        <f t="shared" si="24"/>
        <v>Unique</v>
      </c>
      <c r="K528" s="21" t="str">
        <f t="shared" si="25"/>
        <v>Matched</v>
      </c>
      <c r="L528" s="4" t="str">
        <f>IF(COUNTIFS(A:A,A528,C:C,C528)=2,IF(K528="Mismatch","Value Mismatch","Matched"),IF(I528= "Tally","Missing in GST","Missing in Tally"))</f>
        <v>Matched</v>
      </c>
      <c r="M528" s="6">
        <f t="shared" si="26"/>
        <v>0</v>
      </c>
    </row>
    <row r="529" spans="1:13" x14ac:dyDescent="0.2">
      <c r="A529" s="1" t="str">
        <v>INV1269</v>
      </c>
      <c r="B529" s="2" t="str">
        <v>05-05-2024</v>
      </c>
      <c r="C529" s="1" t="str">
        <v>29PQRSX5678L1Z2</v>
      </c>
      <c r="D529" s="4" t="str">
        <v>Kiran Enterprises</v>
      </c>
      <c r="E529" s="6">
        <v>12390.76</v>
      </c>
      <c r="F529" s="6">
        <v>1115.17</v>
      </c>
      <c r="G529" s="6">
        <v>1115.17</v>
      </c>
      <c r="H529" s="6">
        <v>14621.1</v>
      </c>
      <c r="I529" s="19" t="str">
        <v>GST</v>
      </c>
      <c r="J529" s="1" t="str">
        <f t="shared" si="24"/>
        <v>Unique</v>
      </c>
      <c r="K529" s="21" t="str">
        <f t="shared" si="25"/>
        <v>Matched</v>
      </c>
      <c r="L529" s="4" t="str">
        <f>IF(COUNTIFS(A:A,A529,C:C,C529)=2,IF(K529="Mismatch","Value Mismatch","Matched"),IF(I529= "Tally","Missing in GST","Missing in Tally"))</f>
        <v>Matched</v>
      </c>
      <c r="M529" s="6">
        <f t="shared" si="26"/>
        <v>0</v>
      </c>
    </row>
    <row r="530" spans="1:13" x14ac:dyDescent="0.2">
      <c r="A530" s="14" t="str">
        <v>INV1295</v>
      </c>
      <c r="B530" s="15" t="str">
        <v>19-05-2024</v>
      </c>
      <c r="C530" s="14" t="str">
        <v>19ASDFG2468H1Z9</v>
      </c>
      <c r="D530" s="16" t="str">
        <v>Eastern Distributors</v>
      </c>
      <c r="E530" s="17">
        <v>23059.78</v>
      </c>
      <c r="F530" s="17">
        <v>2075.38</v>
      </c>
      <c r="G530" s="17">
        <v>2075.38</v>
      </c>
      <c r="H530" s="17">
        <v>27210.54</v>
      </c>
      <c r="I530" s="18" t="str">
        <v>GST</v>
      </c>
      <c r="J530" s="14" t="str">
        <f t="shared" si="24"/>
        <v>Duplicate</v>
      </c>
      <c r="K530" s="20" t="str">
        <f t="shared" si="25"/>
        <v/>
      </c>
      <c r="L530" s="16" t="str">
        <f>IF(COUNTIFS(A:A,A530,C:C,C530)=2,IF(K530="Mismatch","Value Mismatch","Matched"),IF(I530= "Tally","Missing in GST","Missing in Tally"))</f>
        <v>Missing in Tally</v>
      </c>
      <c r="M530" s="17" t="str">
        <f t="shared" si="26"/>
        <v/>
      </c>
    </row>
    <row r="531" spans="1:13" x14ac:dyDescent="0.2">
      <c r="A531" s="14" t="str">
        <v>INV1354</v>
      </c>
      <c r="B531" s="15" t="str">
        <v>22-06-2024</v>
      </c>
      <c r="C531" s="14" t="str">
        <v>24LMNOP4321K1Z7</v>
      </c>
      <c r="D531" s="16" t="str">
        <v>Patel Industries</v>
      </c>
      <c r="E531" s="17">
        <v>31697.52</v>
      </c>
      <c r="F531" s="17">
        <v>2852.78</v>
      </c>
      <c r="G531" s="17">
        <v>2852.78</v>
      </c>
      <c r="H531" s="17">
        <v>37403.08</v>
      </c>
      <c r="I531" s="18" t="str">
        <v>GST</v>
      </c>
      <c r="J531" s="14" t="str">
        <f t="shared" si="24"/>
        <v>Duplicate</v>
      </c>
      <c r="K531" s="20" t="str">
        <f t="shared" si="25"/>
        <v/>
      </c>
      <c r="L531" s="16" t="str">
        <f>IF(COUNTIFS(A:A,A531,C:C,C531)=2,IF(K531="Mismatch","Value Mismatch","Matched"),IF(I531= "Tally","Missing in GST","Missing in Tally"))</f>
        <v>Missing in Tally</v>
      </c>
      <c r="M531" s="17" t="str">
        <f t="shared" si="26"/>
        <v/>
      </c>
    </row>
    <row r="532" spans="1:13" x14ac:dyDescent="0.2">
      <c r="A532" s="1" t="str">
        <v>INV1276</v>
      </c>
      <c r="B532" s="2" t="str">
        <v>26-06-2024</v>
      </c>
      <c r="C532" s="1" t="str">
        <v>24LMNOP4321K1Z7</v>
      </c>
      <c r="D532" s="4" t="str">
        <v>Patel Industries</v>
      </c>
      <c r="E532" s="6">
        <v>4469.43</v>
      </c>
      <c r="F532" s="6">
        <v>402.25</v>
      </c>
      <c r="G532" s="6">
        <v>402.25</v>
      </c>
      <c r="H532" s="6">
        <v>5273.93</v>
      </c>
      <c r="I532" s="19" t="str">
        <v>GST</v>
      </c>
      <c r="J532" s="1" t="str">
        <f t="shared" si="24"/>
        <v>Unique</v>
      </c>
      <c r="K532" s="21" t="str">
        <f t="shared" si="25"/>
        <v>Matched</v>
      </c>
      <c r="L532" s="4" t="str">
        <f>IF(COUNTIFS(A:A,A532,C:C,C532)=2,IF(K532="Mismatch","Value Mismatch","Matched"),IF(I532= "Tally","Missing in GST","Missing in Tally"))</f>
        <v>Matched</v>
      </c>
      <c r="M532" s="6">
        <f t="shared" si="26"/>
        <v>0</v>
      </c>
    </row>
    <row r="533" spans="1:13" x14ac:dyDescent="0.2">
      <c r="A533" s="14" t="str">
        <v>INV1059</v>
      </c>
      <c r="B533" s="15" t="str">
        <v>27-05-2024</v>
      </c>
      <c r="C533" s="14" t="str">
        <v>29PQRSX5678L1Z2</v>
      </c>
      <c r="D533" s="16" t="str">
        <v>Kiran Enterprises</v>
      </c>
      <c r="E533" s="17">
        <v>44289.59</v>
      </c>
      <c r="F533" s="17">
        <v>3986.06</v>
      </c>
      <c r="G533" s="17">
        <v>3986.06</v>
      </c>
      <c r="H533" s="17">
        <v>52261.71</v>
      </c>
      <c r="I533" s="18" t="str">
        <v>GST</v>
      </c>
      <c r="J533" s="14" t="str">
        <f t="shared" si="24"/>
        <v>Duplicate</v>
      </c>
      <c r="K533" s="20" t="str">
        <f t="shared" si="25"/>
        <v/>
      </c>
      <c r="L533" s="16" t="str">
        <f>IF(COUNTIFS(A:A,A533,C:C,C533)=2,IF(K533="Mismatch","Value Mismatch","Matched"),IF(I533= "Tally","Missing in GST","Missing in Tally"))</f>
        <v>Missing in Tally</v>
      </c>
      <c r="M533" s="17" t="str">
        <f t="shared" si="26"/>
        <v/>
      </c>
    </row>
    <row r="534" spans="1:13" x14ac:dyDescent="0.2">
      <c r="A534" s="1" t="str">
        <v>INV1466</v>
      </c>
      <c r="B534" s="2" t="str">
        <v>22-06-2024</v>
      </c>
      <c r="C534" s="1" t="str">
        <v>24LMNOP4321K1Z7</v>
      </c>
      <c r="D534" s="4" t="str">
        <v>Patel Industries</v>
      </c>
      <c r="E534" s="6">
        <v>20156.62</v>
      </c>
      <c r="F534" s="6">
        <v>1814.1</v>
      </c>
      <c r="G534" s="6">
        <v>1814.1</v>
      </c>
      <c r="H534" s="6">
        <v>23784.82</v>
      </c>
      <c r="I534" s="19" t="str">
        <v>GST</v>
      </c>
      <c r="J534" s="1" t="str">
        <f t="shared" si="24"/>
        <v>Unique</v>
      </c>
      <c r="K534" s="21" t="str">
        <f t="shared" si="25"/>
        <v>Matched</v>
      </c>
      <c r="L534" s="4" t="str">
        <f>IF(COUNTIFS(A:A,A534,C:C,C534)=2,IF(K534="Mismatch","Value Mismatch","Matched"),IF(I534= "Tally","Missing in GST","Missing in Tally"))</f>
        <v>Matched</v>
      </c>
      <c r="M534" s="6">
        <f t="shared" si="26"/>
        <v>0</v>
      </c>
    </row>
    <row r="535" spans="1:13" x14ac:dyDescent="0.2">
      <c r="A535" s="1" t="str">
        <v>INV1067</v>
      </c>
      <c r="B535" s="2" t="str">
        <v>30-04-2024</v>
      </c>
      <c r="C535" s="1" t="str">
        <v>27ABCDE1234F1Z5</v>
      </c>
      <c r="D535" s="4" t="str">
        <v>Sharma Traders</v>
      </c>
      <c r="E535" s="6">
        <v>2999.91</v>
      </c>
      <c r="F535" s="6">
        <v>269.99</v>
      </c>
      <c r="G535" s="6">
        <v>269.99</v>
      </c>
      <c r="H535" s="6">
        <v>3539.89</v>
      </c>
      <c r="I535" s="19" t="str">
        <v>GST</v>
      </c>
      <c r="J535" s="1" t="str">
        <f t="shared" si="24"/>
        <v>Unique</v>
      </c>
      <c r="K535" s="21" t="str">
        <f t="shared" si="25"/>
        <v>Matched</v>
      </c>
      <c r="L535" s="4" t="str">
        <f>IF(COUNTIFS(A:A,A535,C:C,C535)=2,IF(K535="Mismatch","Value Mismatch","Matched"),IF(I535= "Tally","Missing in GST","Missing in Tally"))</f>
        <v>Matched</v>
      </c>
      <c r="M535" s="6">
        <f t="shared" si="26"/>
        <v>0</v>
      </c>
    </row>
    <row r="536" spans="1:13" x14ac:dyDescent="0.2">
      <c r="A536" s="14" t="str">
        <v>INV1339</v>
      </c>
      <c r="B536" s="15" t="str">
        <v>31-05-2024</v>
      </c>
      <c r="C536" s="14" t="str">
        <v>27ABCDE1234F1Z5</v>
      </c>
      <c r="D536" s="16" t="str">
        <v>Sharma Traders</v>
      </c>
      <c r="E536" s="17">
        <v>10275.1</v>
      </c>
      <c r="F536" s="17">
        <v>924.76</v>
      </c>
      <c r="G536" s="17">
        <v>924.76</v>
      </c>
      <c r="H536" s="17">
        <v>12124.62</v>
      </c>
      <c r="I536" s="18" t="str">
        <v>GST</v>
      </c>
      <c r="J536" s="14" t="str">
        <f t="shared" si="24"/>
        <v>Duplicate</v>
      </c>
      <c r="K536" s="20" t="str">
        <f t="shared" si="25"/>
        <v/>
      </c>
      <c r="L536" s="16" t="str">
        <f>IF(COUNTIFS(A:A,A536,C:C,C536)=2,IF(K536="Mismatch","Value Mismatch","Matched"),IF(I536= "Tally","Missing in GST","Missing in Tally"))</f>
        <v>Missing in Tally</v>
      </c>
      <c r="M536" s="17" t="str">
        <f t="shared" si="26"/>
        <v/>
      </c>
    </row>
    <row r="537" spans="1:13" x14ac:dyDescent="0.2">
      <c r="A537" s="1" t="str">
        <v>INV1288</v>
      </c>
      <c r="B537" s="2" t="str">
        <v>13-05-2024</v>
      </c>
      <c r="C537" s="1" t="str">
        <v>29PQRSX5678L1Z2</v>
      </c>
      <c r="D537" s="4" t="str">
        <v>Kiran Enterprises</v>
      </c>
      <c r="E537" s="6">
        <v>47050.92</v>
      </c>
      <c r="F537" s="6">
        <v>4234.58</v>
      </c>
      <c r="G537" s="6">
        <v>4234.58</v>
      </c>
      <c r="H537" s="6">
        <v>55520.08</v>
      </c>
      <c r="I537" s="19" t="str">
        <v>GST</v>
      </c>
      <c r="J537" s="1" t="str">
        <f t="shared" si="24"/>
        <v>Unique</v>
      </c>
      <c r="K537" s="21" t="str">
        <f t="shared" si="25"/>
        <v>Matched</v>
      </c>
      <c r="L537" s="4" t="str">
        <f>IF(COUNTIFS(A:A,A537,C:C,C537)=2,IF(K537="Mismatch","Value Mismatch","Matched"),IF(I537= "Tally","Missing in GST","Missing in Tally"))</f>
        <v>Matched</v>
      </c>
      <c r="M537" s="6">
        <f t="shared" si="26"/>
        <v>0</v>
      </c>
    </row>
    <row r="538" spans="1:13" x14ac:dyDescent="0.2">
      <c r="A538" s="1" t="str">
        <v>INV1461</v>
      </c>
      <c r="B538" s="2" t="str">
        <v>05-06-2024</v>
      </c>
      <c r="C538" s="1" t="str">
        <v>29PQRSX5678L1Z2</v>
      </c>
      <c r="D538" s="4" t="str">
        <v>Kiran Enterprises</v>
      </c>
      <c r="E538" s="6">
        <v>42062.52</v>
      </c>
      <c r="F538" s="6">
        <v>3785.63</v>
      </c>
      <c r="G538" s="6">
        <v>3785.63</v>
      </c>
      <c r="H538" s="6">
        <v>49633.78</v>
      </c>
      <c r="I538" s="19" t="str">
        <v>GST</v>
      </c>
      <c r="J538" s="1" t="str">
        <f t="shared" si="24"/>
        <v>Unique</v>
      </c>
      <c r="K538" s="21" t="str">
        <f t="shared" si="25"/>
        <v>Matched</v>
      </c>
      <c r="L538" s="4" t="str">
        <f>IF(COUNTIFS(A:A,A538,C:C,C538)=2,IF(K538="Mismatch","Value Mismatch","Matched"),IF(I538= "Tally","Missing in GST","Missing in Tally"))</f>
        <v>Matched</v>
      </c>
      <c r="M538" s="6">
        <f t="shared" si="26"/>
        <v>0</v>
      </c>
    </row>
    <row r="539" spans="1:13" x14ac:dyDescent="0.2">
      <c r="A539" s="1" t="str">
        <v>INV1426</v>
      </c>
      <c r="B539" s="2" t="str">
        <v>23-06-2024</v>
      </c>
      <c r="C539" s="1" t="str">
        <v>27ABCDE1234F1Z5</v>
      </c>
      <c r="D539" s="4" t="str">
        <v>Sharma Traders</v>
      </c>
      <c r="E539" s="6">
        <v>23382.57</v>
      </c>
      <c r="F539" s="6">
        <v>2104.4299999999998</v>
      </c>
      <c r="G539" s="6">
        <v>2104.4299999999998</v>
      </c>
      <c r="H539" s="6">
        <v>27591.43</v>
      </c>
      <c r="I539" s="19" t="str">
        <v>GST</v>
      </c>
      <c r="J539" s="1" t="str">
        <f t="shared" si="24"/>
        <v>Unique</v>
      </c>
      <c r="K539" s="21" t="str">
        <f t="shared" si="25"/>
        <v>Matched</v>
      </c>
      <c r="L539" s="4" t="str">
        <f>IF(COUNTIFS(A:A,A539,C:C,C539)=2,IF(K539="Mismatch","Value Mismatch","Matched"),IF(I539= "Tally","Missing in GST","Missing in Tally"))</f>
        <v>Matched</v>
      </c>
      <c r="M539" s="6">
        <f t="shared" si="26"/>
        <v>0</v>
      </c>
    </row>
    <row r="540" spans="1:13" x14ac:dyDescent="0.2">
      <c r="A540" s="1" t="str">
        <v>INV1423</v>
      </c>
      <c r="B540" s="2" t="str">
        <v>22-04-2024</v>
      </c>
      <c r="C540" s="1" t="str">
        <v>24LMNOP4321K1Z7</v>
      </c>
      <c r="D540" s="4" t="str">
        <v>Patel Industries</v>
      </c>
      <c r="E540" s="6">
        <v>22390.25</v>
      </c>
      <c r="F540" s="6">
        <v>2015.12</v>
      </c>
      <c r="G540" s="6">
        <v>2015.12</v>
      </c>
      <c r="H540" s="6">
        <v>26420.49</v>
      </c>
      <c r="I540" s="19" t="str">
        <v>GST</v>
      </c>
      <c r="J540" s="1" t="str">
        <f t="shared" si="24"/>
        <v>Unique</v>
      </c>
      <c r="K540" s="21" t="str">
        <f t="shared" si="25"/>
        <v>Matched</v>
      </c>
      <c r="L540" s="4" t="str">
        <f>IF(COUNTIFS(A:A,A540,C:C,C540)=2,IF(K540="Mismatch","Value Mismatch","Matched"),IF(I540= "Tally","Missing in GST","Missing in Tally"))</f>
        <v>Matched</v>
      </c>
      <c r="M540" s="6">
        <f t="shared" si="26"/>
        <v>0</v>
      </c>
    </row>
    <row r="541" spans="1:13" x14ac:dyDescent="0.2">
      <c r="A541" s="14" t="str">
        <v>INV1096</v>
      </c>
      <c r="B541" s="15" t="str">
        <v>27-06-2024</v>
      </c>
      <c r="C541" s="14" t="str">
        <v>19ASDFG2468H1Z9</v>
      </c>
      <c r="D541" s="16" t="str">
        <v>Eastern Distributors</v>
      </c>
      <c r="E541" s="17">
        <v>13381.51</v>
      </c>
      <c r="F541" s="17">
        <v>1204.3399999999999</v>
      </c>
      <c r="G541" s="17">
        <v>1204.3399999999999</v>
      </c>
      <c r="H541" s="17">
        <v>15790.19</v>
      </c>
      <c r="I541" s="18" t="str">
        <v>GST</v>
      </c>
      <c r="J541" s="14" t="str">
        <f t="shared" si="24"/>
        <v>Duplicate</v>
      </c>
      <c r="K541" s="20" t="str">
        <f t="shared" si="25"/>
        <v/>
      </c>
      <c r="L541" s="16" t="str">
        <f>IF(COUNTIFS(A:A,A541,C:C,C541)=2,IF(K541="Mismatch","Value Mismatch","Matched"),IF(I541= "Tally","Missing in GST","Missing in Tally"))</f>
        <v>Missing in Tally</v>
      </c>
      <c r="M541" s="17" t="str">
        <f t="shared" si="26"/>
        <v/>
      </c>
    </row>
    <row r="542" spans="1:13" x14ac:dyDescent="0.2">
      <c r="A542" s="1" t="str">
        <v>INV1437</v>
      </c>
      <c r="B542" s="2" t="str">
        <v>05-06-2024</v>
      </c>
      <c r="C542" s="1" t="str">
        <v>07ZXCVB9876M1Z3</v>
      </c>
      <c r="D542" s="4" t="str">
        <v>Gupta Supplies</v>
      </c>
      <c r="E542" s="6">
        <v>44607.31</v>
      </c>
      <c r="F542" s="6">
        <v>4014.66</v>
      </c>
      <c r="G542" s="6">
        <v>4014.66</v>
      </c>
      <c r="H542" s="6">
        <v>52636.63</v>
      </c>
      <c r="I542" s="19" t="str">
        <v>GST</v>
      </c>
      <c r="J542" s="1" t="str">
        <f t="shared" si="24"/>
        <v>Unique</v>
      </c>
      <c r="K542" s="21" t="str">
        <f t="shared" si="25"/>
        <v>Matched</v>
      </c>
      <c r="L542" s="4" t="str">
        <f>IF(COUNTIFS(A:A,A542,C:C,C542)=2,IF(K542="Mismatch","Value Mismatch","Matched"),IF(I542= "Tally","Missing in GST","Missing in Tally"))</f>
        <v>Matched</v>
      </c>
      <c r="M542" s="6">
        <f t="shared" si="26"/>
        <v>0</v>
      </c>
    </row>
    <row r="543" spans="1:13" x14ac:dyDescent="0.2">
      <c r="A543" s="14" t="str">
        <v>INV1295</v>
      </c>
      <c r="B543" s="15" t="str">
        <v>19-05-2024</v>
      </c>
      <c r="C543" s="14" t="str">
        <v>19ASDFG2468H1Z9</v>
      </c>
      <c r="D543" s="16" t="str">
        <v>Eastern Distributors</v>
      </c>
      <c r="E543" s="17">
        <v>23059.78</v>
      </c>
      <c r="F543" s="17">
        <v>2075.38</v>
      </c>
      <c r="G543" s="17">
        <v>2075.38</v>
      </c>
      <c r="H543" s="17">
        <v>27210.54</v>
      </c>
      <c r="I543" s="18" t="str">
        <v>GST</v>
      </c>
      <c r="J543" s="14" t="str">
        <f t="shared" si="24"/>
        <v>Duplicate</v>
      </c>
      <c r="K543" s="20" t="str">
        <f t="shared" si="25"/>
        <v/>
      </c>
      <c r="L543" s="16" t="str">
        <f>IF(COUNTIFS(A:A,A543,C:C,C543)=2,IF(K543="Mismatch","Value Mismatch","Matched"),IF(I543= "Tally","Missing in GST","Missing in Tally"))</f>
        <v>Missing in Tally</v>
      </c>
      <c r="M543" s="17" t="str">
        <f t="shared" si="26"/>
        <v/>
      </c>
    </row>
    <row r="544" spans="1:13" x14ac:dyDescent="0.2">
      <c r="A544" s="1" t="str">
        <v>INV1038</v>
      </c>
      <c r="B544" s="2" t="str">
        <v>10-04-2024</v>
      </c>
      <c r="C544" s="1" t="str">
        <v>29PQRSX5678L1Z2</v>
      </c>
      <c r="D544" s="4" t="str">
        <v>Kiran Enterprises</v>
      </c>
      <c r="E544" s="6">
        <v>14784.51</v>
      </c>
      <c r="F544" s="6">
        <v>1330.61</v>
      </c>
      <c r="G544" s="6">
        <v>1330.61</v>
      </c>
      <c r="H544" s="6">
        <v>17445.73</v>
      </c>
      <c r="I544" s="19" t="str">
        <v>GST</v>
      </c>
      <c r="J544" s="1" t="str">
        <f t="shared" si="24"/>
        <v>Unique</v>
      </c>
      <c r="K544" s="21" t="str">
        <f t="shared" si="25"/>
        <v>Matched</v>
      </c>
      <c r="L544" s="4" t="str">
        <f>IF(COUNTIFS(A:A,A544,C:C,C544)=2,IF(K544="Mismatch","Value Mismatch","Matched"),IF(I544= "Tally","Missing in GST","Missing in Tally"))</f>
        <v>Matched</v>
      </c>
      <c r="M544" s="6">
        <f t="shared" si="26"/>
        <v>0</v>
      </c>
    </row>
    <row r="545" spans="1:13" x14ac:dyDescent="0.2">
      <c r="A545" s="1" t="str">
        <v>INV1472</v>
      </c>
      <c r="B545" s="2" t="str">
        <v>28-06-2024</v>
      </c>
      <c r="C545" s="1" t="str">
        <v>27ABCDE1234F1Z5</v>
      </c>
      <c r="D545" s="4" t="str">
        <v>Sharma Traders</v>
      </c>
      <c r="E545" s="6">
        <v>3607.99</v>
      </c>
      <c r="F545" s="6">
        <v>324.72000000000003</v>
      </c>
      <c r="G545" s="6">
        <v>324.72000000000003</v>
      </c>
      <c r="H545" s="6">
        <v>4257.43</v>
      </c>
      <c r="I545" s="19" t="str">
        <v>GST</v>
      </c>
      <c r="J545" s="1" t="str">
        <f t="shared" si="24"/>
        <v>Unique</v>
      </c>
      <c r="K545" s="21" t="str">
        <f t="shared" si="25"/>
        <v>Matched</v>
      </c>
      <c r="L545" s="4" t="str">
        <f>IF(COUNTIFS(A:A,A545,C:C,C545)=2,IF(K545="Mismatch","Value Mismatch","Matched"),IF(I545= "Tally","Missing in GST","Missing in Tally"))</f>
        <v>Matched</v>
      </c>
      <c r="M545" s="6">
        <f t="shared" si="26"/>
        <v>0</v>
      </c>
    </row>
    <row r="546" spans="1:13" x14ac:dyDescent="0.2">
      <c r="A546" s="1" t="str">
        <v>INV1304</v>
      </c>
      <c r="B546" s="2" t="str">
        <v>11-06-2024</v>
      </c>
      <c r="C546" s="1" t="str">
        <v>07ZXCVB9876M1Z3</v>
      </c>
      <c r="D546" s="4" t="str">
        <v>Gupta Supplies</v>
      </c>
      <c r="E546" s="6">
        <v>4175</v>
      </c>
      <c r="F546" s="6">
        <v>375.75</v>
      </c>
      <c r="G546" s="6">
        <v>375.75</v>
      </c>
      <c r="H546" s="6">
        <v>4926.5</v>
      </c>
      <c r="I546" s="19" t="str">
        <v>GST</v>
      </c>
      <c r="J546" s="1" t="str">
        <f t="shared" si="24"/>
        <v>Unique</v>
      </c>
      <c r="K546" s="21" t="str">
        <f t="shared" si="25"/>
        <v>Matched</v>
      </c>
      <c r="L546" s="4" t="str">
        <f>IF(COUNTIFS(A:A,A546,C:C,C546)=2,IF(K546="Mismatch","Value Mismatch","Matched"),IF(I546= "Tally","Missing in GST","Missing in Tally"))</f>
        <v>Matched</v>
      </c>
      <c r="M546" s="6">
        <f t="shared" si="26"/>
        <v>0</v>
      </c>
    </row>
    <row r="547" spans="1:13" x14ac:dyDescent="0.2">
      <c r="A547" s="1" t="str">
        <v>INV1168</v>
      </c>
      <c r="B547" s="2" t="str">
        <v>28-05-2024</v>
      </c>
      <c r="C547" s="1" t="str">
        <v>19ASDFG2468H1Z9</v>
      </c>
      <c r="D547" s="4" t="str">
        <v>Eastern Distributors</v>
      </c>
      <c r="E547" s="6">
        <v>22548.93</v>
      </c>
      <c r="F547" s="6">
        <v>2029.4</v>
      </c>
      <c r="G547" s="6">
        <v>2029.4</v>
      </c>
      <c r="H547" s="6">
        <v>26607.73</v>
      </c>
      <c r="I547" s="19" t="str">
        <v>GST</v>
      </c>
      <c r="J547" s="1" t="str">
        <f t="shared" si="24"/>
        <v>Unique</v>
      </c>
      <c r="K547" s="21" t="str">
        <f t="shared" si="25"/>
        <v>Matched</v>
      </c>
      <c r="L547" s="4" t="str">
        <f>IF(COUNTIFS(A:A,A547,C:C,C547)=2,IF(K547="Mismatch","Value Mismatch","Matched"),IF(I547= "Tally","Missing in GST","Missing in Tally"))</f>
        <v>Matched</v>
      </c>
      <c r="M547" s="6">
        <f t="shared" si="26"/>
        <v>0</v>
      </c>
    </row>
    <row r="548" spans="1:13" x14ac:dyDescent="0.2">
      <c r="A548" s="14" t="str">
        <v>INV1392</v>
      </c>
      <c r="B548" s="15" t="str">
        <v>02-04-2024</v>
      </c>
      <c r="C548" s="14" t="str">
        <v>29PQRSX5678L1Z2</v>
      </c>
      <c r="D548" s="16" t="str">
        <v>Kiran Enterprises</v>
      </c>
      <c r="E548" s="17">
        <v>37746.480000000003</v>
      </c>
      <c r="F548" s="17">
        <v>3397.18</v>
      </c>
      <c r="G548" s="17">
        <v>3397.18</v>
      </c>
      <c r="H548" s="17">
        <v>44540.84</v>
      </c>
      <c r="I548" s="18" t="str">
        <v>GST</v>
      </c>
      <c r="J548" s="14" t="str">
        <f t="shared" si="24"/>
        <v>Duplicate</v>
      </c>
      <c r="K548" s="20" t="str">
        <f t="shared" si="25"/>
        <v/>
      </c>
      <c r="L548" s="16" t="str">
        <f>IF(COUNTIFS(A:A,A548,C:C,C548)=2,IF(K548="Mismatch","Value Mismatch","Matched"),IF(I548= "Tally","Missing in GST","Missing in Tally"))</f>
        <v>Missing in Tally</v>
      </c>
      <c r="M548" s="17" t="str">
        <f t="shared" si="26"/>
        <v/>
      </c>
    </row>
    <row r="549" spans="1:13" x14ac:dyDescent="0.2">
      <c r="A549" s="1" t="str">
        <v>INV1335</v>
      </c>
      <c r="B549" s="2" t="str">
        <v>30-04-2024</v>
      </c>
      <c r="C549" s="1" t="str">
        <v>19ASDFG2468H1Z9</v>
      </c>
      <c r="D549" s="4" t="str">
        <v>Eastern Distributors</v>
      </c>
      <c r="E549" s="6">
        <v>32522.69</v>
      </c>
      <c r="F549" s="6">
        <v>2927.04</v>
      </c>
      <c r="G549" s="6">
        <v>2927.04</v>
      </c>
      <c r="H549" s="6">
        <v>38376.769999999997</v>
      </c>
      <c r="I549" s="19" t="str">
        <v>GST</v>
      </c>
      <c r="J549" s="1" t="str">
        <f t="shared" si="24"/>
        <v>Unique</v>
      </c>
      <c r="K549" s="21" t="str">
        <f t="shared" si="25"/>
        <v>Matched</v>
      </c>
      <c r="L549" s="4" t="str">
        <f>IF(COUNTIFS(A:A,A549,C:C,C549)=2,IF(K549="Mismatch","Value Mismatch","Matched"),IF(I549= "Tally","Missing in GST","Missing in Tally"))</f>
        <v>Matched</v>
      </c>
      <c r="M549" s="6">
        <f t="shared" si="26"/>
        <v>0</v>
      </c>
    </row>
    <row r="550" spans="1:13" x14ac:dyDescent="0.2">
      <c r="A550" s="14" t="str">
        <v>INV1392</v>
      </c>
      <c r="B550" s="15" t="str">
        <v>02-04-2024</v>
      </c>
      <c r="C550" s="14" t="str">
        <v>29PQRSX5678L1Z2</v>
      </c>
      <c r="D550" s="16" t="str">
        <v>Kiran Enterprises</v>
      </c>
      <c r="E550" s="17">
        <v>37746.480000000003</v>
      </c>
      <c r="F550" s="17">
        <v>3397.18</v>
      </c>
      <c r="G550" s="17">
        <v>3397.18</v>
      </c>
      <c r="H550" s="17">
        <v>44540.84</v>
      </c>
      <c r="I550" s="18" t="str">
        <v>GST</v>
      </c>
      <c r="J550" s="14" t="str">
        <f t="shared" si="24"/>
        <v>Duplicate</v>
      </c>
      <c r="K550" s="20" t="str">
        <f t="shared" si="25"/>
        <v/>
      </c>
      <c r="L550" s="16" t="str">
        <f>IF(COUNTIFS(A:A,A550,C:C,C550)=2,IF(K550="Mismatch","Value Mismatch","Matched"),IF(I550= "Tally","Missing in GST","Missing in Tally"))</f>
        <v>Missing in Tally</v>
      </c>
      <c r="M550" s="17" t="str">
        <f t="shared" si="26"/>
        <v/>
      </c>
    </row>
    <row r="551" spans="1:13" x14ac:dyDescent="0.2">
      <c r="A551" s="1" t="str">
        <v>INV1317</v>
      </c>
      <c r="B551" s="2" t="str">
        <v>24-04-2024</v>
      </c>
      <c r="C551" s="1" t="str">
        <v>19ASDFG2468H1Z9</v>
      </c>
      <c r="D551" s="4" t="str">
        <v>Eastern Distributors</v>
      </c>
      <c r="E551" s="6">
        <v>42060.69</v>
      </c>
      <c r="F551" s="6">
        <v>3785.46</v>
      </c>
      <c r="G551" s="6">
        <v>3785.46</v>
      </c>
      <c r="H551" s="6">
        <v>49631.61</v>
      </c>
      <c r="I551" s="19" t="str">
        <v>GST</v>
      </c>
      <c r="J551" s="1" t="str">
        <f t="shared" si="24"/>
        <v>Unique</v>
      </c>
      <c r="K551" s="21" t="str">
        <f t="shared" si="25"/>
        <v>Matched</v>
      </c>
      <c r="L551" s="4" t="str">
        <f>IF(COUNTIFS(A:A,A551,C:C,C551)=2,IF(K551="Mismatch","Value Mismatch","Matched"),IF(I551= "Tally","Missing in GST","Missing in Tally"))</f>
        <v>Matched</v>
      </c>
      <c r="M551" s="6">
        <f t="shared" si="26"/>
        <v>0</v>
      </c>
    </row>
    <row r="552" spans="1:13" x14ac:dyDescent="0.2">
      <c r="A552" s="1" t="str">
        <v>INV1050</v>
      </c>
      <c r="B552" s="2" t="str">
        <v>18-06-2024</v>
      </c>
      <c r="C552" s="1" t="str">
        <v>27ABCDE1234F1Z5</v>
      </c>
      <c r="D552" s="4" t="str">
        <v>Sharma Traders</v>
      </c>
      <c r="E552" s="6">
        <v>12549.23</v>
      </c>
      <c r="F552" s="6">
        <v>1084.43</v>
      </c>
      <c r="G552" s="6">
        <v>1084.43</v>
      </c>
      <c r="H552" s="6">
        <v>14718.09</v>
      </c>
      <c r="I552" s="19" t="str">
        <v>GST</v>
      </c>
      <c r="J552" s="1" t="str">
        <f t="shared" si="24"/>
        <v>Unique</v>
      </c>
      <c r="K552" s="21" t="str">
        <f t="shared" si="25"/>
        <v/>
      </c>
      <c r="L552" s="4" t="str">
        <f>IF(COUNTIFS(A:A,A552,C:C,C552)=2,IF(K552="Mismatch","Value Mismatch","Matched"),IF(I552= "Tally","Missing in GST","Missing in Tally"))</f>
        <v>Missing in Tally</v>
      </c>
      <c r="M552" s="6" t="str">
        <f t="shared" si="26"/>
        <v/>
      </c>
    </row>
    <row r="553" spans="1:13" x14ac:dyDescent="0.2">
      <c r="A553" s="1" t="str">
        <v>INV1051</v>
      </c>
      <c r="B553" s="2" t="str">
        <v>04-06-2024</v>
      </c>
      <c r="C553" s="1" t="str">
        <v>07ZXCVB9876M1Z3</v>
      </c>
      <c r="D553" s="4" t="str">
        <v>Gupta Supplies</v>
      </c>
      <c r="E553" s="6">
        <v>4812.57</v>
      </c>
      <c r="F553" s="6">
        <v>388.13</v>
      </c>
      <c r="G553" s="6">
        <v>388.13</v>
      </c>
      <c r="H553" s="6">
        <v>5588.83</v>
      </c>
      <c r="I553" s="19" t="str">
        <v>GST</v>
      </c>
      <c r="J553" s="1" t="str">
        <f t="shared" si="24"/>
        <v>Unique</v>
      </c>
      <c r="K553" s="21" t="str">
        <f t="shared" si="25"/>
        <v/>
      </c>
      <c r="L553" s="4" t="str">
        <f>IF(COUNTIFS(A:A,A553,C:C,C553)=2,IF(K553="Mismatch","Value Mismatch","Matched"),IF(I553= "Tally","Missing in GST","Missing in Tally"))</f>
        <v>Missing in Tally</v>
      </c>
      <c r="M553" s="6" t="str">
        <f t="shared" si="26"/>
        <v/>
      </c>
    </row>
    <row r="554" spans="1:13" x14ac:dyDescent="0.2">
      <c r="A554" s="1" t="str">
        <v>INV1052</v>
      </c>
      <c r="B554" s="2" t="str">
        <v>24-04-2024</v>
      </c>
      <c r="C554" s="1" t="str">
        <v>27ABCDE1234F1Z5</v>
      </c>
      <c r="D554" s="4" t="str">
        <v>Sharma Traders</v>
      </c>
      <c r="E554" s="6">
        <v>9811.75</v>
      </c>
      <c r="F554" s="6">
        <v>838.06</v>
      </c>
      <c r="G554" s="6">
        <v>838.06</v>
      </c>
      <c r="H554" s="6">
        <v>11487.87</v>
      </c>
      <c r="I554" s="19" t="str">
        <v>GST</v>
      </c>
      <c r="J554" s="1" t="str">
        <f t="shared" si="24"/>
        <v>Unique</v>
      </c>
      <c r="K554" s="21" t="str">
        <f t="shared" si="25"/>
        <v/>
      </c>
      <c r="L554" s="4" t="str">
        <f>IF(COUNTIFS(A:A,A554,C:C,C554)=2,IF(K554="Mismatch","Value Mismatch","Matched"),IF(I554= "Tally","Missing in GST","Missing in Tally"))</f>
        <v>Missing in Tally</v>
      </c>
      <c r="M554" s="6" t="str">
        <f t="shared" si="26"/>
        <v/>
      </c>
    </row>
    <row r="555" spans="1:13" x14ac:dyDescent="0.2">
      <c r="A555" s="1" t="str">
        <v>INV1053</v>
      </c>
      <c r="B555" s="2" t="str">
        <v>13-06-2024</v>
      </c>
      <c r="C555" s="1" t="str">
        <v>29PQRSX5678L1Z2</v>
      </c>
      <c r="D555" s="4" t="str">
        <v>Kiran Enterprises</v>
      </c>
      <c r="E555" s="6">
        <v>48747.71</v>
      </c>
      <c r="F555" s="6">
        <v>4342.29</v>
      </c>
      <c r="G555" s="6">
        <v>4342.29</v>
      </c>
      <c r="H555" s="6">
        <v>57432.29</v>
      </c>
      <c r="I555" s="19" t="str">
        <v>GST</v>
      </c>
      <c r="J555" s="1" t="str">
        <f t="shared" si="24"/>
        <v>Unique</v>
      </c>
      <c r="K555" s="21" t="str">
        <f t="shared" si="25"/>
        <v/>
      </c>
      <c r="L555" s="4" t="str">
        <f>IF(COUNTIFS(A:A,A555,C:C,C555)=2,IF(K555="Mismatch","Value Mismatch","Matched"),IF(I555= "Tally","Missing in GST","Missing in Tally"))</f>
        <v>Missing in Tally</v>
      </c>
      <c r="M555" s="6" t="str">
        <f t="shared" si="26"/>
        <v/>
      </c>
    </row>
    <row r="556" spans="1:13" x14ac:dyDescent="0.2">
      <c r="A556" s="1" t="str">
        <v>INV1054</v>
      </c>
      <c r="B556" s="2" t="str">
        <v>02-04-2024</v>
      </c>
      <c r="C556" s="1" t="str">
        <v>19ASDFG2468H1Z9</v>
      </c>
      <c r="D556" s="4" t="str">
        <v>Eastern Distributors</v>
      </c>
      <c r="E556" s="6">
        <v>10038.44</v>
      </c>
      <c r="F556" s="6">
        <v>858.46</v>
      </c>
      <c r="G556" s="6">
        <v>858.46</v>
      </c>
      <c r="H556" s="6">
        <v>11755.36</v>
      </c>
      <c r="I556" s="19" t="str">
        <v>GST</v>
      </c>
      <c r="J556" s="1" t="str">
        <f t="shared" si="24"/>
        <v>Unique</v>
      </c>
      <c r="K556" s="21" t="str">
        <f t="shared" si="25"/>
        <v/>
      </c>
      <c r="L556" s="4" t="str">
        <f>IF(COUNTIFS(A:A,A556,C:C,C556)=2,IF(K556="Mismatch","Value Mismatch","Matched"),IF(I556= "Tally","Missing in GST","Missing in Tally"))</f>
        <v>Missing in Tally</v>
      </c>
      <c r="M556" s="6" t="str">
        <f t="shared" si="26"/>
        <v/>
      </c>
    </row>
    <row r="557" spans="1:13" x14ac:dyDescent="0.2">
      <c r="A557" s="1" t="str">
        <v>INV1055</v>
      </c>
      <c r="B557" s="2" t="str">
        <v>05-06-2024</v>
      </c>
      <c r="C557" s="1" t="str">
        <v>24LMNOP4321K1Z7</v>
      </c>
      <c r="D557" s="4" t="str">
        <v>Patel Industries</v>
      </c>
      <c r="E557" s="6">
        <v>46424.1</v>
      </c>
      <c r="F557" s="6">
        <v>4133.17</v>
      </c>
      <c r="G557" s="6">
        <v>4133.17</v>
      </c>
      <c r="H557" s="6">
        <v>54690.44</v>
      </c>
      <c r="I557" s="19" t="str">
        <v>GST</v>
      </c>
      <c r="J557" s="1" t="str">
        <f t="shared" si="24"/>
        <v>Unique</v>
      </c>
      <c r="K557" s="21" t="str">
        <f t="shared" si="25"/>
        <v/>
      </c>
      <c r="L557" s="4" t="str">
        <f>IF(COUNTIFS(A:A,A557,C:C,C557)=2,IF(K557="Mismatch","Value Mismatch","Matched"),IF(I557= "Tally","Missing in GST","Missing in Tally"))</f>
        <v>Missing in Tally</v>
      </c>
      <c r="M557" s="6" t="str">
        <f t="shared" si="26"/>
        <v/>
      </c>
    </row>
    <row r="558" spans="1:13" x14ac:dyDescent="0.2">
      <c r="A558" s="1" t="str">
        <v>INV1056</v>
      </c>
      <c r="B558" s="2" t="str">
        <v>13-06-2024</v>
      </c>
      <c r="C558" s="1" t="str">
        <v>29PQRSX5678L1Z2</v>
      </c>
      <c r="D558" s="4" t="str">
        <v>Kiran Enterprises</v>
      </c>
      <c r="E558" s="6">
        <v>34196.660000000003</v>
      </c>
      <c r="F558" s="6">
        <v>3032.7</v>
      </c>
      <c r="G558" s="6">
        <v>3032.7</v>
      </c>
      <c r="H558" s="6">
        <v>40262.06</v>
      </c>
      <c r="I558" s="19" t="str">
        <v>GST</v>
      </c>
      <c r="J558" s="1" t="str">
        <f t="shared" si="24"/>
        <v>Unique</v>
      </c>
      <c r="K558" s="21" t="str">
        <f t="shared" si="25"/>
        <v>Mismatch</v>
      </c>
      <c r="L558" s="4" t="str">
        <f>IF(COUNTIFS(A:A,A558,C:C,C558)=2,IF(K558="Mismatch","Value Mismatch","Matched"),IF(I558= "Tally","Missing in GST","Missing in Tally"))</f>
        <v>Value Mismatch</v>
      </c>
      <c r="M558" s="6">
        <f t="shared" si="26"/>
        <v>5330.5599999999977</v>
      </c>
    </row>
    <row r="559" spans="1:13" x14ac:dyDescent="0.2">
      <c r="A559" s="1" t="str">
        <v>INV1057</v>
      </c>
      <c r="B559" s="2" t="str">
        <v>07-04-2024</v>
      </c>
      <c r="C559" s="1" t="str">
        <v>24LMNOP4321K1Z7</v>
      </c>
      <c r="D559" s="4" t="str">
        <v>Patel Industries</v>
      </c>
      <c r="E559" s="6">
        <v>22274.98</v>
      </c>
      <c r="F559" s="6">
        <v>1959.75</v>
      </c>
      <c r="G559" s="6">
        <v>1959.75</v>
      </c>
      <c r="H559" s="6">
        <v>26194.48</v>
      </c>
      <c r="I559" s="19" t="str">
        <v>GST</v>
      </c>
      <c r="J559" s="1" t="str">
        <f t="shared" si="24"/>
        <v>Unique</v>
      </c>
      <c r="K559" s="21" t="str">
        <f t="shared" si="25"/>
        <v/>
      </c>
      <c r="L559" s="4" t="str">
        <f>IF(COUNTIFS(A:A,A559,C:C,C559)=2,IF(K559="Mismatch","Value Mismatch","Matched"),IF(I559= "Tally","Missing in GST","Missing in Tally"))</f>
        <v>Missing in Tally</v>
      </c>
      <c r="M559" s="6" t="str">
        <f t="shared" si="26"/>
        <v/>
      </c>
    </row>
    <row r="560" spans="1:13" x14ac:dyDescent="0.2">
      <c r="A560" s="1" t="str">
        <v>INV1058</v>
      </c>
      <c r="B560" s="2" t="str">
        <v>23-04-2024</v>
      </c>
      <c r="C560" s="1" t="str">
        <v>24LMNOP4321K1Z7</v>
      </c>
      <c r="D560" s="4" t="str">
        <v>Patel Industries</v>
      </c>
      <c r="E560" s="6">
        <v>6075.43</v>
      </c>
      <c r="F560" s="6">
        <v>501.79</v>
      </c>
      <c r="G560" s="6">
        <v>501.79</v>
      </c>
      <c r="H560" s="6">
        <v>7079.01</v>
      </c>
      <c r="I560" s="19" t="str">
        <v>GST</v>
      </c>
      <c r="J560" s="1" t="str">
        <f t="shared" si="24"/>
        <v>Unique</v>
      </c>
      <c r="K560" s="21" t="str">
        <f t="shared" si="25"/>
        <v/>
      </c>
      <c r="L560" s="4" t="str">
        <f>IF(COUNTIFS(A:A,A560,C:C,C560)=2,IF(K560="Mismatch","Value Mismatch","Matched"),IF(I560= "Tally","Missing in GST","Missing in Tally"))</f>
        <v>Missing in Tally</v>
      </c>
      <c r="M560" s="6" t="str">
        <f t="shared" si="26"/>
        <v/>
      </c>
    </row>
    <row r="561" spans="1:13" x14ac:dyDescent="0.2">
      <c r="A561" s="1" t="str">
        <v>INV1059</v>
      </c>
      <c r="B561" s="2" t="str">
        <v>14-06-2024</v>
      </c>
      <c r="C561" s="1" t="str">
        <v>19ASDFG2468H1Z9</v>
      </c>
      <c r="D561" s="4" t="str">
        <v>Eastern Distributors</v>
      </c>
      <c r="E561" s="6">
        <v>5400.29</v>
      </c>
      <c r="F561" s="6">
        <v>441.03</v>
      </c>
      <c r="G561" s="6">
        <v>441.03</v>
      </c>
      <c r="H561" s="6">
        <v>6282.35</v>
      </c>
      <c r="I561" s="19" t="str">
        <v>GST</v>
      </c>
      <c r="J561" s="1" t="str">
        <f t="shared" si="24"/>
        <v>Unique</v>
      </c>
      <c r="K561" s="21" t="str">
        <f t="shared" si="25"/>
        <v/>
      </c>
      <c r="L561" s="4" t="str">
        <f>IF(COUNTIFS(A:A,A561,C:C,C561)=2,IF(K561="Mismatch","Value Mismatch","Matched"),IF(I561= "Tally","Missing in GST","Missing in Tally"))</f>
        <v>Missing in Tally</v>
      </c>
      <c r="M561" s="6" t="str">
        <f t="shared" si="26"/>
        <v/>
      </c>
    </row>
    <row r="562" spans="1:13" x14ac:dyDescent="0.2">
      <c r="A562" s="1" t="str">
        <v>INV1060</v>
      </c>
      <c r="B562" s="2" t="str">
        <v>16-04-2024</v>
      </c>
      <c r="C562" s="1" t="str">
        <v>27ABCDE1234F1Z5</v>
      </c>
      <c r="D562" s="4" t="str">
        <v>Sharma Traders</v>
      </c>
      <c r="E562" s="6">
        <v>50114.31</v>
      </c>
      <c r="F562" s="6">
        <v>4465.29</v>
      </c>
      <c r="G562" s="6">
        <v>4465.29</v>
      </c>
      <c r="H562" s="6">
        <v>59044.89</v>
      </c>
      <c r="I562" s="19" t="str">
        <v>GST</v>
      </c>
      <c r="J562" s="1" t="str">
        <f t="shared" si="24"/>
        <v>Unique</v>
      </c>
      <c r="K562" s="21" t="str">
        <f t="shared" si="25"/>
        <v>Mismatch</v>
      </c>
      <c r="L562" s="4" t="str">
        <f>IF(COUNTIFS(A:A,A562,C:C,C562)=2,IF(K562="Mismatch","Value Mismatch","Matched"),IF(I562= "Tally","Missing in GST","Missing in Tally"))</f>
        <v>Value Mismatch</v>
      </c>
      <c r="M562" s="6">
        <f t="shared" si="26"/>
        <v>-36897.35</v>
      </c>
    </row>
    <row r="563" spans="1:13" x14ac:dyDescent="0.2">
      <c r="A563" s="1" t="str">
        <v>INV1061</v>
      </c>
      <c r="B563" s="2" t="str">
        <v>21-05-2024</v>
      </c>
      <c r="C563" s="1" t="str">
        <v>19ASDFG2468H1Z9</v>
      </c>
      <c r="D563" s="4" t="str">
        <v>Eastern Distributors</v>
      </c>
      <c r="E563" s="6">
        <v>17430.71</v>
      </c>
      <c r="F563" s="6">
        <v>1523.76</v>
      </c>
      <c r="G563" s="6">
        <v>1523.76</v>
      </c>
      <c r="H563" s="6">
        <v>20478.23</v>
      </c>
      <c r="I563" s="19" t="str">
        <v>GST</v>
      </c>
      <c r="J563" s="1" t="str">
        <f t="shared" si="24"/>
        <v>Unique</v>
      </c>
      <c r="K563" s="21" t="str">
        <f t="shared" si="25"/>
        <v/>
      </c>
      <c r="L563" s="4" t="str">
        <f>IF(COUNTIFS(A:A,A563,C:C,C563)=2,IF(K563="Mismatch","Value Mismatch","Matched"),IF(I563= "Tally","Missing in GST","Missing in Tally"))</f>
        <v>Missing in Tally</v>
      </c>
      <c r="M563" s="6" t="str">
        <f t="shared" si="26"/>
        <v/>
      </c>
    </row>
    <row r="564" spans="1:13" x14ac:dyDescent="0.2">
      <c r="A564" s="1" t="str">
        <v>INV1062</v>
      </c>
      <c r="B564" s="2" t="str">
        <v>29-04-2024</v>
      </c>
      <c r="C564" s="1" t="str">
        <v>29PQRSX5678L1Z2</v>
      </c>
      <c r="D564" s="4" t="str">
        <v>Kiran Enterprises</v>
      </c>
      <c r="E564" s="6">
        <v>29290.91</v>
      </c>
      <c r="F564" s="6">
        <v>2591.1799999999998</v>
      </c>
      <c r="G564" s="6">
        <v>2591.1799999999998</v>
      </c>
      <c r="H564" s="6">
        <v>34473.269999999997</v>
      </c>
      <c r="I564" s="19" t="str">
        <v>GST</v>
      </c>
      <c r="J564" s="1" t="str">
        <f t="shared" si="24"/>
        <v>Unique</v>
      </c>
      <c r="K564" s="21" t="str">
        <f t="shared" si="25"/>
        <v/>
      </c>
      <c r="L564" s="4" t="str">
        <f>IF(COUNTIFS(A:A,A564,C:C,C564)=2,IF(K564="Mismatch","Value Mismatch","Matched"),IF(I564= "Tally","Missing in GST","Missing in Tally"))</f>
        <v>Missing in Tally</v>
      </c>
      <c r="M564" s="6" t="str">
        <f t="shared" si="26"/>
        <v/>
      </c>
    </row>
    <row r="565" spans="1:13" x14ac:dyDescent="0.2">
      <c r="A565" s="1" t="str">
        <v>INV1063</v>
      </c>
      <c r="B565" s="2" t="str">
        <v>08-06-2024</v>
      </c>
      <c r="C565" s="1" t="str">
        <v>27ABCDE1234F1Z5</v>
      </c>
      <c r="D565" s="4" t="str">
        <v>Sharma Traders</v>
      </c>
      <c r="E565" s="6">
        <v>38613.760000000002</v>
      </c>
      <c r="F565" s="6">
        <v>3430.24</v>
      </c>
      <c r="G565" s="6">
        <v>3430.24</v>
      </c>
      <c r="H565" s="6">
        <v>45474.239999999998</v>
      </c>
      <c r="I565" s="19" t="str">
        <v>GST</v>
      </c>
      <c r="J565" s="1" t="str">
        <f t="shared" si="24"/>
        <v>Unique</v>
      </c>
      <c r="K565" s="21" t="str">
        <f t="shared" si="25"/>
        <v/>
      </c>
      <c r="L565" s="4" t="str">
        <f>IF(COUNTIFS(A:A,A565,C:C,C565)=2,IF(K565="Mismatch","Value Mismatch","Matched"),IF(I565= "Tally","Missing in GST","Missing in Tally"))</f>
        <v>Missing in Tally</v>
      </c>
      <c r="M565" s="6" t="str">
        <f t="shared" si="26"/>
        <v/>
      </c>
    </row>
    <row r="566" spans="1:13" x14ac:dyDescent="0.2">
      <c r="A566" s="1" t="str">
        <v>INV1064</v>
      </c>
      <c r="B566" s="2" t="str">
        <v>09-05-2024</v>
      </c>
      <c r="C566" s="1" t="str">
        <v>27ABCDE1234F1Z5</v>
      </c>
      <c r="D566" s="4" t="str">
        <v>Sharma Traders</v>
      </c>
      <c r="E566" s="6">
        <v>19168.509999999998</v>
      </c>
      <c r="F566" s="6">
        <v>1680.17</v>
      </c>
      <c r="G566" s="6">
        <v>1680.17</v>
      </c>
      <c r="H566" s="6">
        <v>22528.85</v>
      </c>
      <c r="I566" s="19" t="str">
        <v>GST</v>
      </c>
      <c r="J566" s="1" t="str">
        <f t="shared" si="24"/>
        <v>Unique</v>
      </c>
      <c r="K566" s="21" t="str">
        <f t="shared" si="25"/>
        <v/>
      </c>
      <c r="L566" s="4" t="str">
        <f>IF(COUNTIFS(A:A,A566,C:C,C566)=2,IF(K566="Mismatch","Value Mismatch","Matched"),IF(I566= "Tally","Missing in GST","Missing in Tally"))</f>
        <v>Missing in Tally</v>
      </c>
      <c r="M566" s="6" t="str">
        <f t="shared" si="26"/>
        <v/>
      </c>
    </row>
    <row r="567" spans="1:13" x14ac:dyDescent="0.2">
      <c r="A567" s="1" t="str">
        <v>INV1065</v>
      </c>
      <c r="B567" s="2" t="str">
        <v>08-05-2024</v>
      </c>
      <c r="C567" s="1" t="str">
        <v>24LMNOP4321K1Z7</v>
      </c>
      <c r="D567" s="4" t="str">
        <v>Patel Industries</v>
      </c>
      <c r="E567" s="6">
        <v>30403.62</v>
      </c>
      <c r="F567" s="6">
        <v>2691.33</v>
      </c>
      <c r="G567" s="6">
        <v>2691.33</v>
      </c>
      <c r="H567" s="6">
        <v>35786.28</v>
      </c>
      <c r="I567" s="19" t="str">
        <v>GST</v>
      </c>
      <c r="J567" s="1" t="str">
        <f t="shared" si="24"/>
        <v>Unique</v>
      </c>
      <c r="K567" s="21" t="str">
        <f t="shared" si="25"/>
        <v>Mismatch</v>
      </c>
      <c r="L567" s="4" t="str">
        <f>IF(COUNTIFS(A:A,A567,C:C,C567)=2,IF(K567="Mismatch","Value Mismatch","Matched"),IF(I567= "Tally","Missing in GST","Missing in Tally"))</f>
        <v>Value Mismatch</v>
      </c>
      <c r="M567" s="6">
        <f t="shared" si="26"/>
        <v>5437.4500000000044</v>
      </c>
    </row>
    <row r="568" spans="1:13" x14ac:dyDescent="0.2">
      <c r="A568" s="1" t="str">
        <v>INV1066</v>
      </c>
      <c r="B568" s="2" t="str">
        <v>22-04-2024</v>
      </c>
      <c r="C568" s="1" t="str">
        <v>07ZXCVB9876M1Z3</v>
      </c>
      <c r="D568" s="4" t="str">
        <v>Gupta Supplies</v>
      </c>
      <c r="E568" s="6">
        <v>3839.38</v>
      </c>
      <c r="F568" s="6">
        <v>300.54000000000002</v>
      </c>
      <c r="G568" s="6">
        <v>300.54000000000002</v>
      </c>
      <c r="H568" s="6">
        <v>4440.46</v>
      </c>
      <c r="I568" s="19" t="str">
        <v>GST</v>
      </c>
      <c r="J568" s="1" t="str">
        <f t="shared" si="24"/>
        <v>Unique</v>
      </c>
      <c r="K568" s="21" t="str">
        <f t="shared" si="25"/>
        <v/>
      </c>
      <c r="L568" s="4" t="str">
        <f>IF(COUNTIFS(A:A,A568,C:C,C568)=2,IF(K568="Mismatch","Value Mismatch","Matched"),IF(I568= "Tally","Missing in GST","Missing in Tally"))</f>
        <v>Missing in Tally</v>
      </c>
      <c r="M568" s="6" t="str">
        <f t="shared" si="26"/>
        <v/>
      </c>
    </row>
    <row r="569" spans="1:13" x14ac:dyDescent="0.2">
      <c r="A569" s="1" t="str">
        <v>INV1067</v>
      </c>
      <c r="B569" s="2" t="str">
        <v>22-06-2024</v>
      </c>
      <c r="C569" s="1" t="str">
        <v>19ASDFG2468H1Z9</v>
      </c>
      <c r="D569" s="4" t="str">
        <v>Eastern Distributors</v>
      </c>
      <c r="E569" s="6">
        <v>40165.379999999997</v>
      </c>
      <c r="F569" s="6">
        <v>3569.88</v>
      </c>
      <c r="G569" s="6">
        <v>3569.88</v>
      </c>
      <c r="H569" s="6">
        <v>47305.14</v>
      </c>
      <c r="I569" s="19" t="str">
        <v>GST</v>
      </c>
      <c r="J569" s="1" t="str">
        <f t="shared" si="24"/>
        <v>Unique</v>
      </c>
      <c r="K569" s="21" t="str">
        <f t="shared" si="25"/>
        <v/>
      </c>
      <c r="L569" s="4" t="str">
        <f>IF(COUNTIFS(A:A,A569,C:C,C569)=2,IF(K569="Mismatch","Value Mismatch","Matched"),IF(I569= "Tally","Missing in GST","Missing in Tally"))</f>
        <v>Missing in Tally</v>
      </c>
      <c r="M569" s="6" t="str">
        <f t="shared" si="26"/>
        <v/>
      </c>
    </row>
    <row r="570" spans="1:13" x14ac:dyDescent="0.2">
      <c r="A570" s="1" t="str">
        <v>INV1068</v>
      </c>
      <c r="B570" s="2" t="str">
        <v>04-04-2024</v>
      </c>
      <c r="C570" s="1" t="str">
        <v>29PQRSX5678L1Z2</v>
      </c>
      <c r="D570" s="4" t="str">
        <v>Kiran Enterprises</v>
      </c>
      <c r="E570" s="6">
        <v>47856.29</v>
      </c>
      <c r="F570" s="6">
        <v>4262.07</v>
      </c>
      <c r="G570" s="6">
        <v>4262.07</v>
      </c>
      <c r="H570" s="6">
        <v>56380.43</v>
      </c>
      <c r="I570" s="19" t="str">
        <v>GST</v>
      </c>
      <c r="J570" s="1" t="str">
        <f t="shared" si="24"/>
        <v>Unique</v>
      </c>
      <c r="K570" s="21" t="str">
        <f t="shared" si="25"/>
        <v/>
      </c>
      <c r="L570" s="4" t="str">
        <f>IF(COUNTIFS(A:A,A570,C:C,C570)=2,IF(K570="Mismatch","Value Mismatch","Matched"),IF(I570= "Tally","Missing in GST","Missing in Tally"))</f>
        <v>Missing in Tally</v>
      </c>
      <c r="M570" s="6" t="str">
        <f t="shared" si="26"/>
        <v/>
      </c>
    </row>
    <row r="571" spans="1:13" x14ac:dyDescent="0.2">
      <c r="A571" s="1" t="str">
        <v>INV1069</v>
      </c>
      <c r="B571" s="2" t="str">
        <v>14-06-2024</v>
      </c>
      <c r="C571" s="1" t="str">
        <v>27ABCDE1234F1Z5</v>
      </c>
      <c r="D571" s="4" t="str">
        <v>Sharma Traders</v>
      </c>
      <c r="E571" s="6">
        <v>20208.82</v>
      </c>
      <c r="F571" s="6">
        <v>1773.79</v>
      </c>
      <c r="G571" s="6">
        <v>1773.79</v>
      </c>
      <c r="H571" s="6">
        <v>23756.400000000001</v>
      </c>
      <c r="I571" s="19" t="str">
        <v>GST</v>
      </c>
      <c r="J571" s="1" t="str">
        <f t="shared" si="24"/>
        <v>Unique</v>
      </c>
      <c r="K571" s="21" t="str">
        <f t="shared" si="25"/>
        <v/>
      </c>
      <c r="L571" s="4" t="str">
        <f>IF(COUNTIFS(A:A,A571,C:C,C571)=2,IF(K571="Mismatch","Value Mismatch","Matched"),IF(I571= "Tally","Missing in GST","Missing in Tally"))</f>
        <v>Missing in Tally</v>
      </c>
      <c r="M571" s="6" t="str">
        <f t="shared" si="26"/>
        <v/>
      </c>
    </row>
    <row r="572" spans="1:13" x14ac:dyDescent="0.2">
      <c r="A572" s="1" t="str">
        <v>INV1070</v>
      </c>
      <c r="B572" s="2" t="str">
        <v>30-04-2024</v>
      </c>
      <c r="C572" s="1" t="str">
        <v>29PQRSX5678L1Z2</v>
      </c>
      <c r="D572" s="4" t="str">
        <v>Kiran Enterprises</v>
      </c>
      <c r="E572" s="6">
        <v>21753.21</v>
      </c>
      <c r="F572" s="6">
        <v>1912.79</v>
      </c>
      <c r="G572" s="6">
        <v>1912.79</v>
      </c>
      <c r="H572" s="6">
        <v>25578.79</v>
      </c>
      <c r="I572" s="19" t="str">
        <v>GST</v>
      </c>
      <c r="J572" s="1" t="str">
        <f t="shared" si="24"/>
        <v>Unique</v>
      </c>
      <c r="K572" s="21" t="str">
        <f t="shared" si="25"/>
        <v>Mismatch</v>
      </c>
      <c r="L572" s="4" t="str">
        <f>IF(COUNTIFS(A:A,A572,C:C,C572)=2,IF(K572="Mismatch","Value Mismatch","Matched"),IF(I572= "Tally","Missing in GST","Missing in Tally"))</f>
        <v>Value Mismatch</v>
      </c>
      <c r="M572" s="6">
        <f t="shared" si="26"/>
        <v>23334.309999999998</v>
      </c>
    </row>
    <row r="573" spans="1:13" x14ac:dyDescent="0.2">
      <c r="A573" s="1" t="str">
        <v>INV1071</v>
      </c>
      <c r="B573" s="2" t="str">
        <v>14-04-2024</v>
      </c>
      <c r="C573" s="1" t="str">
        <v>24LMNOP4321K1Z7</v>
      </c>
      <c r="D573" s="4" t="str">
        <v>Patel Industries</v>
      </c>
      <c r="E573" s="6">
        <v>45786.559999999998</v>
      </c>
      <c r="F573" s="6">
        <v>4075.79</v>
      </c>
      <c r="G573" s="6">
        <v>4075.79</v>
      </c>
      <c r="H573" s="6">
        <v>53938.14</v>
      </c>
      <c r="I573" s="19" t="str">
        <v>GST</v>
      </c>
      <c r="J573" s="1" t="str">
        <f t="shared" si="24"/>
        <v>Unique</v>
      </c>
      <c r="K573" s="21" t="str">
        <f t="shared" si="25"/>
        <v/>
      </c>
      <c r="L573" s="4" t="str">
        <f>IF(COUNTIFS(A:A,A573,C:C,C573)=2,IF(K573="Mismatch","Value Mismatch","Matched"),IF(I573= "Tally","Missing in GST","Missing in Tally"))</f>
        <v>Missing in Tally</v>
      </c>
      <c r="M573" s="6" t="str">
        <f t="shared" si="26"/>
        <v/>
      </c>
    </row>
    <row r="574" spans="1:13" x14ac:dyDescent="0.2">
      <c r="A574" s="1" t="str">
        <v>INV1072</v>
      </c>
      <c r="B574" s="2" t="str">
        <v>19-05-2024</v>
      </c>
      <c r="C574" s="1" t="str">
        <v>19ASDFG2468H1Z9</v>
      </c>
      <c r="D574" s="4" t="str">
        <v>Eastern Distributors</v>
      </c>
      <c r="E574" s="6">
        <v>15871.6</v>
      </c>
      <c r="F574" s="6">
        <v>1383.44</v>
      </c>
      <c r="G574" s="6">
        <v>1383.44</v>
      </c>
      <c r="H574" s="6">
        <v>18638.48</v>
      </c>
      <c r="I574" s="19" t="str">
        <v>GST</v>
      </c>
      <c r="J574" s="1" t="str">
        <f t="shared" si="24"/>
        <v>Unique</v>
      </c>
      <c r="K574" s="21" t="str">
        <f t="shared" si="25"/>
        <v>Mismatch</v>
      </c>
      <c r="L574" s="4" t="str">
        <f>IF(COUNTIFS(A:A,A574,C:C,C574)=2,IF(K574="Mismatch","Value Mismatch","Matched"),IF(I574= "Tally","Missing in GST","Missing in Tally"))</f>
        <v>Value Mismatch</v>
      </c>
      <c r="M574" s="6">
        <f t="shared" si="26"/>
        <v>-5324.4600000000028</v>
      </c>
    </row>
    <row r="575" spans="1:13" x14ac:dyDescent="0.2">
      <c r="A575" s="1" t="str">
        <v>INV1073</v>
      </c>
      <c r="B575" s="2" t="str">
        <v>12-05-2024</v>
      </c>
      <c r="C575" s="1" t="str">
        <v>19ASDFG2468H1Z9</v>
      </c>
      <c r="D575" s="4" t="str">
        <v>Eastern Distributors</v>
      </c>
      <c r="E575" s="6">
        <v>30109.11</v>
      </c>
      <c r="F575" s="6">
        <v>2664.82</v>
      </c>
      <c r="G575" s="6">
        <v>2664.82</v>
      </c>
      <c r="H575" s="6">
        <v>35438.75</v>
      </c>
      <c r="I575" s="19" t="str">
        <v>GST</v>
      </c>
      <c r="J575" s="1" t="str">
        <f t="shared" si="24"/>
        <v>Unique</v>
      </c>
      <c r="K575" s="21" t="str">
        <f t="shared" si="25"/>
        <v/>
      </c>
      <c r="L575" s="4" t="str">
        <f>IF(COUNTIFS(A:A,A575,C:C,C575)=2,IF(K575="Mismatch","Value Mismatch","Matched"),IF(I575= "Tally","Missing in GST","Missing in Tally"))</f>
        <v>Missing in Tally</v>
      </c>
      <c r="M575" s="6" t="str">
        <f t="shared" si="26"/>
        <v/>
      </c>
    </row>
    <row r="576" spans="1:13" x14ac:dyDescent="0.2">
      <c r="A576" s="1" t="str">
        <v>INV1074</v>
      </c>
      <c r="B576" s="2" t="str">
        <v>12-05-2024</v>
      </c>
      <c r="C576" s="1" t="str">
        <v>07ZXCVB9876M1Z3</v>
      </c>
      <c r="D576" s="4" t="str">
        <v>Gupta Supplies</v>
      </c>
      <c r="E576" s="6">
        <v>40656.07</v>
      </c>
      <c r="F576" s="6">
        <v>3614.05</v>
      </c>
      <c r="G576" s="6">
        <v>3614.05</v>
      </c>
      <c r="H576" s="6">
        <v>47884.17</v>
      </c>
      <c r="I576" s="19" t="str">
        <v>GST</v>
      </c>
      <c r="J576" s="1" t="str">
        <f t="shared" si="24"/>
        <v>Unique</v>
      </c>
      <c r="K576" s="21" t="str">
        <f t="shared" si="25"/>
        <v>Mismatch</v>
      </c>
      <c r="L576" s="4" t="str">
        <f>IF(COUNTIFS(A:A,A576,C:C,C576)=2,IF(K576="Mismatch","Value Mismatch","Matched"),IF(I576= "Tally","Missing in GST","Missing in Tally"))</f>
        <v>Value Mismatch</v>
      </c>
      <c r="M576" s="6">
        <f t="shared" si="26"/>
        <v>1862.4100000000035</v>
      </c>
    </row>
    <row r="577" spans="1:13" x14ac:dyDescent="0.2">
      <c r="A577" s="1" t="str">
        <v>INV1075</v>
      </c>
      <c r="B577" s="2" t="str">
        <v>24-04-2024</v>
      </c>
      <c r="C577" s="1" t="str">
        <v>19ASDFG2468H1Z9</v>
      </c>
      <c r="D577" s="4" t="str">
        <v>Eastern Distributors</v>
      </c>
      <c r="E577" s="6">
        <v>3377.82</v>
      </c>
      <c r="F577" s="6">
        <v>259</v>
      </c>
      <c r="G577" s="6">
        <v>259</v>
      </c>
      <c r="H577" s="6">
        <v>3895.82</v>
      </c>
      <c r="I577" s="19" t="str">
        <v>GST</v>
      </c>
      <c r="J577" s="1" t="str">
        <f t="shared" si="24"/>
        <v>Unique</v>
      </c>
      <c r="K577" s="21" t="str">
        <f t="shared" si="25"/>
        <v/>
      </c>
      <c r="L577" s="4" t="str">
        <f>IF(COUNTIFS(A:A,A577,C:C,C577)=2,IF(K577="Mismatch","Value Mismatch","Matched"),IF(I577= "Tally","Missing in GST","Missing in Tally"))</f>
        <v>Missing in Tally</v>
      </c>
      <c r="M577" s="6" t="str">
        <f t="shared" si="26"/>
        <v/>
      </c>
    </row>
    <row r="578" spans="1:13" x14ac:dyDescent="0.2">
      <c r="A578" s="1" t="str">
        <v>INV1076</v>
      </c>
      <c r="B578" s="2" t="str">
        <v>01-04-2024</v>
      </c>
      <c r="C578" s="1" t="str">
        <v>19ASDFG2468H1Z9</v>
      </c>
      <c r="D578" s="4" t="str">
        <v>Eastern Distributors</v>
      </c>
      <c r="E578" s="6">
        <v>43309.47</v>
      </c>
      <c r="F578" s="6">
        <v>3852.85</v>
      </c>
      <c r="G578" s="6">
        <v>3852.85</v>
      </c>
      <c r="H578" s="6">
        <v>51015.17</v>
      </c>
      <c r="I578" s="19" t="str">
        <v>GST</v>
      </c>
      <c r="J578" s="1" t="str">
        <f t="shared" si="24"/>
        <v>Unique</v>
      </c>
      <c r="K578" s="21" t="str">
        <f t="shared" si="25"/>
        <v>Mismatch</v>
      </c>
      <c r="L578" s="4" t="str">
        <f>IF(COUNTIFS(A:A,A578,C:C,C578)=2,IF(K578="Mismatch","Value Mismatch","Matched"),IF(I578= "Tally","Missing in GST","Missing in Tally"))</f>
        <v>Value Mismatch</v>
      </c>
      <c r="M578" s="6">
        <f t="shared" si="26"/>
        <v>-33613.480000000003</v>
      </c>
    </row>
    <row r="579" spans="1:13" x14ac:dyDescent="0.2">
      <c r="A579" s="1" t="str">
        <v>INV1077</v>
      </c>
      <c r="B579" s="2" t="str">
        <v>01-05-2024</v>
      </c>
      <c r="C579" s="1" t="str">
        <v>24LMNOP4321K1Z7</v>
      </c>
      <c r="D579" s="4" t="str">
        <v>Patel Industries</v>
      </c>
      <c r="E579" s="6">
        <v>21254.54</v>
      </c>
      <c r="F579" s="6">
        <v>1867.91</v>
      </c>
      <c r="G579" s="6">
        <v>1867.91</v>
      </c>
      <c r="H579" s="6">
        <v>24990.36</v>
      </c>
      <c r="I579" s="19" t="str">
        <v>GST</v>
      </c>
      <c r="J579" s="1" t="str">
        <f t="shared" ref="J579:J642" si="27">IF(COUNTIFS(A:A,A579,D:D,D579,I:I,I579)&gt;1,"Duplicate","Unique")</f>
        <v>Unique</v>
      </c>
      <c r="K579" s="21" t="str">
        <f t="shared" ref="K579:K642" si="28">IF(COUNTIFS(A:A,A579,C:C,C579)=2,IF(SUMIFS(E:E,A:A,A579,C:C,C579)&lt;&gt;E579*2,"Mismatch","Matched"),"")</f>
        <v/>
      </c>
      <c r="L579" s="4" t="str">
        <f>IF(COUNTIFS(A:A,A579,C:C,C579)=2,IF(K579="Mismatch","Value Mismatch","Matched"),IF(I579= "Tally","Missing in GST","Missing in Tally"))</f>
        <v>Missing in Tally</v>
      </c>
      <c r="M579" s="6" t="str">
        <f t="shared" ref="M579:M642" si="29">IF(COUNTIFS(A:A,A579,C:C,C579)=2,SUMIFS(E:E,A:A,A579,C:C,C579)-E579*2,"")</f>
        <v/>
      </c>
    </row>
    <row r="580" spans="1:13" x14ac:dyDescent="0.2">
      <c r="A580" s="1" t="str">
        <v>INV1078</v>
      </c>
      <c r="B580" s="2" t="str">
        <v>02-06-2024</v>
      </c>
      <c r="C580" s="1" t="str">
        <v>29PQRSX5678L1Z2</v>
      </c>
      <c r="D580" s="4" t="str">
        <v>Kiran Enterprises</v>
      </c>
      <c r="E580" s="6">
        <v>39543.01</v>
      </c>
      <c r="F580" s="6">
        <v>3513.87</v>
      </c>
      <c r="G580" s="6">
        <v>3513.87</v>
      </c>
      <c r="H580" s="6">
        <v>46570.75</v>
      </c>
      <c r="I580" s="19" t="str">
        <v>GST</v>
      </c>
      <c r="J580" s="1" t="str">
        <f t="shared" si="27"/>
        <v>Unique</v>
      </c>
      <c r="K580" s="21" t="str">
        <f t="shared" si="28"/>
        <v/>
      </c>
      <c r="L580" s="4" t="str">
        <f>IF(COUNTIFS(A:A,A580,C:C,C580)=2,IF(K580="Mismatch","Value Mismatch","Matched"),IF(I580= "Tally","Missing in GST","Missing in Tally"))</f>
        <v>Missing in Tally</v>
      </c>
      <c r="M580" s="6" t="str">
        <f t="shared" si="29"/>
        <v/>
      </c>
    </row>
    <row r="581" spans="1:13" x14ac:dyDescent="0.2">
      <c r="A581" s="1" t="str">
        <v>INV1079</v>
      </c>
      <c r="B581" s="2" t="str">
        <v>27-06-2024</v>
      </c>
      <c r="C581" s="1" t="str">
        <v>24LMNOP4321K1Z7</v>
      </c>
      <c r="D581" s="4" t="str">
        <v>Patel Industries</v>
      </c>
      <c r="E581" s="6">
        <v>28901.79</v>
      </c>
      <c r="F581" s="6">
        <v>2556.16</v>
      </c>
      <c r="G581" s="6">
        <v>2556.16</v>
      </c>
      <c r="H581" s="6">
        <v>34014.11</v>
      </c>
      <c r="I581" s="19" t="str">
        <v>GST</v>
      </c>
      <c r="J581" s="1" t="str">
        <f t="shared" si="27"/>
        <v>Unique</v>
      </c>
      <c r="K581" s="21" t="str">
        <f t="shared" si="28"/>
        <v/>
      </c>
      <c r="L581" s="4" t="str">
        <f>IF(COUNTIFS(A:A,A581,C:C,C581)=2,IF(K581="Mismatch","Value Mismatch","Matched"),IF(I581= "Tally","Missing in GST","Missing in Tally"))</f>
        <v>Missing in Tally</v>
      </c>
      <c r="M581" s="6" t="str">
        <f t="shared" si="29"/>
        <v/>
      </c>
    </row>
    <row r="582" spans="1:13" x14ac:dyDescent="0.2">
      <c r="A582" s="1" t="str">
        <v>INV1080</v>
      </c>
      <c r="B582" s="2" t="str">
        <v>26-05-2024</v>
      </c>
      <c r="C582" s="1" t="str">
        <v>24LMNOP4321K1Z7</v>
      </c>
      <c r="D582" s="4" t="str">
        <v>Patel Industries</v>
      </c>
      <c r="E582" s="6">
        <v>38906.57</v>
      </c>
      <c r="F582" s="6">
        <v>3456.59</v>
      </c>
      <c r="G582" s="6">
        <v>3456.59</v>
      </c>
      <c r="H582" s="6">
        <v>45819.75</v>
      </c>
      <c r="I582" s="19" t="str">
        <v>GST</v>
      </c>
      <c r="J582" s="1" t="str">
        <f t="shared" si="27"/>
        <v>Unique</v>
      </c>
      <c r="K582" s="21" t="str">
        <f t="shared" si="28"/>
        <v/>
      </c>
      <c r="L582" s="4" t="str">
        <f>IF(COUNTIFS(A:A,A582,C:C,C582)=2,IF(K582="Mismatch","Value Mismatch","Matched"),IF(I582= "Tally","Missing in GST","Missing in Tally"))</f>
        <v>Missing in Tally</v>
      </c>
      <c r="M582" s="6" t="str">
        <f t="shared" si="29"/>
        <v/>
      </c>
    </row>
    <row r="583" spans="1:13" x14ac:dyDescent="0.2">
      <c r="A583" s="1" t="str">
        <v>INV1081</v>
      </c>
      <c r="B583" s="2" t="str">
        <v>19-06-2024</v>
      </c>
      <c r="C583" s="1" t="str">
        <v>24LMNOP4321K1Z7</v>
      </c>
      <c r="D583" s="4" t="str">
        <v>Patel Industries</v>
      </c>
      <c r="E583" s="6">
        <v>32207.09</v>
      </c>
      <c r="F583" s="6">
        <v>2853.64</v>
      </c>
      <c r="G583" s="6">
        <v>2853.64</v>
      </c>
      <c r="H583" s="6">
        <v>37914.370000000003</v>
      </c>
      <c r="I583" s="19" t="str">
        <v>GST</v>
      </c>
      <c r="J583" s="1" t="str">
        <f t="shared" si="27"/>
        <v>Unique</v>
      </c>
      <c r="K583" s="21" t="str">
        <f t="shared" si="28"/>
        <v>Mismatch</v>
      </c>
      <c r="L583" s="4" t="str">
        <f>IF(COUNTIFS(A:A,A583,C:C,C583)=2,IF(K583="Mismatch","Value Mismatch","Matched"),IF(I583= "Tally","Missing in GST","Missing in Tally"))</f>
        <v>Value Mismatch</v>
      </c>
      <c r="M583" s="6">
        <f t="shared" si="29"/>
        <v>-2890.2099999999991</v>
      </c>
    </row>
    <row r="584" spans="1:13" x14ac:dyDescent="0.2">
      <c r="A584" s="1" t="str">
        <v>INV1082</v>
      </c>
      <c r="B584" s="2" t="str">
        <v>09-06-2024</v>
      </c>
      <c r="C584" s="1" t="str">
        <v>29PQRSX5678L1Z2</v>
      </c>
      <c r="D584" s="4" t="str">
        <v>Kiran Enterprises</v>
      </c>
      <c r="E584" s="6">
        <v>6370.06</v>
      </c>
      <c r="F584" s="6">
        <v>528.30999999999995</v>
      </c>
      <c r="G584" s="6">
        <v>528.30999999999995</v>
      </c>
      <c r="H584" s="6">
        <v>7426.68</v>
      </c>
      <c r="I584" s="19" t="str">
        <v>GST</v>
      </c>
      <c r="J584" s="1" t="str">
        <f t="shared" si="27"/>
        <v>Unique</v>
      </c>
      <c r="K584" s="21" t="str">
        <f t="shared" si="28"/>
        <v/>
      </c>
      <c r="L584" s="4" t="str">
        <f>IF(COUNTIFS(A:A,A584,C:C,C584)=2,IF(K584="Mismatch","Value Mismatch","Matched"),IF(I584= "Tally","Missing in GST","Missing in Tally"))</f>
        <v>Missing in Tally</v>
      </c>
      <c r="M584" s="6" t="str">
        <f t="shared" si="29"/>
        <v/>
      </c>
    </row>
    <row r="585" spans="1:13" x14ac:dyDescent="0.2">
      <c r="A585" s="1" t="str">
        <v>INV1083</v>
      </c>
      <c r="B585" s="2" t="str">
        <v>29-04-2024</v>
      </c>
      <c r="C585" s="1" t="str">
        <v>07ZXCVB9876M1Z3</v>
      </c>
      <c r="D585" s="4" t="str">
        <v>Gupta Supplies</v>
      </c>
      <c r="E585" s="6">
        <v>1763.88</v>
      </c>
      <c r="F585" s="6">
        <v>113.75</v>
      </c>
      <c r="G585" s="6">
        <v>113.75</v>
      </c>
      <c r="H585" s="6">
        <v>1991.38</v>
      </c>
      <c r="I585" s="19" t="str">
        <v>GST</v>
      </c>
      <c r="J585" s="1" t="str">
        <f t="shared" si="27"/>
        <v>Unique</v>
      </c>
      <c r="K585" s="21" t="str">
        <f t="shared" si="28"/>
        <v/>
      </c>
      <c r="L585" s="4" t="str">
        <f>IF(COUNTIFS(A:A,A585,C:C,C585)=2,IF(K585="Mismatch","Value Mismatch","Matched"),IF(I585= "Tally","Missing in GST","Missing in Tally"))</f>
        <v>Missing in Tally</v>
      </c>
      <c r="M585" s="6" t="str">
        <f t="shared" si="29"/>
        <v/>
      </c>
    </row>
    <row r="586" spans="1:13" x14ac:dyDescent="0.2">
      <c r="A586" s="1" t="str">
        <v>INV1084</v>
      </c>
      <c r="B586" s="2" t="str">
        <v>15-05-2024</v>
      </c>
      <c r="C586" s="1" t="str">
        <v>07ZXCVB9876M1Z3</v>
      </c>
      <c r="D586" s="4" t="str">
        <v>Gupta Supplies</v>
      </c>
      <c r="E586" s="6">
        <v>3701.31</v>
      </c>
      <c r="F586" s="6">
        <v>288.12</v>
      </c>
      <c r="G586" s="6">
        <v>288.12</v>
      </c>
      <c r="H586" s="6">
        <v>4277.55</v>
      </c>
      <c r="I586" s="19" t="str">
        <v>GST</v>
      </c>
      <c r="J586" s="1" t="str">
        <f t="shared" si="27"/>
        <v>Unique</v>
      </c>
      <c r="K586" s="21" t="str">
        <f t="shared" si="28"/>
        <v/>
      </c>
      <c r="L586" s="4" t="str">
        <f>IF(COUNTIFS(A:A,A586,C:C,C586)=2,IF(K586="Mismatch","Value Mismatch","Matched"),IF(I586= "Tally","Missing in GST","Missing in Tally"))</f>
        <v>Missing in Tally</v>
      </c>
      <c r="M586" s="6" t="str">
        <f t="shared" si="29"/>
        <v/>
      </c>
    </row>
    <row r="587" spans="1:13" x14ac:dyDescent="0.2">
      <c r="A587" s="1" t="str">
        <v>INV1085</v>
      </c>
      <c r="B587" s="2" t="str">
        <v>17-05-2024</v>
      </c>
      <c r="C587" s="1" t="str">
        <v>27ABCDE1234F1Z5</v>
      </c>
      <c r="D587" s="4" t="str">
        <v>Sharma Traders</v>
      </c>
      <c r="E587" s="6">
        <v>1728.28</v>
      </c>
      <c r="F587" s="6">
        <v>110.55</v>
      </c>
      <c r="G587" s="6">
        <v>110.55</v>
      </c>
      <c r="H587" s="6">
        <v>1949.38</v>
      </c>
      <c r="I587" s="19" t="str">
        <v>GST</v>
      </c>
      <c r="J587" s="1" t="str">
        <f t="shared" si="27"/>
        <v>Unique</v>
      </c>
      <c r="K587" s="21" t="str">
        <f t="shared" si="28"/>
        <v/>
      </c>
      <c r="L587" s="4" t="str">
        <f>IF(COUNTIFS(A:A,A587,C:C,C587)=2,IF(K587="Mismatch","Value Mismatch","Matched"),IF(I587= "Tally","Missing in GST","Missing in Tally"))</f>
        <v>Missing in Tally</v>
      </c>
      <c r="M587" s="6" t="str">
        <f t="shared" si="29"/>
        <v/>
      </c>
    </row>
    <row r="588" spans="1:13" x14ac:dyDescent="0.2">
      <c r="A588" s="1" t="str">
        <v>INV1086</v>
      </c>
      <c r="B588" s="2" t="str">
        <v>18-04-2024</v>
      </c>
      <c r="C588" s="1" t="str">
        <v>29PQRSX5678L1Z2</v>
      </c>
      <c r="D588" s="4" t="str">
        <v>Kiran Enterprises</v>
      </c>
      <c r="E588" s="6">
        <v>36580.199999999997</v>
      </c>
      <c r="F588" s="6">
        <v>3247.22</v>
      </c>
      <c r="G588" s="6">
        <v>3247.22</v>
      </c>
      <c r="H588" s="6">
        <v>43074.64</v>
      </c>
      <c r="I588" s="19" t="str">
        <v>GST</v>
      </c>
      <c r="J588" s="1" t="str">
        <f t="shared" si="27"/>
        <v>Unique</v>
      </c>
      <c r="K588" s="21" t="str">
        <f t="shared" si="28"/>
        <v/>
      </c>
      <c r="L588" s="4" t="str">
        <f>IF(COUNTIFS(A:A,A588,C:C,C588)=2,IF(K588="Mismatch","Value Mismatch","Matched"),IF(I588= "Tally","Missing in GST","Missing in Tally"))</f>
        <v>Missing in Tally</v>
      </c>
      <c r="M588" s="6" t="str">
        <f t="shared" si="29"/>
        <v/>
      </c>
    </row>
    <row r="589" spans="1:13" x14ac:dyDescent="0.2">
      <c r="A589" s="1" t="str">
        <v>INV1087</v>
      </c>
      <c r="B589" s="2" t="str">
        <v>13-06-2024</v>
      </c>
      <c r="C589" s="1" t="str">
        <v>07ZXCVB9876M1Z3</v>
      </c>
      <c r="D589" s="4" t="str">
        <v>Gupta Supplies</v>
      </c>
      <c r="E589" s="6">
        <v>24883.23</v>
      </c>
      <c r="F589" s="6">
        <v>2194.4899999999998</v>
      </c>
      <c r="G589" s="6">
        <v>2194.4899999999998</v>
      </c>
      <c r="H589" s="6">
        <v>29272.21</v>
      </c>
      <c r="I589" s="19" t="str">
        <v>GST</v>
      </c>
      <c r="J589" s="1" t="str">
        <f t="shared" si="27"/>
        <v>Unique</v>
      </c>
      <c r="K589" s="21" t="str">
        <f t="shared" si="28"/>
        <v/>
      </c>
      <c r="L589" s="4" t="str">
        <f>IF(COUNTIFS(A:A,A589,C:C,C589)=2,IF(K589="Mismatch","Value Mismatch","Matched"),IF(I589= "Tally","Missing in GST","Missing in Tally"))</f>
        <v>Missing in Tally</v>
      </c>
      <c r="M589" s="6" t="str">
        <f t="shared" si="29"/>
        <v/>
      </c>
    </row>
    <row r="590" spans="1:13" x14ac:dyDescent="0.2">
      <c r="A590" s="1" t="str">
        <v>INV1088</v>
      </c>
      <c r="B590" s="2" t="str">
        <v>11-06-2024</v>
      </c>
      <c r="C590" s="1" t="str">
        <v>29PQRSX5678L1Z2</v>
      </c>
      <c r="D590" s="4" t="str">
        <v>Kiran Enterprises</v>
      </c>
      <c r="E590" s="6">
        <v>13016.36</v>
      </c>
      <c r="F590" s="6">
        <v>1126.47</v>
      </c>
      <c r="G590" s="6">
        <v>1126.47</v>
      </c>
      <c r="H590" s="6">
        <v>15269.3</v>
      </c>
      <c r="I590" s="19" t="str">
        <v>GST</v>
      </c>
      <c r="J590" s="1" t="str">
        <f t="shared" si="27"/>
        <v>Unique</v>
      </c>
      <c r="K590" s="21" t="str">
        <f t="shared" si="28"/>
        <v/>
      </c>
      <c r="L590" s="4" t="str">
        <f>IF(COUNTIFS(A:A,A590,C:C,C590)=2,IF(K590="Mismatch","Value Mismatch","Matched"),IF(I590= "Tally","Missing in GST","Missing in Tally"))</f>
        <v>Missing in Tally</v>
      </c>
      <c r="M590" s="6" t="str">
        <f t="shared" si="29"/>
        <v/>
      </c>
    </row>
    <row r="591" spans="1:13" x14ac:dyDescent="0.2">
      <c r="A591" s="1" t="str">
        <v>INV1089</v>
      </c>
      <c r="B591" s="2" t="str">
        <v>20-04-2024</v>
      </c>
      <c r="C591" s="1" t="str">
        <v>29PQRSX5678L1Z2</v>
      </c>
      <c r="D591" s="4" t="str">
        <v>Kiran Enterprises</v>
      </c>
      <c r="E591" s="6">
        <v>35902.18</v>
      </c>
      <c r="F591" s="6">
        <v>3186.2</v>
      </c>
      <c r="G591" s="6">
        <v>3186.2</v>
      </c>
      <c r="H591" s="6">
        <v>42274.58</v>
      </c>
      <c r="I591" s="19" t="str">
        <v>GST</v>
      </c>
      <c r="J591" s="1" t="str">
        <f t="shared" si="27"/>
        <v>Unique</v>
      </c>
      <c r="K591" s="21" t="str">
        <f t="shared" si="28"/>
        <v/>
      </c>
      <c r="L591" s="4" t="str">
        <f>IF(COUNTIFS(A:A,A591,C:C,C591)=2,IF(K591="Mismatch","Value Mismatch","Matched"),IF(I591= "Tally","Missing in GST","Missing in Tally"))</f>
        <v>Missing in Tally</v>
      </c>
      <c r="M591" s="6" t="str">
        <f t="shared" si="29"/>
        <v/>
      </c>
    </row>
    <row r="592" spans="1:13" x14ac:dyDescent="0.2">
      <c r="A592" s="1" t="str">
        <v>INV1090</v>
      </c>
      <c r="B592" s="2" t="str">
        <v>10-04-2024</v>
      </c>
      <c r="C592" s="1" t="str">
        <v>27ABCDE1234F1Z5</v>
      </c>
      <c r="D592" s="4" t="str">
        <v>Sharma Traders</v>
      </c>
      <c r="E592" s="6">
        <v>5819.84</v>
      </c>
      <c r="F592" s="6">
        <v>478.79</v>
      </c>
      <c r="G592" s="6">
        <v>478.79</v>
      </c>
      <c r="H592" s="6">
        <v>6777.42</v>
      </c>
      <c r="I592" s="19" t="str">
        <v>GST</v>
      </c>
      <c r="J592" s="1" t="str">
        <f t="shared" si="27"/>
        <v>Unique</v>
      </c>
      <c r="K592" s="21" t="str">
        <f t="shared" si="28"/>
        <v/>
      </c>
      <c r="L592" s="4" t="str">
        <f>IF(COUNTIFS(A:A,A592,C:C,C592)=2,IF(K592="Mismatch","Value Mismatch","Matched"),IF(I592= "Tally","Missing in GST","Missing in Tally"))</f>
        <v>Missing in Tally</v>
      </c>
      <c r="M592" s="6" t="str">
        <f t="shared" si="29"/>
        <v/>
      </c>
    </row>
    <row r="593" spans="1:13" x14ac:dyDescent="0.2">
      <c r="A593" s="1" t="str">
        <v>INV1091</v>
      </c>
      <c r="B593" s="2" t="str">
        <v>07-04-2024</v>
      </c>
      <c r="C593" s="1" t="str">
        <v>27ABCDE1234F1Z5</v>
      </c>
      <c r="D593" s="4" t="str">
        <v>Sharma Traders</v>
      </c>
      <c r="E593" s="6">
        <v>42311.94</v>
      </c>
      <c r="F593" s="6">
        <v>3763.07</v>
      </c>
      <c r="G593" s="6">
        <v>3763.07</v>
      </c>
      <c r="H593" s="6">
        <v>49838.080000000002</v>
      </c>
      <c r="I593" s="19" t="str">
        <v>GST</v>
      </c>
      <c r="J593" s="1" t="str">
        <f t="shared" si="27"/>
        <v>Unique</v>
      </c>
      <c r="K593" s="21" t="str">
        <f t="shared" si="28"/>
        <v/>
      </c>
      <c r="L593" s="4" t="str">
        <f>IF(COUNTIFS(A:A,A593,C:C,C593)=2,IF(K593="Mismatch","Value Mismatch","Matched"),IF(I593= "Tally","Missing in GST","Missing in Tally"))</f>
        <v>Missing in Tally</v>
      </c>
      <c r="M593" s="6" t="str">
        <f t="shared" si="29"/>
        <v/>
      </c>
    </row>
    <row r="594" spans="1:13" x14ac:dyDescent="0.2">
      <c r="A594" s="1" t="str">
        <v>INV1092</v>
      </c>
      <c r="B594" s="2" t="str">
        <v>06-06-2024</v>
      </c>
      <c r="C594" s="1" t="str">
        <v>29PQRSX5678L1Z2</v>
      </c>
      <c r="D594" s="4" t="str">
        <v>Kiran Enterprises</v>
      </c>
      <c r="E594" s="6">
        <v>29178.61</v>
      </c>
      <c r="F594" s="6">
        <v>2581.0700000000002</v>
      </c>
      <c r="G594" s="6">
        <v>2581.0700000000002</v>
      </c>
      <c r="H594" s="6">
        <v>34340.75</v>
      </c>
      <c r="I594" s="19" t="str">
        <v>GST</v>
      </c>
      <c r="J594" s="1" t="str">
        <f t="shared" si="27"/>
        <v>Unique</v>
      </c>
      <c r="K594" s="21" t="str">
        <f t="shared" si="28"/>
        <v/>
      </c>
      <c r="L594" s="4" t="str">
        <f>IF(COUNTIFS(A:A,A594,C:C,C594)=2,IF(K594="Mismatch","Value Mismatch","Matched"),IF(I594= "Tally","Missing in GST","Missing in Tally"))</f>
        <v>Missing in Tally</v>
      </c>
      <c r="M594" s="6" t="str">
        <f t="shared" si="29"/>
        <v/>
      </c>
    </row>
    <row r="595" spans="1:13" x14ac:dyDescent="0.2">
      <c r="A595" s="1" t="str">
        <v>INV1093</v>
      </c>
      <c r="B595" s="2" t="str">
        <v>17-05-2024</v>
      </c>
      <c r="C595" s="1" t="str">
        <v>19ASDFG2468H1Z9</v>
      </c>
      <c r="D595" s="4" t="str">
        <v>Eastern Distributors</v>
      </c>
      <c r="E595" s="6">
        <v>13770.99</v>
      </c>
      <c r="F595" s="6">
        <v>1194.3900000000001</v>
      </c>
      <c r="G595" s="6">
        <v>1194.3900000000001</v>
      </c>
      <c r="H595" s="6">
        <v>16159.77</v>
      </c>
      <c r="I595" s="19" t="str">
        <v>GST</v>
      </c>
      <c r="J595" s="1" t="str">
        <f t="shared" si="27"/>
        <v>Unique</v>
      </c>
      <c r="K595" s="21" t="str">
        <f t="shared" si="28"/>
        <v/>
      </c>
      <c r="L595" s="4" t="str">
        <f>IF(COUNTIFS(A:A,A595,C:C,C595)=2,IF(K595="Mismatch","Value Mismatch","Matched"),IF(I595= "Tally","Missing in GST","Missing in Tally"))</f>
        <v>Missing in Tally</v>
      </c>
      <c r="M595" s="6" t="str">
        <f t="shared" si="29"/>
        <v/>
      </c>
    </row>
    <row r="596" spans="1:13" x14ac:dyDescent="0.2">
      <c r="A596" s="1" t="str">
        <v>INV1094</v>
      </c>
      <c r="B596" s="2" t="str">
        <v>06-05-2024</v>
      </c>
      <c r="C596" s="1" t="str">
        <v>27ABCDE1234F1Z5</v>
      </c>
      <c r="D596" s="4" t="str">
        <v>Sharma Traders</v>
      </c>
      <c r="E596" s="6">
        <v>34621.5</v>
      </c>
      <c r="F596" s="6">
        <v>3070.93</v>
      </c>
      <c r="G596" s="6">
        <v>3070.93</v>
      </c>
      <c r="H596" s="6">
        <v>40763.360000000001</v>
      </c>
      <c r="I596" s="19" t="str">
        <v>GST</v>
      </c>
      <c r="J596" s="1" t="str">
        <f t="shared" si="27"/>
        <v>Unique</v>
      </c>
      <c r="K596" s="21" t="str">
        <f t="shared" si="28"/>
        <v/>
      </c>
      <c r="L596" s="4" t="str">
        <f>IF(COUNTIFS(A:A,A596,C:C,C596)=2,IF(K596="Mismatch","Value Mismatch","Matched"),IF(I596= "Tally","Missing in GST","Missing in Tally"))</f>
        <v>Missing in Tally</v>
      </c>
      <c r="M596" s="6" t="str">
        <f t="shared" si="29"/>
        <v/>
      </c>
    </row>
    <row r="597" spans="1:13" x14ac:dyDescent="0.2">
      <c r="A597" s="1" t="str">
        <v>INV1095</v>
      </c>
      <c r="B597" s="2" t="str">
        <v>11-05-2024</v>
      </c>
      <c r="C597" s="1" t="str">
        <v>07ZXCVB9876M1Z3</v>
      </c>
      <c r="D597" s="4" t="str">
        <v>Gupta Supplies</v>
      </c>
      <c r="E597" s="6">
        <v>25330.01</v>
      </c>
      <c r="F597" s="6">
        <v>2234.6999999999998</v>
      </c>
      <c r="G597" s="6">
        <v>2234.6999999999998</v>
      </c>
      <c r="H597" s="6">
        <v>29799.41</v>
      </c>
      <c r="I597" s="19" t="str">
        <v>GST</v>
      </c>
      <c r="J597" s="1" t="str">
        <f t="shared" si="27"/>
        <v>Unique</v>
      </c>
      <c r="K597" s="21" t="str">
        <f t="shared" si="28"/>
        <v/>
      </c>
      <c r="L597" s="4" t="str">
        <f>IF(COUNTIFS(A:A,A597,C:C,C597)=2,IF(K597="Mismatch","Value Mismatch","Matched"),IF(I597= "Tally","Missing in GST","Missing in Tally"))</f>
        <v>Missing in Tally</v>
      </c>
      <c r="M597" s="6" t="str">
        <f t="shared" si="29"/>
        <v/>
      </c>
    </row>
    <row r="598" spans="1:13" x14ac:dyDescent="0.2">
      <c r="A598" s="14" t="str">
        <v>INV1096</v>
      </c>
      <c r="B598" s="15" t="str">
        <v>20-05-2024</v>
      </c>
      <c r="C598" s="14" t="str">
        <v>19ASDFG2468H1Z9</v>
      </c>
      <c r="D598" s="16" t="str">
        <v>Eastern Distributors</v>
      </c>
      <c r="E598" s="17">
        <v>5405.65</v>
      </c>
      <c r="F598" s="17">
        <v>441.51</v>
      </c>
      <c r="G598" s="17">
        <v>441.51</v>
      </c>
      <c r="H598" s="17">
        <v>6288.67</v>
      </c>
      <c r="I598" s="18" t="str">
        <v>GST</v>
      </c>
      <c r="J598" s="14" t="str">
        <f t="shared" si="27"/>
        <v>Duplicate</v>
      </c>
      <c r="K598" s="20" t="str">
        <f t="shared" si="28"/>
        <v/>
      </c>
      <c r="L598" s="16" t="str">
        <f>IF(COUNTIFS(A:A,A598,C:C,C598)=2,IF(K598="Mismatch","Value Mismatch","Matched"),IF(I598= "Tally","Missing in GST","Missing in Tally"))</f>
        <v>Missing in Tally</v>
      </c>
      <c r="M598" s="17" t="str">
        <f t="shared" si="29"/>
        <v/>
      </c>
    </row>
    <row r="599" spans="1:13" x14ac:dyDescent="0.2">
      <c r="A599" s="1" t="str">
        <v>INV1097</v>
      </c>
      <c r="B599" s="2" t="str">
        <v>02-04-2024</v>
      </c>
      <c r="C599" s="1" t="str">
        <v>24LMNOP4321K1Z7</v>
      </c>
      <c r="D599" s="4" t="str">
        <v>Patel Industries</v>
      </c>
      <c r="E599" s="6">
        <v>21656.65</v>
      </c>
      <c r="F599" s="6">
        <v>1904.1</v>
      </c>
      <c r="G599" s="6">
        <v>1904.1</v>
      </c>
      <c r="H599" s="6">
        <v>25464.85</v>
      </c>
      <c r="I599" s="19" t="str">
        <v>GST</v>
      </c>
      <c r="J599" s="1" t="str">
        <f t="shared" si="27"/>
        <v>Unique</v>
      </c>
      <c r="K599" s="21" t="str">
        <f t="shared" si="28"/>
        <v>Mismatch</v>
      </c>
      <c r="L599" s="4" t="str">
        <f>IF(COUNTIFS(A:A,A599,C:C,C599)=2,IF(K599="Mismatch","Value Mismatch","Matched"),IF(I599= "Tally","Missing in GST","Missing in Tally"))</f>
        <v>Value Mismatch</v>
      </c>
      <c r="M599" s="6">
        <f t="shared" si="29"/>
        <v>-17079.150000000001</v>
      </c>
    </row>
    <row r="600" spans="1:13" x14ac:dyDescent="0.2">
      <c r="A600" s="1" t="str">
        <v>INV1098</v>
      </c>
      <c r="B600" s="2" t="str">
        <v>11-04-2024</v>
      </c>
      <c r="C600" s="1" t="str">
        <v>19ASDFG2468H1Z9</v>
      </c>
      <c r="D600" s="4" t="str">
        <v>Eastern Distributors</v>
      </c>
      <c r="E600" s="6">
        <v>30828.93</v>
      </c>
      <c r="F600" s="6">
        <v>2729.6</v>
      </c>
      <c r="G600" s="6">
        <v>2729.6</v>
      </c>
      <c r="H600" s="6">
        <v>36288.129999999997</v>
      </c>
      <c r="I600" s="19" t="str">
        <v>GST</v>
      </c>
      <c r="J600" s="1" t="str">
        <f t="shared" si="27"/>
        <v>Unique</v>
      </c>
      <c r="K600" s="21" t="str">
        <f t="shared" si="28"/>
        <v/>
      </c>
      <c r="L600" s="4" t="str">
        <f>IF(COUNTIFS(A:A,A600,C:C,C600)=2,IF(K600="Mismatch","Value Mismatch","Matched"),IF(I600= "Tally","Missing in GST","Missing in Tally"))</f>
        <v>Missing in Tally</v>
      </c>
      <c r="M600" s="6" t="str">
        <f t="shared" si="29"/>
        <v/>
      </c>
    </row>
    <row r="601" spans="1:13" x14ac:dyDescent="0.2">
      <c r="A601" s="1" t="str">
        <v>INV1099</v>
      </c>
      <c r="B601" s="2" t="str">
        <v>12-05-2024</v>
      </c>
      <c r="C601" s="1" t="str">
        <v>07ZXCVB9876M1Z3</v>
      </c>
      <c r="D601" s="4" t="str">
        <v>Gupta Supplies</v>
      </c>
      <c r="E601" s="6">
        <v>38504.42</v>
      </c>
      <c r="F601" s="6">
        <v>3420.4</v>
      </c>
      <c r="G601" s="6">
        <v>3420.4</v>
      </c>
      <c r="H601" s="6">
        <v>45345.22</v>
      </c>
      <c r="I601" s="19" t="str">
        <v>GST</v>
      </c>
      <c r="J601" s="1" t="str">
        <f t="shared" si="27"/>
        <v>Unique</v>
      </c>
      <c r="K601" s="21" t="str">
        <f t="shared" si="28"/>
        <v/>
      </c>
      <c r="L601" s="4" t="str">
        <f>IF(COUNTIFS(A:A,A601,C:C,C601)=2,IF(K601="Mismatch","Value Mismatch","Matched"),IF(I601= "Tally","Missing in GST","Missing in Tally"))</f>
        <v>Missing in Tally</v>
      </c>
      <c r="M601" s="6" t="str">
        <f t="shared" si="29"/>
        <v/>
      </c>
    </row>
    <row r="602" spans="1:13" x14ac:dyDescent="0.2">
      <c r="A602" s="1" t="str">
        <v>INV2100</v>
      </c>
      <c r="B602" s="2" t="str">
        <v>28-05-2024</v>
      </c>
      <c r="C602" s="1" t="str">
        <v>07ZXCVB9876M1Z3</v>
      </c>
      <c r="D602" s="4" t="str">
        <v>Gupta Supplies</v>
      </c>
      <c r="E602" s="6">
        <v>36825.68</v>
      </c>
      <c r="F602" s="6">
        <v>3314.31</v>
      </c>
      <c r="G602" s="6">
        <v>3314.31</v>
      </c>
      <c r="H602" s="6">
        <v>43454.3</v>
      </c>
      <c r="I602" s="19" t="str">
        <v>GST</v>
      </c>
      <c r="J602" s="1" t="str">
        <f t="shared" si="27"/>
        <v>Unique</v>
      </c>
      <c r="K602" s="21" t="str">
        <f t="shared" si="28"/>
        <v/>
      </c>
      <c r="L602" s="4" t="str">
        <f>IF(COUNTIFS(A:A,A602,C:C,C602)=2,IF(K602="Mismatch","Value Mismatch","Matched"),IF(I602= "Tally","Missing in GST","Missing in Tally"))</f>
        <v>Missing in Tally</v>
      </c>
      <c r="M602" s="6" t="str">
        <f t="shared" si="29"/>
        <v/>
      </c>
    </row>
    <row r="603" spans="1:13" x14ac:dyDescent="0.2">
      <c r="A603" s="1" t="str">
        <v>INV2101</v>
      </c>
      <c r="B603" s="2" t="str">
        <v>15-05-2024</v>
      </c>
      <c r="C603" s="1" t="str">
        <v>27ABCDE1234F1Z5</v>
      </c>
      <c r="D603" s="4" t="str">
        <v>Sharma Traders</v>
      </c>
      <c r="E603" s="6">
        <v>15065.88</v>
      </c>
      <c r="F603" s="6">
        <v>1355.93</v>
      </c>
      <c r="G603" s="6">
        <v>1355.93</v>
      </c>
      <c r="H603" s="6">
        <v>17777.740000000002</v>
      </c>
      <c r="I603" s="19" t="str">
        <v>GST</v>
      </c>
      <c r="J603" s="1" t="str">
        <f t="shared" si="27"/>
        <v>Unique</v>
      </c>
      <c r="K603" s="21" t="str">
        <f t="shared" si="28"/>
        <v/>
      </c>
      <c r="L603" s="4" t="str">
        <f>IF(COUNTIFS(A:A,A603,C:C,C603)=2,IF(K603="Mismatch","Value Mismatch","Matched"),IF(I603= "Tally","Missing in GST","Missing in Tally"))</f>
        <v>Missing in Tally</v>
      </c>
      <c r="M603" s="6" t="str">
        <f t="shared" si="29"/>
        <v/>
      </c>
    </row>
    <row r="604" spans="1:13" x14ac:dyDescent="0.2">
      <c r="A604" s="1" t="str">
        <v>INV2102</v>
      </c>
      <c r="B604" s="2" t="str">
        <v>27-05-2024</v>
      </c>
      <c r="C604" s="1" t="str">
        <v>29PQRSX5678L1Z2</v>
      </c>
      <c r="D604" s="4" t="str">
        <v>Kiran Enterprises</v>
      </c>
      <c r="E604" s="6">
        <v>42773.31</v>
      </c>
      <c r="F604" s="6">
        <v>3849.6</v>
      </c>
      <c r="G604" s="6">
        <v>3849.6</v>
      </c>
      <c r="H604" s="6">
        <v>50472.51</v>
      </c>
      <c r="I604" s="19" t="str">
        <v>GST</v>
      </c>
      <c r="J604" s="1" t="str">
        <f t="shared" si="27"/>
        <v>Unique</v>
      </c>
      <c r="K604" s="21" t="str">
        <f t="shared" si="28"/>
        <v/>
      </c>
      <c r="L604" s="4" t="str">
        <f>IF(COUNTIFS(A:A,A604,C:C,C604)=2,IF(K604="Mismatch","Value Mismatch","Matched"),IF(I604= "Tally","Missing in GST","Missing in Tally"))</f>
        <v>Missing in Tally</v>
      </c>
      <c r="M604" s="6" t="str">
        <f t="shared" si="29"/>
        <v/>
      </c>
    </row>
    <row r="605" spans="1:13" x14ac:dyDescent="0.2">
      <c r="A605" s="1" t="str">
        <v>INV2103</v>
      </c>
      <c r="B605" s="2" t="str">
        <v>09-06-2024</v>
      </c>
      <c r="C605" s="1" t="str">
        <v>07ZXCVB9876M1Z3</v>
      </c>
      <c r="D605" s="4" t="str">
        <v>Gupta Supplies</v>
      </c>
      <c r="E605" s="6">
        <v>30212.080000000002</v>
      </c>
      <c r="F605" s="6">
        <v>2719.09</v>
      </c>
      <c r="G605" s="6">
        <v>2719.09</v>
      </c>
      <c r="H605" s="6">
        <v>35650.26</v>
      </c>
      <c r="I605" s="19" t="str">
        <v>GST</v>
      </c>
      <c r="J605" s="1" t="str">
        <f t="shared" si="27"/>
        <v>Unique</v>
      </c>
      <c r="K605" s="21" t="str">
        <f t="shared" si="28"/>
        <v/>
      </c>
      <c r="L605" s="4" t="str">
        <f>IF(COUNTIFS(A:A,A605,C:C,C605)=2,IF(K605="Mismatch","Value Mismatch","Matched"),IF(I605= "Tally","Missing in GST","Missing in Tally"))</f>
        <v>Missing in Tally</v>
      </c>
      <c r="M605" s="6" t="str">
        <f t="shared" si="29"/>
        <v/>
      </c>
    </row>
    <row r="606" spans="1:13" x14ac:dyDescent="0.2">
      <c r="A606" s="1" t="str">
        <v>INV2104</v>
      </c>
      <c r="B606" s="2" t="str">
        <v>15-05-2024</v>
      </c>
      <c r="C606" s="1" t="str">
        <v>07ZXCVB9876M1Z3</v>
      </c>
      <c r="D606" s="4" t="str">
        <v>Gupta Supplies</v>
      </c>
      <c r="E606" s="6">
        <v>19980.62</v>
      </c>
      <c r="F606" s="6">
        <v>1798.26</v>
      </c>
      <c r="G606" s="6">
        <v>1798.26</v>
      </c>
      <c r="H606" s="6">
        <v>23577.14</v>
      </c>
      <c r="I606" s="19" t="str">
        <v>GST</v>
      </c>
      <c r="J606" s="1" t="str">
        <f t="shared" si="27"/>
        <v>Unique</v>
      </c>
      <c r="K606" s="21" t="str">
        <f t="shared" si="28"/>
        <v/>
      </c>
      <c r="L606" s="4" t="str">
        <f>IF(COUNTIFS(A:A,A606,C:C,C606)=2,IF(K606="Mismatch","Value Mismatch","Matched"),IF(I606= "Tally","Missing in GST","Missing in Tally"))</f>
        <v>Missing in Tally</v>
      </c>
      <c r="M606" s="6" t="str">
        <f t="shared" si="29"/>
        <v/>
      </c>
    </row>
    <row r="607" spans="1:13" x14ac:dyDescent="0.2">
      <c r="A607" s="1" t="str">
        <v>INV2105</v>
      </c>
      <c r="B607" s="2" t="str">
        <v>19-04-2024</v>
      </c>
      <c r="C607" s="1" t="str">
        <v>24LMNOP4321K1Z7</v>
      </c>
      <c r="D607" s="4" t="str">
        <v>Patel Industries</v>
      </c>
      <c r="E607" s="6">
        <v>21543.200000000001</v>
      </c>
      <c r="F607" s="6">
        <v>1938.89</v>
      </c>
      <c r="G607" s="6">
        <v>1938.89</v>
      </c>
      <c r="H607" s="6">
        <v>25420.98</v>
      </c>
      <c r="I607" s="19" t="str">
        <v>GST</v>
      </c>
      <c r="J607" s="1" t="str">
        <f t="shared" si="27"/>
        <v>Unique</v>
      </c>
      <c r="K607" s="21" t="str">
        <f t="shared" si="28"/>
        <v/>
      </c>
      <c r="L607" s="4" t="str">
        <f>IF(COUNTIFS(A:A,A607,C:C,C607)=2,IF(K607="Mismatch","Value Mismatch","Matched"),IF(I607= "Tally","Missing in GST","Missing in Tally"))</f>
        <v>Missing in Tally</v>
      </c>
      <c r="M607" s="6" t="str">
        <f t="shared" si="29"/>
        <v/>
      </c>
    </row>
    <row r="608" spans="1:13" x14ac:dyDescent="0.2">
      <c r="A608" s="1" t="str">
        <v>INV2106</v>
      </c>
      <c r="B608" s="2" t="str">
        <v>12-06-2024</v>
      </c>
      <c r="C608" s="1" t="str">
        <v>27ABCDE1234F1Z5</v>
      </c>
      <c r="D608" s="4" t="str">
        <v>Sharma Traders</v>
      </c>
      <c r="E608" s="6">
        <v>3746.92</v>
      </c>
      <c r="F608" s="6">
        <v>337.22</v>
      </c>
      <c r="G608" s="6">
        <v>337.22</v>
      </c>
      <c r="H608" s="6">
        <v>4421.3599999999997</v>
      </c>
      <c r="I608" s="19" t="str">
        <v>GST</v>
      </c>
      <c r="J608" s="1" t="str">
        <f t="shared" si="27"/>
        <v>Unique</v>
      </c>
      <c r="K608" s="21" t="str">
        <f t="shared" si="28"/>
        <v/>
      </c>
      <c r="L608" s="4" t="str">
        <f>IF(COUNTIFS(A:A,A608,C:C,C608)=2,IF(K608="Mismatch","Value Mismatch","Matched"),IF(I608= "Tally","Missing in GST","Missing in Tally"))</f>
        <v>Missing in Tally</v>
      </c>
      <c r="M608" s="6" t="str">
        <f t="shared" si="29"/>
        <v/>
      </c>
    </row>
    <row r="609" spans="1:13" x14ac:dyDescent="0.2">
      <c r="A609" s="1" t="str">
        <v>INV2107</v>
      </c>
      <c r="B609" s="2" t="str">
        <v>22-06-2024</v>
      </c>
      <c r="C609" s="1" t="str">
        <v>19ASDFG2468H1Z9</v>
      </c>
      <c r="D609" s="4" t="str">
        <v>Eastern Distributors</v>
      </c>
      <c r="E609" s="6">
        <v>8386.4599999999991</v>
      </c>
      <c r="F609" s="6">
        <v>754.78</v>
      </c>
      <c r="G609" s="6">
        <v>754.78</v>
      </c>
      <c r="H609" s="6">
        <v>9896.02</v>
      </c>
      <c r="I609" s="19" t="str">
        <v>GST</v>
      </c>
      <c r="J609" s="1" t="str">
        <f t="shared" si="27"/>
        <v>Unique</v>
      </c>
      <c r="K609" s="21" t="str">
        <f t="shared" si="28"/>
        <v/>
      </c>
      <c r="L609" s="4" t="str">
        <f>IF(COUNTIFS(A:A,A609,C:C,C609)=2,IF(K609="Mismatch","Value Mismatch","Matched"),IF(I609= "Tally","Missing in GST","Missing in Tally"))</f>
        <v>Missing in Tally</v>
      </c>
      <c r="M609" s="6" t="str">
        <f t="shared" si="29"/>
        <v/>
      </c>
    </row>
    <row r="610" spans="1:13" x14ac:dyDescent="0.2">
      <c r="A610" s="1" t="str">
        <v>INV2108</v>
      </c>
      <c r="B610" s="2" t="str">
        <v>18-06-2024</v>
      </c>
      <c r="C610" s="1" t="str">
        <v>07ZXCVB9876M1Z3</v>
      </c>
      <c r="D610" s="4" t="str">
        <v>Gupta Supplies</v>
      </c>
      <c r="E610" s="6">
        <v>39882.120000000003</v>
      </c>
      <c r="F610" s="6">
        <v>3589.39</v>
      </c>
      <c r="G610" s="6">
        <v>3589.39</v>
      </c>
      <c r="H610" s="6">
        <v>47060.9</v>
      </c>
      <c r="I610" s="19" t="str">
        <v>GST</v>
      </c>
      <c r="J610" s="1" t="str">
        <f t="shared" si="27"/>
        <v>Unique</v>
      </c>
      <c r="K610" s="21" t="str">
        <f t="shared" si="28"/>
        <v/>
      </c>
      <c r="L610" s="4" t="str">
        <f>IF(COUNTIFS(A:A,A610,C:C,C610)=2,IF(K610="Mismatch","Value Mismatch","Matched"),IF(I610= "Tally","Missing in GST","Missing in Tally"))</f>
        <v>Missing in Tally</v>
      </c>
      <c r="M610" s="6" t="str">
        <f t="shared" si="29"/>
        <v/>
      </c>
    </row>
    <row r="611" spans="1:13" x14ac:dyDescent="0.2">
      <c r="A611" s="1" t="str">
        <v>INV2109</v>
      </c>
      <c r="B611" s="2" t="str">
        <v>19-05-2024</v>
      </c>
      <c r="C611" s="1" t="str">
        <v>19ASDFG2468H1Z9</v>
      </c>
      <c r="D611" s="4" t="str">
        <v>Eastern Distributors</v>
      </c>
      <c r="E611" s="6">
        <v>25419.16</v>
      </c>
      <c r="F611" s="6">
        <v>2287.7199999999998</v>
      </c>
      <c r="G611" s="6">
        <v>2287.7199999999998</v>
      </c>
      <c r="H611" s="6">
        <v>29994.6</v>
      </c>
      <c r="I611" s="19" t="str">
        <v>GST</v>
      </c>
      <c r="J611" s="1" t="str">
        <f t="shared" si="27"/>
        <v>Unique</v>
      </c>
      <c r="K611" s="21" t="str">
        <f t="shared" si="28"/>
        <v/>
      </c>
      <c r="L611" s="4" t="str">
        <f>IF(COUNTIFS(A:A,A611,C:C,C611)=2,IF(K611="Mismatch","Value Mismatch","Matched"),IF(I611= "Tally","Missing in GST","Missing in Tally"))</f>
        <v>Missing in Tally</v>
      </c>
      <c r="M611" s="6" t="str">
        <f t="shared" si="29"/>
        <v/>
      </c>
    </row>
    <row r="612" spans="1:13" x14ac:dyDescent="0.2">
      <c r="A612" s="1" t="str">
        <v>INV2110</v>
      </c>
      <c r="B612" s="2" t="str">
        <v>12-04-2024</v>
      </c>
      <c r="C612" s="1" t="str">
        <v>19ASDFG2468H1Z9</v>
      </c>
      <c r="D612" s="4" t="str">
        <v>Eastern Distributors</v>
      </c>
      <c r="E612" s="6">
        <v>29712.32</v>
      </c>
      <c r="F612" s="6">
        <v>2674.11</v>
      </c>
      <c r="G612" s="6">
        <v>2674.11</v>
      </c>
      <c r="H612" s="6">
        <v>35060.54</v>
      </c>
      <c r="I612" s="19" t="str">
        <v>GST</v>
      </c>
      <c r="J612" s="1" t="str">
        <f t="shared" si="27"/>
        <v>Unique</v>
      </c>
      <c r="K612" s="21" t="str">
        <f t="shared" si="28"/>
        <v/>
      </c>
      <c r="L612" s="4" t="str">
        <f>IF(COUNTIFS(A:A,A612,C:C,C612)=2,IF(K612="Mismatch","Value Mismatch","Matched"),IF(I612= "Tally","Missing in GST","Missing in Tally"))</f>
        <v>Missing in Tally</v>
      </c>
      <c r="M612" s="6" t="str">
        <f t="shared" si="29"/>
        <v/>
      </c>
    </row>
    <row r="613" spans="1:13" x14ac:dyDescent="0.2">
      <c r="A613" s="1" t="str">
        <v>INV2111</v>
      </c>
      <c r="B613" s="2" t="str">
        <v>19-06-2024</v>
      </c>
      <c r="C613" s="1" t="str">
        <v>19ASDFG2468H1Z9</v>
      </c>
      <c r="D613" s="4" t="str">
        <v>Eastern Distributors</v>
      </c>
      <c r="E613" s="6">
        <v>49054.47</v>
      </c>
      <c r="F613" s="6">
        <v>4414.8999999999996</v>
      </c>
      <c r="G613" s="6">
        <v>4414.8999999999996</v>
      </c>
      <c r="H613" s="6">
        <v>57884.27</v>
      </c>
      <c r="I613" s="19" t="str">
        <v>GST</v>
      </c>
      <c r="J613" s="1" t="str">
        <f t="shared" si="27"/>
        <v>Unique</v>
      </c>
      <c r="K613" s="21" t="str">
        <f t="shared" si="28"/>
        <v/>
      </c>
      <c r="L613" s="4" t="str">
        <f>IF(COUNTIFS(A:A,A613,C:C,C613)=2,IF(K613="Mismatch","Value Mismatch","Matched"),IF(I613= "Tally","Missing in GST","Missing in Tally"))</f>
        <v>Missing in Tally</v>
      </c>
      <c r="M613" s="6" t="str">
        <f t="shared" si="29"/>
        <v/>
      </c>
    </row>
    <row r="614" spans="1:13" x14ac:dyDescent="0.2">
      <c r="A614" s="1" t="str">
        <v>INV2112</v>
      </c>
      <c r="B614" s="2" t="str">
        <v>28-04-2024</v>
      </c>
      <c r="C614" s="1" t="str">
        <v>07ZXCVB9876M1Z3</v>
      </c>
      <c r="D614" s="4" t="str">
        <v>Gupta Supplies</v>
      </c>
      <c r="E614" s="6">
        <v>18313.53</v>
      </c>
      <c r="F614" s="6">
        <v>1648.22</v>
      </c>
      <c r="G614" s="6">
        <v>1648.22</v>
      </c>
      <c r="H614" s="6">
        <v>21609.97</v>
      </c>
      <c r="I614" s="19" t="str">
        <v>GST</v>
      </c>
      <c r="J614" s="1" t="str">
        <f t="shared" si="27"/>
        <v>Unique</v>
      </c>
      <c r="K614" s="21" t="str">
        <f t="shared" si="28"/>
        <v/>
      </c>
      <c r="L614" s="4" t="str">
        <f>IF(COUNTIFS(A:A,A614,C:C,C614)=2,IF(K614="Mismatch","Value Mismatch","Matched"),IF(I614= "Tally","Missing in GST","Missing in Tally"))</f>
        <v>Missing in Tally</v>
      </c>
      <c r="M614" s="6" t="str">
        <f t="shared" si="29"/>
        <v/>
      </c>
    </row>
    <row r="615" spans="1:13" x14ac:dyDescent="0.2">
      <c r="A615" s="1" t="str">
        <v>INV2113</v>
      </c>
      <c r="B615" s="2" t="str">
        <v>31-05-2024</v>
      </c>
      <c r="C615" s="1" t="str">
        <v>07ZXCVB9876M1Z3</v>
      </c>
      <c r="D615" s="4" t="str">
        <v>Gupta Supplies</v>
      </c>
      <c r="E615" s="6">
        <v>48566.15</v>
      </c>
      <c r="F615" s="6">
        <v>4370.95</v>
      </c>
      <c r="G615" s="6">
        <v>4370.95</v>
      </c>
      <c r="H615" s="6">
        <v>57308.05</v>
      </c>
      <c r="I615" s="19" t="str">
        <v>GST</v>
      </c>
      <c r="J615" s="1" t="str">
        <f t="shared" si="27"/>
        <v>Unique</v>
      </c>
      <c r="K615" s="21" t="str">
        <f t="shared" si="28"/>
        <v/>
      </c>
      <c r="L615" s="4" t="str">
        <f>IF(COUNTIFS(A:A,A615,C:C,C615)=2,IF(K615="Mismatch","Value Mismatch","Matched"),IF(I615= "Tally","Missing in GST","Missing in Tally"))</f>
        <v>Missing in Tally</v>
      </c>
      <c r="M615" s="6" t="str">
        <f t="shared" si="29"/>
        <v/>
      </c>
    </row>
    <row r="616" spans="1:13" x14ac:dyDescent="0.2">
      <c r="A616" s="1" t="str">
        <v>INV2114</v>
      </c>
      <c r="B616" s="2" t="str">
        <v>26-06-2024</v>
      </c>
      <c r="C616" s="1" t="str">
        <v>24LMNOP4321K1Z7</v>
      </c>
      <c r="D616" s="4" t="str">
        <v>Patel Industries</v>
      </c>
      <c r="E616" s="6">
        <v>29518.77</v>
      </c>
      <c r="F616" s="6">
        <v>2656.69</v>
      </c>
      <c r="G616" s="6">
        <v>2656.69</v>
      </c>
      <c r="H616" s="6">
        <v>34832.15</v>
      </c>
      <c r="I616" s="19" t="str">
        <v>GST</v>
      </c>
      <c r="J616" s="1" t="str">
        <f t="shared" si="27"/>
        <v>Unique</v>
      </c>
      <c r="K616" s="21" t="str">
        <f t="shared" si="28"/>
        <v/>
      </c>
      <c r="L616" s="4" t="str">
        <f>IF(COUNTIFS(A:A,A616,C:C,C616)=2,IF(K616="Mismatch","Value Mismatch","Matched"),IF(I616= "Tally","Missing in GST","Missing in Tally"))</f>
        <v>Missing in Tally</v>
      </c>
      <c r="M616" s="6" t="str">
        <f t="shared" si="29"/>
        <v/>
      </c>
    </row>
    <row r="617" spans="1:13" x14ac:dyDescent="0.2">
      <c r="A617" s="1" t="str">
        <v>INV2115</v>
      </c>
      <c r="B617" s="2" t="str">
        <v>11-06-2024</v>
      </c>
      <c r="C617" s="1" t="str">
        <v>29PQRSX5678L1Z2</v>
      </c>
      <c r="D617" s="4" t="str">
        <v>Kiran Enterprises</v>
      </c>
      <c r="E617" s="6">
        <v>22580.25</v>
      </c>
      <c r="F617" s="6">
        <v>2032.22</v>
      </c>
      <c r="G617" s="6">
        <v>2032.22</v>
      </c>
      <c r="H617" s="6">
        <v>26644.69</v>
      </c>
      <c r="I617" s="19" t="str">
        <v>GST</v>
      </c>
      <c r="J617" s="1" t="str">
        <f t="shared" si="27"/>
        <v>Unique</v>
      </c>
      <c r="K617" s="21" t="str">
        <f t="shared" si="28"/>
        <v/>
      </c>
      <c r="L617" s="4" t="str">
        <f>IF(COUNTIFS(A:A,A617,C:C,C617)=2,IF(K617="Mismatch","Value Mismatch","Matched"),IF(I617= "Tally","Missing in GST","Missing in Tally"))</f>
        <v>Missing in Tally</v>
      </c>
      <c r="M617" s="6" t="str">
        <f t="shared" si="29"/>
        <v/>
      </c>
    </row>
    <row r="618" spans="1:13" x14ac:dyDescent="0.2">
      <c r="A618" s="1" t="str">
        <v>INV2116</v>
      </c>
      <c r="B618" s="2" t="str">
        <v>13-04-2024</v>
      </c>
      <c r="C618" s="1" t="str">
        <v>29PQRSX5678L1Z2</v>
      </c>
      <c r="D618" s="4" t="str">
        <v>Kiran Enterprises</v>
      </c>
      <c r="E618" s="6">
        <v>9984.3700000000008</v>
      </c>
      <c r="F618" s="6">
        <v>898.59</v>
      </c>
      <c r="G618" s="6">
        <v>898.59</v>
      </c>
      <c r="H618" s="6">
        <v>11781.55</v>
      </c>
      <c r="I618" s="19" t="str">
        <v>GST</v>
      </c>
      <c r="J618" s="1" t="str">
        <f t="shared" si="27"/>
        <v>Unique</v>
      </c>
      <c r="K618" s="21" t="str">
        <f t="shared" si="28"/>
        <v/>
      </c>
      <c r="L618" s="4" t="str">
        <f>IF(COUNTIFS(A:A,A618,C:C,C618)=2,IF(K618="Mismatch","Value Mismatch","Matched"),IF(I618= "Tally","Missing in GST","Missing in Tally"))</f>
        <v>Missing in Tally</v>
      </c>
      <c r="M618" s="6" t="str">
        <f t="shared" si="29"/>
        <v/>
      </c>
    </row>
    <row r="619" spans="1:13" x14ac:dyDescent="0.2">
      <c r="A619" s="1" t="str">
        <v>INV2117</v>
      </c>
      <c r="B619" s="2" t="str">
        <v>17-06-2024</v>
      </c>
      <c r="C619" s="1" t="str">
        <v>29PQRSX5678L1Z2</v>
      </c>
      <c r="D619" s="4" t="str">
        <v>Kiran Enterprises</v>
      </c>
      <c r="E619" s="6">
        <v>17475.330000000002</v>
      </c>
      <c r="F619" s="6">
        <v>1572.78</v>
      </c>
      <c r="G619" s="6">
        <v>1572.78</v>
      </c>
      <c r="H619" s="6">
        <v>20620.89</v>
      </c>
      <c r="I619" s="19" t="str">
        <v>GST</v>
      </c>
      <c r="J619" s="1" t="str">
        <f t="shared" si="27"/>
        <v>Unique</v>
      </c>
      <c r="K619" s="21" t="str">
        <f t="shared" si="28"/>
        <v/>
      </c>
      <c r="L619" s="4" t="str">
        <f>IF(COUNTIFS(A:A,A619,C:C,C619)=2,IF(K619="Mismatch","Value Mismatch","Matched"),IF(I619= "Tally","Missing in GST","Missing in Tally"))</f>
        <v>Missing in Tally</v>
      </c>
      <c r="M619" s="6" t="str">
        <f t="shared" si="29"/>
        <v/>
      </c>
    </row>
    <row r="620" spans="1:13" x14ac:dyDescent="0.2">
      <c r="A620" s="1" t="str">
        <v>INV2118</v>
      </c>
      <c r="B620" s="2" t="str">
        <v>11-05-2024</v>
      </c>
      <c r="C620" s="1" t="str">
        <v>24LMNOP4321K1Z7</v>
      </c>
      <c r="D620" s="4" t="str">
        <v>Patel Industries</v>
      </c>
      <c r="E620" s="6">
        <v>16190</v>
      </c>
      <c r="F620" s="6">
        <v>1457.1</v>
      </c>
      <c r="G620" s="6">
        <v>1457.1</v>
      </c>
      <c r="H620" s="6">
        <v>19104.2</v>
      </c>
      <c r="I620" s="19" t="str">
        <v>GST</v>
      </c>
      <c r="J620" s="1" t="str">
        <f t="shared" si="27"/>
        <v>Unique</v>
      </c>
      <c r="K620" s="21" t="str">
        <f t="shared" si="28"/>
        <v/>
      </c>
      <c r="L620" s="4" t="str">
        <f>IF(COUNTIFS(A:A,A620,C:C,C620)=2,IF(K620="Mismatch","Value Mismatch","Matched"),IF(I620= "Tally","Missing in GST","Missing in Tally"))</f>
        <v>Missing in Tally</v>
      </c>
      <c r="M620" s="6" t="str">
        <f t="shared" si="29"/>
        <v/>
      </c>
    </row>
    <row r="621" spans="1:13" x14ac:dyDescent="0.2">
      <c r="A621" s="1" t="str">
        <v>INV2119</v>
      </c>
      <c r="B621" s="2" t="str">
        <v>05-04-2024</v>
      </c>
      <c r="C621" s="1" t="str">
        <v>24LMNOP4321K1Z7</v>
      </c>
      <c r="D621" s="4" t="str">
        <v>Patel Industries</v>
      </c>
      <c r="E621" s="6">
        <v>26827.5</v>
      </c>
      <c r="F621" s="6">
        <v>2414.4699999999998</v>
      </c>
      <c r="G621" s="6">
        <v>2414.4699999999998</v>
      </c>
      <c r="H621" s="6">
        <v>31656.44</v>
      </c>
      <c r="I621" s="19" t="str">
        <v>GST</v>
      </c>
      <c r="J621" s="1" t="str">
        <f t="shared" si="27"/>
        <v>Unique</v>
      </c>
      <c r="K621" s="21" t="str">
        <f t="shared" si="28"/>
        <v/>
      </c>
      <c r="L621" s="4" t="str">
        <f>IF(COUNTIFS(A:A,A621,C:C,C621)=2,IF(K621="Mismatch","Value Mismatch","Matched"),IF(I621= "Tally","Missing in GST","Missing in Tally"))</f>
        <v>Missing in Tally</v>
      </c>
      <c r="M621" s="6" t="str">
        <f t="shared" si="29"/>
        <v/>
      </c>
    </row>
    <row r="622" spans="1:13" x14ac:dyDescent="0.2">
      <c r="A622" s="1" t="str">
        <v>INV2120</v>
      </c>
      <c r="B622" s="2" t="str">
        <v>10-05-2024</v>
      </c>
      <c r="C622" s="1" t="str">
        <v>19ASDFG2468H1Z9</v>
      </c>
      <c r="D622" s="4" t="str">
        <v>Eastern Distributors</v>
      </c>
      <c r="E622" s="6">
        <v>4594.42</v>
      </c>
      <c r="F622" s="6">
        <v>413.5</v>
      </c>
      <c r="G622" s="6">
        <v>413.5</v>
      </c>
      <c r="H622" s="6">
        <v>5421.42</v>
      </c>
      <c r="I622" s="19" t="str">
        <v>GST</v>
      </c>
      <c r="J622" s="1" t="str">
        <f t="shared" si="27"/>
        <v>Unique</v>
      </c>
      <c r="K622" s="21" t="str">
        <f t="shared" si="28"/>
        <v/>
      </c>
      <c r="L622" s="4" t="str">
        <f>IF(COUNTIFS(A:A,A622,C:C,C622)=2,IF(K622="Mismatch","Value Mismatch","Matched"),IF(I622= "Tally","Missing in GST","Missing in Tally"))</f>
        <v>Missing in Tally</v>
      </c>
      <c r="M622" s="6" t="str">
        <f t="shared" si="29"/>
        <v/>
      </c>
    </row>
    <row r="623" spans="1:13" x14ac:dyDescent="0.2">
      <c r="A623" s="1" t="str">
        <v>INV2121</v>
      </c>
      <c r="B623" s="2" t="str">
        <v>28-06-2024</v>
      </c>
      <c r="C623" s="1" t="str">
        <v>24LMNOP4321K1Z7</v>
      </c>
      <c r="D623" s="4" t="str">
        <v>Patel Industries</v>
      </c>
      <c r="E623" s="6">
        <v>31465.55</v>
      </c>
      <c r="F623" s="6">
        <v>2831.9</v>
      </c>
      <c r="G623" s="6">
        <v>2831.9</v>
      </c>
      <c r="H623" s="6">
        <v>37129.35</v>
      </c>
      <c r="I623" s="19" t="str">
        <v>GST</v>
      </c>
      <c r="J623" s="1" t="str">
        <f t="shared" si="27"/>
        <v>Unique</v>
      </c>
      <c r="K623" s="21" t="str">
        <f t="shared" si="28"/>
        <v/>
      </c>
      <c r="L623" s="4" t="str">
        <f>IF(COUNTIFS(A:A,A623,C:C,C623)=2,IF(K623="Mismatch","Value Mismatch","Matched"),IF(I623= "Tally","Missing in GST","Missing in Tally"))</f>
        <v>Missing in Tally</v>
      </c>
      <c r="M623" s="6" t="str">
        <f t="shared" si="29"/>
        <v/>
      </c>
    </row>
    <row r="624" spans="1:13" x14ac:dyDescent="0.2">
      <c r="A624" s="1" t="str">
        <v>INV2122</v>
      </c>
      <c r="B624" s="2" t="str">
        <v>18-05-2024</v>
      </c>
      <c r="C624" s="1" t="str">
        <v>27ABCDE1234F1Z5</v>
      </c>
      <c r="D624" s="4" t="str">
        <v>Sharma Traders</v>
      </c>
      <c r="E624" s="6">
        <v>13385.81</v>
      </c>
      <c r="F624" s="6">
        <v>1204.72</v>
      </c>
      <c r="G624" s="6">
        <v>1204.72</v>
      </c>
      <c r="H624" s="6">
        <v>15795.25</v>
      </c>
      <c r="I624" s="19" t="str">
        <v>GST</v>
      </c>
      <c r="J624" s="1" t="str">
        <f t="shared" si="27"/>
        <v>Unique</v>
      </c>
      <c r="K624" s="21" t="str">
        <f t="shared" si="28"/>
        <v/>
      </c>
      <c r="L624" s="4" t="str">
        <f>IF(COUNTIFS(A:A,A624,C:C,C624)=2,IF(K624="Mismatch","Value Mismatch","Matched"),IF(I624= "Tally","Missing in GST","Missing in Tally"))</f>
        <v>Missing in Tally</v>
      </c>
      <c r="M624" s="6" t="str">
        <f t="shared" si="29"/>
        <v/>
      </c>
    </row>
    <row r="625" spans="1:13" x14ac:dyDescent="0.2">
      <c r="A625" s="1" t="str">
        <v>INV2123</v>
      </c>
      <c r="B625" s="2" t="str">
        <v>27-04-2024</v>
      </c>
      <c r="C625" s="1" t="str">
        <v>27ABCDE1234F1Z5</v>
      </c>
      <c r="D625" s="4" t="str">
        <v>Sharma Traders</v>
      </c>
      <c r="E625" s="6">
        <v>19122.62</v>
      </c>
      <c r="F625" s="6">
        <v>1721.04</v>
      </c>
      <c r="G625" s="6">
        <v>1721.04</v>
      </c>
      <c r="H625" s="6">
        <v>22564.7</v>
      </c>
      <c r="I625" s="19" t="str">
        <v>GST</v>
      </c>
      <c r="J625" s="1" t="str">
        <f t="shared" si="27"/>
        <v>Unique</v>
      </c>
      <c r="K625" s="21" t="str">
        <f t="shared" si="28"/>
        <v/>
      </c>
      <c r="L625" s="4" t="str">
        <f>IF(COUNTIFS(A:A,A625,C:C,C625)=2,IF(K625="Mismatch","Value Mismatch","Matched"),IF(I625= "Tally","Missing in GST","Missing in Tally"))</f>
        <v>Missing in Tally</v>
      </c>
      <c r="M625" s="6" t="str">
        <f t="shared" si="29"/>
        <v/>
      </c>
    </row>
    <row r="626" spans="1:13" x14ac:dyDescent="0.2">
      <c r="A626" s="1" t="str">
        <v>INV2124</v>
      </c>
      <c r="B626" s="2" t="str">
        <v>28-05-2024</v>
      </c>
      <c r="C626" s="1" t="str">
        <v>19ASDFG2468H1Z9</v>
      </c>
      <c r="D626" s="4" t="str">
        <v>Eastern Distributors</v>
      </c>
      <c r="E626" s="6">
        <v>19472.46</v>
      </c>
      <c r="F626" s="6">
        <v>1752.52</v>
      </c>
      <c r="G626" s="6">
        <v>1752.52</v>
      </c>
      <c r="H626" s="6">
        <v>22977.5</v>
      </c>
      <c r="I626" s="19" t="str">
        <v>GST</v>
      </c>
      <c r="J626" s="1" t="str">
        <f t="shared" si="27"/>
        <v>Unique</v>
      </c>
      <c r="K626" s="21" t="str">
        <f t="shared" si="28"/>
        <v/>
      </c>
      <c r="L626" s="4" t="str">
        <f>IF(COUNTIFS(A:A,A626,C:C,C626)=2,IF(K626="Mismatch","Value Mismatch","Matched"),IF(I626= "Tally","Missing in GST","Missing in Tally"))</f>
        <v>Missing in Tally</v>
      </c>
      <c r="M626" s="6" t="str">
        <f t="shared" si="29"/>
        <v/>
      </c>
    </row>
    <row r="627" spans="1:13" x14ac:dyDescent="0.2">
      <c r="A627" s="1" t="str">
        <v>INV2125</v>
      </c>
      <c r="B627" s="2" t="str">
        <v>01-04-2024</v>
      </c>
      <c r="C627" s="1" t="str">
        <v>19ASDFG2468H1Z9</v>
      </c>
      <c r="D627" s="4" t="str">
        <v>Eastern Distributors</v>
      </c>
      <c r="E627" s="6">
        <v>1214.02</v>
      </c>
      <c r="F627" s="6">
        <v>109.26</v>
      </c>
      <c r="G627" s="6">
        <v>109.26</v>
      </c>
      <c r="H627" s="6">
        <v>1432.54</v>
      </c>
      <c r="I627" s="19" t="str">
        <v>GST</v>
      </c>
      <c r="J627" s="1" t="str">
        <f t="shared" si="27"/>
        <v>Unique</v>
      </c>
      <c r="K627" s="21" t="str">
        <f t="shared" si="28"/>
        <v/>
      </c>
      <c r="L627" s="4" t="str">
        <f>IF(COUNTIFS(A:A,A627,C:C,C627)=2,IF(K627="Mismatch","Value Mismatch","Matched"),IF(I627= "Tally","Missing in GST","Missing in Tally"))</f>
        <v>Missing in Tally</v>
      </c>
      <c r="M627" s="6" t="str">
        <f t="shared" si="29"/>
        <v/>
      </c>
    </row>
    <row r="628" spans="1:13" x14ac:dyDescent="0.2">
      <c r="A628" s="1" t="str">
        <v>INV2126</v>
      </c>
      <c r="B628" s="2" t="str">
        <v>07-06-2024</v>
      </c>
      <c r="C628" s="1" t="str">
        <v>07ZXCVB9876M1Z3</v>
      </c>
      <c r="D628" s="4" t="str">
        <v>Gupta Supplies</v>
      </c>
      <c r="E628" s="6">
        <v>33733.1</v>
      </c>
      <c r="F628" s="6">
        <v>3035.98</v>
      </c>
      <c r="G628" s="6">
        <v>3035.98</v>
      </c>
      <c r="H628" s="6">
        <v>39805.06</v>
      </c>
      <c r="I628" s="19" t="str">
        <v>GST</v>
      </c>
      <c r="J628" s="1" t="str">
        <f t="shared" si="27"/>
        <v>Unique</v>
      </c>
      <c r="K628" s="21" t="str">
        <f t="shared" si="28"/>
        <v/>
      </c>
      <c r="L628" s="4" t="str">
        <f>IF(COUNTIFS(A:A,A628,C:C,C628)=2,IF(K628="Mismatch","Value Mismatch","Matched"),IF(I628= "Tally","Missing in GST","Missing in Tally"))</f>
        <v>Missing in Tally</v>
      </c>
      <c r="M628" s="6" t="str">
        <f t="shared" si="29"/>
        <v/>
      </c>
    </row>
    <row r="629" spans="1:13" x14ac:dyDescent="0.2">
      <c r="A629" s="1" t="str">
        <v>INV2127</v>
      </c>
      <c r="B629" s="2" t="str">
        <v>07-05-2024</v>
      </c>
      <c r="C629" s="1" t="str">
        <v>07ZXCVB9876M1Z3</v>
      </c>
      <c r="D629" s="4" t="str">
        <v>Gupta Supplies</v>
      </c>
      <c r="E629" s="6">
        <v>6139.51</v>
      </c>
      <c r="F629" s="6">
        <v>552.55999999999995</v>
      </c>
      <c r="G629" s="6">
        <v>552.55999999999995</v>
      </c>
      <c r="H629" s="6">
        <v>7244.63</v>
      </c>
      <c r="I629" s="19" t="str">
        <v>GST</v>
      </c>
      <c r="J629" s="1" t="str">
        <f t="shared" si="27"/>
        <v>Unique</v>
      </c>
      <c r="K629" s="21" t="str">
        <f t="shared" si="28"/>
        <v/>
      </c>
      <c r="L629" s="4" t="str">
        <f>IF(COUNTIFS(A:A,A629,C:C,C629)=2,IF(K629="Mismatch","Value Mismatch","Matched"),IF(I629= "Tally","Missing in GST","Missing in Tally"))</f>
        <v>Missing in Tally</v>
      </c>
      <c r="M629" s="6" t="str">
        <f t="shared" si="29"/>
        <v/>
      </c>
    </row>
    <row r="630" spans="1:13" x14ac:dyDescent="0.2">
      <c r="A630" s="1" t="str">
        <v>INV2128</v>
      </c>
      <c r="B630" s="2" t="str">
        <v>12-05-2024</v>
      </c>
      <c r="C630" s="1" t="str">
        <v>07ZXCVB9876M1Z3</v>
      </c>
      <c r="D630" s="4" t="str">
        <v>Gupta Supplies</v>
      </c>
      <c r="E630" s="6">
        <v>15810.46</v>
      </c>
      <c r="F630" s="6">
        <v>1422.94</v>
      </c>
      <c r="G630" s="6">
        <v>1422.94</v>
      </c>
      <c r="H630" s="6">
        <v>18656.34</v>
      </c>
      <c r="I630" s="19" t="str">
        <v>GST</v>
      </c>
      <c r="J630" s="1" t="str">
        <f t="shared" si="27"/>
        <v>Unique</v>
      </c>
      <c r="K630" s="21" t="str">
        <f t="shared" si="28"/>
        <v/>
      </c>
      <c r="L630" s="4" t="str">
        <f>IF(COUNTIFS(A:A,A630,C:C,C630)=2,IF(K630="Mismatch","Value Mismatch","Matched"),IF(I630= "Tally","Missing in GST","Missing in Tally"))</f>
        <v>Missing in Tally</v>
      </c>
      <c r="M630" s="6" t="str">
        <f t="shared" si="29"/>
        <v/>
      </c>
    </row>
    <row r="631" spans="1:13" x14ac:dyDescent="0.2">
      <c r="A631" s="1" t="str">
        <v>INV2129</v>
      </c>
      <c r="B631" s="2" t="str">
        <v>01-06-2024</v>
      </c>
      <c r="C631" s="1" t="str">
        <v>19ASDFG2468H1Z9</v>
      </c>
      <c r="D631" s="4" t="str">
        <v>Eastern Distributors</v>
      </c>
      <c r="E631" s="6">
        <v>36168.879999999997</v>
      </c>
      <c r="F631" s="6">
        <v>3255.2</v>
      </c>
      <c r="G631" s="6">
        <v>3255.2</v>
      </c>
      <c r="H631" s="6">
        <v>42679.28</v>
      </c>
      <c r="I631" s="19" t="str">
        <v>GST</v>
      </c>
      <c r="J631" s="1" t="str">
        <f t="shared" si="27"/>
        <v>Unique</v>
      </c>
      <c r="K631" s="21" t="str">
        <f t="shared" si="28"/>
        <v/>
      </c>
      <c r="L631" s="4" t="str">
        <f>IF(COUNTIFS(A:A,A631,C:C,C631)=2,IF(K631="Mismatch","Value Mismatch","Matched"),IF(I631= "Tally","Missing in GST","Missing in Tally"))</f>
        <v>Missing in Tally</v>
      </c>
      <c r="M631" s="6" t="str">
        <f t="shared" si="29"/>
        <v/>
      </c>
    </row>
    <row r="632" spans="1:13" x14ac:dyDescent="0.2">
      <c r="A632" s="1" t="str">
        <v>INV2130</v>
      </c>
      <c r="B632" s="2" t="str">
        <v>22-04-2024</v>
      </c>
      <c r="C632" s="1" t="str">
        <v>19ASDFG2468H1Z9</v>
      </c>
      <c r="D632" s="4" t="str">
        <v>Eastern Distributors</v>
      </c>
      <c r="E632" s="6">
        <v>48360.52</v>
      </c>
      <c r="F632" s="6">
        <v>4352.45</v>
      </c>
      <c r="G632" s="6">
        <v>4352.45</v>
      </c>
      <c r="H632" s="6">
        <v>57065.42</v>
      </c>
      <c r="I632" s="19" t="str">
        <v>GST</v>
      </c>
      <c r="J632" s="1" t="str">
        <f t="shared" si="27"/>
        <v>Unique</v>
      </c>
      <c r="K632" s="21" t="str">
        <f t="shared" si="28"/>
        <v/>
      </c>
      <c r="L632" s="4" t="str">
        <f>IF(COUNTIFS(A:A,A632,C:C,C632)=2,IF(K632="Mismatch","Value Mismatch","Matched"),IF(I632= "Tally","Missing in GST","Missing in Tally"))</f>
        <v>Missing in Tally</v>
      </c>
      <c r="M632" s="6" t="str">
        <f t="shared" si="29"/>
        <v/>
      </c>
    </row>
    <row r="633" spans="1:13" x14ac:dyDescent="0.2">
      <c r="A633" s="1" t="str">
        <v>INV2131</v>
      </c>
      <c r="B633" s="2" t="str">
        <v>29-04-2024</v>
      </c>
      <c r="C633" s="1" t="str">
        <v>19ASDFG2468H1Z9</v>
      </c>
      <c r="D633" s="4" t="str">
        <v>Eastern Distributors</v>
      </c>
      <c r="E633" s="6">
        <v>47563.16</v>
      </c>
      <c r="F633" s="6">
        <v>4280.68</v>
      </c>
      <c r="G633" s="6">
        <v>4280.68</v>
      </c>
      <c r="H633" s="6">
        <v>56124.52</v>
      </c>
      <c r="I633" s="19" t="str">
        <v>GST</v>
      </c>
      <c r="J633" s="1" t="str">
        <f t="shared" si="27"/>
        <v>Unique</v>
      </c>
      <c r="K633" s="21" t="str">
        <f t="shared" si="28"/>
        <v/>
      </c>
      <c r="L633" s="4" t="str">
        <f>IF(COUNTIFS(A:A,A633,C:C,C633)=2,IF(K633="Mismatch","Value Mismatch","Matched"),IF(I633= "Tally","Missing in GST","Missing in Tally"))</f>
        <v>Missing in Tally</v>
      </c>
      <c r="M633" s="6" t="str">
        <f t="shared" si="29"/>
        <v/>
      </c>
    </row>
    <row r="634" spans="1:13" x14ac:dyDescent="0.2">
      <c r="A634" s="1" t="str">
        <v>INV2132</v>
      </c>
      <c r="B634" s="2" t="str">
        <v>07-04-2024</v>
      </c>
      <c r="C634" s="1" t="str">
        <v>19ASDFG2468H1Z9</v>
      </c>
      <c r="D634" s="4" t="str">
        <v>Eastern Distributors</v>
      </c>
      <c r="E634" s="6">
        <v>42801.27</v>
      </c>
      <c r="F634" s="6">
        <v>3852.11</v>
      </c>
      <c r="G634" s="6">
        <v>3852.11</v>
      </c>
      <c r="H634" s="6">
        <v>50505.49</v>
      </c>
      <c r="I634" s="19" t="str">
        <v>GST</v>
      </c>
      <c r="J634" s="1" t="str">
        <f t="shared" si="27"/>
        <v>Unique</v>
      </c>
      <c r="K634" s="21" t="str">
        <f t="shared" si="28"/>
        <v/>
      </c>
      <c r="L634" s="4" t="str">
        <f>IF(COUNTIFS(A:A,A634,C:C,C634)=2,IF(K634="Mismatch","Value Mismatch","Matched"),IF(I634= "Tally","Missing in GST","Missing in Tally"))</f>
        <v>Missing in Tally</v>
      </c>
      <c r="M634" s="6" t="str">
        <f t="shared" si="29"/>
        <v/>
      </c>
    </row>
    <row r="635" spans="1:13" x14ac:dyDescent="0.2">
      <c r="A635" s="1" t="str">
        <v>INV2133</v>
      </c>
      <c r="B635" s="2" t="str">
        <v>09-06-2024</v>
      </c>
      <c r="C635" s="1" t="str">
        <v>24LMNOP4321K1Z7</v>
      </c>
      <c r="D635" s="4" t="str">
        <v>Patel Industries</v>
      </c>
      <c r="E635" s="6">
        <v>22189.26</v>
      </c>
      <c r="F635" s="6">
        <v>1997.03</v>
      </c>
      <c r="G635" s="6">
        <v>1997.03</v>
      </c>
      <c r="H635" s="6">
        <v>26183.32</v>
      </c>
      <c r="I635" s="19" t="str">
        <v>GST</v>
      </c>
      <c r="J635" s="1" t="str">
        <f t="shared" si="27"/>
        <v>Unique</v>
      </c>
      <c r="K635" s="21" t="str">
        <f t="shared" si="28"/>
        <v/>
      </c>
      <c r="L635" s="4" t="str">
        <f>IF(COUNTIFS(A:A,A635,C:C,C635)=2,IF(K635="Mismatch","Value Mismatch","Matched"),IF(I635= "Tally","Missing in GST","Missing in Tally"))</f>
        <v>Missing in Tally</v>
      </c>
      <c r="M635" s="6" t="str">
        <f t="shared" si="29"/>
        <v/>
      </c>
    </row>
    <row r="636" spans="1:13" x14ac:dyDescent="0.2">
      <c r="A636" s="1" t="str">
        <v>INV2134</v>
      </c>
      <c r="B636" s="2" t="str">
        <v>27-06-2024</v>
      </c>
      <c r="C636" s="1" t="str">
        <v>07ZXCVB9876M1Z3</v>
      </c>
      <c r="D636" s="4" t="str">
        <v>Gupta Supplies</v>
      </c>
      <c r="E636" s="6">
        <v>8224.9699999999993</v>
      </c>
      <c r="F636" s="6">
        <v>740.25</v>
      </c>
      <c r="G636" s="6">
        <v>740.25</v>
      </c>
      <c r="H636" s="6">
        <v>9705.4699999999993</v>
      </c>
      <c r="I636" s="19" t="str">
        <v>GST</v>
      </c>
      <c r="J636" s="1" t="str">
        <f t="shared" si="27"/>
        <v>Unique</v>
      </c>
      <c r="K636" s="21" t="str">
        <f t="shared" si="28"/>
        <v/>
      </c>
      <c r="L636" s="4" t="str">
        <f>IF(COUNTIFS(A:A,A636,C:C,C636)=2,IF(K636="Mismatch","Value Mismatch","Matched"),IF(I636= "Tally","Missing in GST","Missing in Tally"))</f>
        <v>Missing in Tally</v>
      </c>
      <c r="M636" s="6" t="str">
        <f t="shared" si="29"/>
        <v/>
      </c>
    </row>
    <row r="637" spans="1:13" x14ac:dyDescent="0.2">
      <c r="A637" s="1" t="str">
        <v>INV2135</v>
      </c>
      <c r="B637" s="2" t="str">
        <v>21-04-2024</v>
      </c>
      <c r="C637" s="1" t="str">
        <v>27ABCDE1234F1Z5</v>
      </c>
      <c r="D637" s="4" t="str">
        <v>Sharma Traders</v>
      </c>
      <c r="E637" s="6">
        <v>43804.27</v>
      </c>
      <c r="F637" s="6">
        <v>3942.38</v>
      </c>
      <c r="G637" s="6">
        <v>3942.38</v>
      </c>
      <c r="H637" s="6">
        <v>51689.03</v>
      </c>
      <c r="I637" s="19" t="str">
        <v>GST</v>
      </c>
      <c r="J637" s="1" t="str">
        <f t="shared" si="27"/>
        <v>Unique</v>
      </c>
      <c r="K637" s="21" t="str">
        <f t="shared" si="28"/>
        <v/>
      </c>
      <c r="L637" s="4" t="str">
        <f>IF(COUNTIFS(A:A,A637,C:C,C637)=2,IF(K637="Mismatch","Value Mismatch","Matched"),IF(I637= "Tally","Missing in GST","Missing in Tally"))</f>
        <v>Missing in Tally</v>
      </c>
      <c r="M637" s="6" t="str">
        <f t="shared" si="29"/>
        <v/>
      </c>
    </row>
    <row r="638" spans="1:13" x14ac:dyDescent="0.2">
      <c r="A638" s="1" t="str">
        <v>INV2136</v>
      </c>
      <c r="B638" s="2" t="str">
        <v>22-06-2024</v>
      </c>
      <c r="C638" s="1" t="str">
        <v>29PQRSX5678L1Z2</v>
      </c>
      <c r="D638" s="4" t="str">
        <v>Kiran Enterprises</v>
      </c>
      <c r="E638" s="6">
        <v>18667.849999999999</v>
      </c>
      <c r="F638" s="6">
        <v>1680.11</v>
      </c>
      <c r="G638" s="6">
        <v>1680.11</v>
      </c>
      <c r="H638" s="6">
        <v>22028.07</v>
      </c>
      <c r="I638" s="19" t="str">
        <v>GST</v>
      </c>
      <c r="J638" s="1" t="str">
        <f t="shared" si="27"/>
        <v>Unique</v>
      </c>
      <c r="K638" s="21" t="str">
        <f t="shared" si="28"/>
        <v/>
      </c>
      <c r="L638" s="4" t="str">
        <f>IF(COUNTIFS(A:A,A638,C:C,C638)=2,IF(K638="Mismatch","Value Mismatch","Matched"),IF(I638= "Tally","Missing in GST","Missing in Tally"))</f>
        <v>Missing in Tally</v>
      </c>
      <c r="M638" s="6" t="str">
        <f t="shared" si="29"/>
        <v/>
      </c>
    </row>
    <row r="639" spans="1:13" x14ac:dyDescent="0.2">
      <c r="A639" s="1" t="str">
        <v>INV2137</v>
      </c>
      <c r="B639" s="2" t="str">
        <v>02-04-2024</v>
      </c>
      <c r="C639" s="1" t="str">
        <v>19ASDFG2468H1Z9</v>
      </c>
      <c r="D639" s="4" t="str">
        <v>Eastern Distributors</v>
      </c>
      <c r="E639" s="6">
        <v>23572.92</v>
      </c>
      <c r="F639" s="6">
        <v>2121.56</v>
      </c>
      <c r="G639" s="6">
        <v>2121.56</v>
      </c>
      <c r="H639" s="6">
        <v>27816.04</v>
      </c>
      <c r="I639" s="19" t="str">
        <v>GST</v>
      </c>
      <c r="J639" s="1" t="str">
        <f t="shared" si="27"/>
        <v>Unique</v>
      </c>
      <c r="K639" s="21" t="str">
        <f t="shared" si="28"/>
        <v/>
      </c>
      <c r="L639" s="4" t="str">
        <f>IF(COUNTIFS(A:A,A639,C:C,C639)=2,IF(K639="Mismatch","Value Mismatch","Matched"),IF(I639= "Tally","Missing in GST","Missing in Tally"))</f>
        <v>Missing in Tally</v>
      </c>
      <c r="M639" s="6" t="str">
        <f t="shared" si="29"/>
        <v/>
      </c>
    </row>
    <row r="640" spans="1:13" x14ac:dyDescent="0.2">
      <c r="A640" s="1" t="str">
        <v>INV2138</v>
      </c>
      <c r="B640" s="2" t="str">
        <v>06-05-2024</v>
      </c>
      <c r="C640" s="1" t="str">
        <v>19ASDFG2468H1Z9</v>
      </c>
      <c r="D640" s="4" t="str">
        <v>Eastern Distributors</v>
      </c>
      <c r="E640" s="6">
        <v>46820.74</v>
      </c>
      <c r="F640" s="6">
        <v>4213.87</v>
      </c>
      <c r="G640" s="6">
        <v>4213.87</v>
      </c>
      <c r="H640" s="6">
        <v>55248.480000000003</v>
      </c>
      <c r="I640" s="19" t="str">
        <v>GST</v>
      </c>
      <c r="J640" s="1" t="str">
        <f t="shared" si="27"/>
        <v>Unique</v>
      </c>
      <c r="K640" s="21" t="str">
        <f t="shared" si="28"/>
        <v/>
      </c>
      <c r="L640" s="4" t="str">
        <f>IF(COUNTIFS(A:A,A640,C:C,C640)=2,IF(K640="Mismatch","Value Mismatch","Matched"),IF(I640= "Tally","Missing in GST","Missing in Tally"))</f>
        <v>Missing in Tally</v>
      </c>
      <c r="M640" s="6" t="str">
        <f t="shared" si="29"/>
        <v/>
      </c>
    </row>
    <row r="641" spans="1:13" x14ac:dyDescent="0.2">
      <c r="A641" s="1" t="str">
        <v>INV2139</v>
      </c>
      <c r="B641" s="2" t="str">
        <v>09-06-2024</v>
      </c>
      <c r="C641" s="1" t="str">
        <v>19ASDFG2468H1Z9</v>
      </c>
      <c r="D641" s="4" t="str">
        <v>Eastern Distributors</v>
      </c>
      <c r="E641" s="6">
        <v>7124.51</v>
      </c>
      <c r="F641" s="6">
        <v>641.21</v>
      </c>
      <c r="G641" s="6">
        <v>641.21</v>
      </c>
      <c r="H641" s="6">
        <v>8406.93</v>
      </c>
      <c r="I641" s="19" t="str">
        <v>GST</v>
      </c>
      <c r="J641" s="1" t="str">
        <f t="shared" si="27"/>
        <v>Unique</v>
      </c>
      <c r="K641" s="21" t="str">
        <f t="shared" si="28"/>
        <v/>
      </c>
      <c r="L641" s="4" t="str">
        <f>IF(COUNTIFS(A:A,A641,C:C,C641)=2,IF(K641="Mismatch","Value Mismatch","Matched"),IF(I641= "Tally","Missing in GST","Missing in Tally"))</f>
        <v>Missing in Tally</v>
      </c>
      <c r="M641" s="6" t="str">
        <f t="shared" si="29"/>
        <v/>
      </c>
    </row>
    <row r="642" spans="1:13" x14ac:dyDescent="0.2">
      <c r="A642" s="1" t="str">
        <v>INV2140</v>
      </c>
      <c r="B642" s="2" t="str">
        <v>02-06-2024</v>
      </c>
      <c r="C642" s="1" t="str">
        <v>27ABCDE1234F1Z5</v>
      </c>
      <c r="D642" s="4" t="str">
        <v>Sharma Traders</v>
      </c>
      <c r="E642" s="6">
        <v>45741.64</v>
      </c>
      <c r="F642" s="6">
        <v>4116.75</v>
      </c>
      <c r="G642" s="6">
        <v>4116.75</v>
      </c>
      <c r="H642" s="6">
        <v>53975.14</v>
      </c>
      <c r="I642" s="19" t="str">
        <v>GST</v>
      </c>
      <c r="J642" s="1" t="str">
        <f t="shared" si="27"/>
        <v>Unique</v>
      </c>
      <c r="K642" s="21" t="str">
        <f t="shared" si="28"/>
        <v/>
      </c>
      <c r="L642" s="4" t="str">
        <f>IF(COUNTIFS(A:A,A642,C:C,C642)=2,IF(K642="Mismatch","Value Mismatch","Matched"),IF(I642= "Tally","Missing in GST","Missing in Tally"))</f>
        <v>Missing in Tally</v>
      </c>
      <c r="M642" s="6" t="str">
        <f t="shared" si="29"/>
        <v/>
      </c>
    </row>
    <row r="643" spans="1:13" x14ac:dyDescent="0.2">
      <c r="A643" s="1" t="str">
        <v>INV2141</v>
      </c>
      <c r="B643" s="2" t="str">
        <v>03-06-2024</v>
      </c>
      <c r="C643" s="1" t="str">
        <v>27ABCDE1234F1Z5</v>
      </c>
      <c r="D643" s="4" t="str">
        <v>Sharma Traders</v>
      </c>
      <c r="E643" s="6">
        <v>36551.599999999999</v>
      </c>
      <c r="F643" s="6">
        <v>3289.64</v>
      </c>
      <c r="G643" s="6">
        <v>3289.64</v>
      </c>
      <c r="H643" s="6">
        <v>43130.879999999997</v>
      </c>
      <c r="I643" s="19" t="str">
        <v>GST</v>
      </c>
      <c r="J643" s="1" t="str">
        <f t="shared" ref="J643:J706" si="30">IF(COUNTIFS(A:A,A643,D:D,D643,I:I,I643)&gt;1,"Duplicate","Unique")</f>
        <v>Unique</v>
      </c>
      <c r="K643" s="21" t="str">
        <f t="shared" ref="K643:K706" si="31">IF(COUNTIFS(A:A,A643,C:C,C643)=2,IF(SUMIFS(E:E,A:A,A643,C:C,C643)&lt;&gt;E643*2,"Mismatch","Matched"),"")</f>
        <v/>
      </c>
      <c r="L643" s="4" t="str">
        <f>IF(COUNTIFS(A:A,A643,C:C,C643)=2,IF(K643="Mismatch","Value Mismatch","Matched"),IF(I643= "Tally","Missing in GST","Missing in Tally"))</f>
        <v>Missing in Tally</v>
      </c>
      <c r="M643" s="6" t="str">
        <f t="shared" ref="M643:M706" si="32">IF(COUNTIFS(A:A,A643,C:C,C643)=2,SUMIFS(E:E,A:A,A643,C:C,C643)-E643*2,"")</f>
        <v/>
      </c>
    </row>
    <row r="644" spans="1:13" x14ac:dyDescent="0.2">
      <c r="A644" s="1" t="str">
        <v>INV2142</v>
      </c>
      <c r="B644" s="2" t="str">
        <v>12-04-2024</v>
      </c>
      <c r="C644" s="1" t="str">
        <v>07ZXCVB9876M1Z3</v>
      </c>
      <c r="D644" s="4" t="str">
        <v>Gupta Supplies</v>
      </c>
      <c r="E644" s="6">
        <v>41195.730000000003</v>
      </c>
      <c r="F644" s="6">
        <v>3707.62</v>
      </c>
      <c r="G644" s="6">
        <v>3707.62</v>
      </c>
      <c r="H644" s="6">
        <v>48610.97</v>
      </c>
      <c r="I644" s="19" t="str">
        <v>GST</v>
      </c>
      <c r="J644" s="1" t="str">
        <f t="shared" si="30"/>
        <v>Unique</v>
      </c>
      <c r="K644" s="21" t="str">
        <f t="shared" si="31"/>
        <v/>
      </c>
      <c r="L644" s="4" t="str">
        <f>IF(COUNTIFS(A:A,A644,C:C,C644)=2,IF(K644="Mismatch","Value Mismatch","Matched"),IF(I644= "Tally","Missing in GST","Missing in Tally"))</f>
        <v>Missing in Tally</v>
      </c>
      <c r="M644" s="6" t="str">
        <f t="shared" si="32"/>
        <v/>
      </c>
    </row>
    <row r="645" spans="1:13" x14ac:dyDescent="0.2">
      <c r="A645" s="1" t="str">
        <v>INV2143</v>
      </c>
      <c r="B645" s="2" t="str">
        <v>20-05-2024</v>
      </c>
      <c r="C645" s="1" t="str">
        <v>29PQRSX5678L1Z2</v>
      </c>
      <c r="D645" s="4" t="str">
        <v>Kiran Enterprises</v>
      </c>
      <c r="E645" s="6">
        <v>44246.48</v>
      </c>
      <c r="F645" s="6">
        <v>3982.18</v>
      </c>
      <c r="G645" s="6">
        <v>3982.18</v>
      </c>
      <c r="H645" s="6">
        <v>52210.84</v>
      </c>
      <c r="I645" s="19" t="str">
        <v>GST</v>
      </c>
      <c r="J645" s="1" t="str">
        <f t="shared" si="30"/>
        <v>Unique</v>
      </c>
      <c r="K645" s="21" t="str">
        <f t="shared" si="31"/>
        <v/>
      </c>
      <c r="L645" s="4" t="str">
        <f>IF(COUNTIFS(A:A,A645,C:C,C645)=2,IF(K645="Mismatch","Value Mismatch","Matched"),IF(I645= "Tally","Missing in GST","Missing in Tally"))</f>
        <v>Missing in Tally</v>
      </c>
      <c r="M645" s="6" t="str">
        <f t="shared" si="32"/>
        <v/>
      </c>
    </row>
    <row r="646" spans="1:13" x14ac:dyDescent="0.2">
      <c r="A646" s="1" t="str">
        <v>INV2144</v>
      </c>
      <c r="B646" s="2" t="str">
        <v>09-04-2024</v>
      </c>
      <c r="C646" s="1" t="str">
        <v>29PQRSX5678L1Z2</v>
      </c>
      <c r="D646" s="4" t="str">
        <v>Kiran Enterprises</v>
      </c>
      <c r="E646" s="6">
        <v>19097.75</v>
      </c>
      <c r="F646" s="6">
        <v>1718.8</v>
      </c>
      <c r="G646" s="6">
        <v>1718.8</v>
      </c>
      <c r="H646" s="6">
        <v>22535.35</v>
      </c>
      <c r="I646" s="19" t="str">
        <v>GST</v>
      </c>
      <c r="J646" s="1" t="str">
        <f t="shared" si="30"/>
        <v>Unique</v>
      </c>
      <c r="K646" s="21" t="str">
        <f t="shared" si="31"/>
        <v/>
      </c>
      <c r="L646" s="4" t="str">
        <f>IF(COUNTIFS(A:A,A646,C:C,C646)=2,IF(K646="Mismatch","Value Mismatch","Matched"),IF(I646= "Tally","Missing in GST","Missing in Tally"))</f>
        <v>Missing in Tally</v>
      </c>
      <c r="M646" s="6" t="str">
        <f t="shared" si="32"/>
        <v/>
      </c>
    </row>
    <row r="647" spans="1:13" x14ac:dyDescent="0.2">
      <c r="A647" s="1" t="str">
        <v>INV2145</v>
      </c>
      <c r="B647" s="2" t="str">
        <v>23-04-2024</v>
      </c>
      <c r="C647" s="1" t="str">
        <v>07ZXCVB9876M1Z3</v>
      </c>
      <c r="D647" s="4" t="str">
        <v>Gupta Supplies</v>
      </c>
      <c r="E647" s="6">
        <v>46040.37</v>
      </c>
      <c r="F647" s="6">
        <v>4143.63</v>
      </c>
      <c r="G647" s="6">
        <v>4143.63</v>
      </c>
      <c r="H647" s="6">
        <v>54327.63</v>
      </c>
      <c r="I647" s="19" t="str">
        <v>GST</v>
      </c>
      <c r="J647" s="1" t="str">
        <f t="shared" si="30"/>
        <v>Unique</v>
      </c>
      <c r="K647" s="21" t="str">
        <f t="shared" si="31"/>
        <v/>
      </c>
      <c r="L647" s="4" t="str">
        <f>IF(COUNTIFS(A:A,A647,C:C,C647)=2,IF(K647="Mismatch","Value Mismatch","Matched"),IF(I647= "Tally","Missing in GST","Missing in Tally"))</f>
        <v>Missing in Tally</v>
      </c>
      <c r="M647" s="6" t="str">
        <f t="shared" si="32"/>
        <v/>
      </c>
    </row>
    <row r="648" spans="1:13" x14ac:dyDescent="0.2">
      <c r="A648" s="1" t="str">
        <v>INV2146</v>
      </c>
      <c r="B648" s="2" t="str">
        <v>25-06-2024</v>
      </c>
      <c r="C648" s="1" t="str">
        <v>27ABCDE1234F1Z5</v>
      </c>
      <c r="D648" s="4" t="str">
        <v>Sharma Traders</v>
      </c>
      <c r="E648" s="6">
        <v>44999.26</v>
      </c>
      <c r="F648" s="6">
        <v>4049.93</v>
      </c>
      <c r="G648" s="6">
        <v>4049.93</v>
      </c>
      <c r="H648" s="6">
        <v>53099.12</v>
      </c>
      <c r="I648" s="19" t="str">
        <v>GST</v>
      </c>
      <c r="J648" s="1" t="str">
        <f t="shared" si="30"/>
        <v>Unique</v>
      </c>
      <c r="K648" s="21" t="str">
        <f t="shared" si="31"/>
        <v/>
      </c>
      <c r="L648" s="4" t="str">
        <f>IF(COUNTIFS(A:A,A648,C:C,C648)=2,IF(K648="Mismatch","Value Mismatch","Matched"),IF(I648= "Tally","Missing in GST","Missing in Tally"))</f>
        <v>Missing in Tally</v>
      </c>
      <c r="M648" s="6" t="str">
        <f t="shared" si="32"/>
        <v/>
      </c>
    </row>
    <row r="649" spans="1:13" x14ac:dyDescent="0.2">
      <c r="A649" s="1" t="str">
        <v>INV2147</v>
      </c>
      <c r="B649" s="2" t="str">
        <v>27-06-2024</v>
      </c>
      <c r="C649" s="1" t="str">
        <v>24LMNOP4321K1Z7</v>
      </c>
      <c r="D649" s="4" t="str">
        <v>Patel Industries</v>
      </c>
      <c r="E649" s="6">
        <v>44037.79</v>
      </c>
      <c r="F649" s="6">
        <v>3963.4</v>
      </c>
      <c r="G649" s="6">
        <v>3963.4</v>
      </c>
      <c r="H649" s="6">
        <v>51964.59</v>
      </c>
      <c r="I649" s="19" t="str">
        <v>GST</v>
      </c>
      <c r="J649" s="1" t="str">
        <f t="shared" si="30"/>
        <v>Unique</v>
      </c>
      <c r="K649" s="21" t="str">
        <f t="shared" si="31"/>
        <v/>
      </c>
      <c r="L649" s="4" t="str">
        <f>IF(COUNTIFS(A:A,A649,C:C,C649)=2,IF(K649="Mismatch","Value Mismatch","Matched"),IF(I649= "Tally","Missing in GST","Missing in Tally"))</f>
        <v>Missing in Tally</v>
      </c>
      <c r="M649" s="6" t="str">
        <f t="shared" si="32"/>
        <v/>
      </c>
    </row>
    <row r="650" spans="1:13" x14ac:dyDescent="0.2">
      <c r="A650" s="1" t="str">
        <v>INV2148</v>
      </c>
      <c r="B650" s="2" t="str">
        <v>13-06-2024</v>
      </c>
      <c r="C650" s="1" t="str">
        <v>24LMNOP4321K1Z7</v>
      </c>
      <c r="D650" s="4" t="str">
        <v>Patel Industries</v>
      </c>
      <c r="E650" s="6">
        <v>14127.14</v>
      </c>
      <c r="F650" s="6">
        <v>1271.44</v>
      </c>
      <c r="G650" s="6">
        <v>1271.44</v>
      </c>
      <c r="H650" s="6">
        <v>16670.02</v>
      </c>
      <c r="I650" s="19" t="str">
        <v>GST</v>
      </c>
      <c r="J650" s="1" t="str">
        <f t="shared" si="30"/>
        <v>Unique</v>
      </c>
      <c r="K650" s="21" t="str">
        <f t="shared" si="31"/>
        <v/>
      </c>
      <c r="L650" s="4" t="str">
        <f>IF(COUNTIFS(A:A,A650,C:C,C650)=2,IF(K650="Mismatch","Value Mismatch","Matched"),IF(I650= "Tally","Missing in GST","Missing in Tally"))</f>
        <v>Missing in Tally</v>
      </c>
      <c r="M650" s="6" t="str">
        <f t="shared" si="32"/>
        <v/>
      </c>
    </row>
    <row r="651" spans="1:13" x14ac:dyDescent="0.2">
      <c r="A651" s="1" t="str">
        <v>INV2149</v>
      </c>
      <c r="B651" s="2" t="str">
        <v>27-06-2024</v>
      </c>
      <c r="C651" s="1" t="str">
        <v>29PQRSX5678L1Z2</v>
      </c>
      <c r="D651" s="4" t="str">
        <v>Kiran Enterprises</v>
      </c>
      <c r="E651" s="6">
        <v>23887.22</v>
      </c>
      <c r="F651" s="6">
        <v>2149.85</v>
      </c>
      <c r="G651" s="6">
        <v>2149.85</v>
      </c>
      <c r="H651" s="6">
        <v>28186.92</v>
      </c>
      <c r="I651" s="19" t="str">
        <v>GST</v>
      </c>
      <c r="J651" s="1" t="str">
        <f t="shared" si="30"/>
        <v>Unique</v>
      </c>
      <c r="K651" s="21" t="str">
        <f t="shared" si="31"/>
        <v/>
      </c>
      <c r="L651" s="4" t="str">
        <f>IF(COUNTIFS(A:A,A651,C:C,C651)=2,IF(K651="Mismatch","Value Mismatch","Matched"),IF(I651= "Tally","Missing in GST","Missing in Tally"))</f>
        <v>Missing in Tally</v>
      </c>
      <c r="M651" s="6" t="str">
        <f t="shared" si="32"/>
        <v/>
      </c>
    </row>
    <row r="652" spans="1:13" x14ac:dyDescent="0.2">
      <c r="A652" s="1" t="str">
        <v>INV2150</v>
      </c>
      <c r="B652" s="2" t="str">
        <v>26-06-2024</v>
      </c>
      <c r="C652" s="1" t="str">
        <v>27ABCDE1234F1Z5</v>
      </c>
      <c r="D652" s="4" t="str">
        <v>Sharma Traders</v>
      </c>
      <c r="E652" s="6">
        <v>47450.03</v>
      </c>
      <c r="F652" s="6">
        <v>4270.5</v>
      </c>
      <c r="G652" s="6">
        <v>4270.5</v>
      </c>
      <c r="H652" s="6">
        <v>55991.03</v>
      </c>
      <c r="I652" s="19" t="str">
        <v>GST</v>
      </c>
      <c r="J652" s="1" t="str">
        <f t="shared" si="30"/>
        <v>Unique</v>
      </c>
      <c r="K652" s="21" t="str">
        <f t="shared" si="31"/>
        <v/>
      </c>
      <c r="L652" s="4" t="str">
        <f>IF(COUNTIFS(A:A,A652,C:C,C652)=2,IF(K652="Mismatch","Value Mismatch","Matched"),IF(I652= "Tally","Missing in GST","Missing in Tally"))</f>
        <v>Missing in Tally</v>
      </c>
      <c r="M652" s="6" t="str">
        <f t="shared" si="32"/>
        <v/>
      </c>
    </row>
    <row r="653" spans="1:13" x14ac:dyDescent="0.2">
      <c r="A653" s="1" t="str">
        <v>INV2151</v>
      </c>
      <c r="B653" s="2" t="str">
        <v>04-06-2024</v>
      </c>
      <c r="C653" s="1" t="str">
        <v>19ASDFG2468H1Z9</v>
      </c>
      <c r="D653" s="4" t="str">
        <v>Eastern Distributors</v>
      </c>
      <c r="E653" s="6">
        <v>34413.93</v>
      </c>
      <c r="F653" s="6">
        <v>3097.25</v>
      </c>
      <c r="G653" s="6">
        <v>3097.25</v>
      </c>
      <c r="H653" s="6">
        <v>40608.43</v>
      </c>
      <c r="I653" s="19" t="str">
        <v>GST</v>
      </c>
      <c r="J653" s="1" t="str">
        <f t="shared" si="30"/>
        <v>Unique</v>
      </c>
      <c r="K653" s="21" t="str">
        <f t="shared" si="31"/>
        <v/>
      </c>
      <c r="L653" s="4" t="str">
        <f>IF(COUNTIFS(A:A,A653,C:C,C653)=2,IF(K653="Mismatch","Value Mismatch","Matched"),IF(I653= "Tally","Missing in GST","Missing in Tally"))</f>
        <v>Missing in Tally</v>
      </c>
      <c r="M653" s="6" t="str">
        <f t="shared" si="32"/>
        <v/>
      </c>
    </row>
    <row r="654" spans="1:13" x14ac:dyDescent="0.2">
      <c r="A654" s="1" t="str">
        <v>INV2152</v>
      </c>
      <c r="B654" s="2" t="str">
        <v>03-05-2024</v>
      </c>
      <c r="C654" s="1" t="str">
        <v>29PQRSX5678L1Z2</v>
      </c>
      <c r="D654" s="4" t="str">
        <v>Kiran Enterprises</v>
      </c>
      <c r="E654" s="6">
        <v>5267.83</v>
      </c>
      <c r="F654" s="6">
        <v>474.1</v>
      </c>
      <c r="G654" s="6">
        <v>474.1</v>
      </c>
      <c r="H654" s="6">
        <v>6216.03</v>
      </c>
      <c r="I654" s="19" t="str">
        <v>GST</v>
      </c>
      <c r="J654" s="1" t="str">
        <f t="shared" si="30"/>
        <v>Unique</v>
      </c>
      <c r="K654" s="21" t="str">
        <f t="shared" si="31"/>
        <v/>
      </c>
      <c r="L654" s="4" t="str">
        <f>IF(COUNTIFS(A:A,A654,C:C,C654)=2,IF(K654="Mismatch","Value Mismatch","Matched"),IF(I654= "Tally","Missing in GST","Missing in Tally"))</f>
        <v>Missing in Tally</v>
      </c>
      <c r="M654" s="6" t="str">
        <f t="shared" si="32"/>
        <v/>
      </c>
    </row>
    <row r="655" spans="1:13" x14ac:dyDescent="0.2">
      <c r="A655" s="1" t="str">
        <v>INV2153</v>
      </c>
      <c r="B655" s="2" t="str">
        <v>09-06-2024</v>
      </c>
      <c r="C655" s="1" t="str">
        <v>07ZXCVB9876M1Z3</v>
      </c>
      <c r="D655" s="4" t="str">
        <v>Gupta Supplies</v>
      </c>
      <c r="E655" s="6">
        <v>44684.5</v>
      </c>
      <c r="F655" s="6">
        <v>4021.61</v>
      </c>
      <c r="G655" s="6">
        <v>4021.61</v>
      </c>
      <c r="H655" s="6">
        <v>52727.72</v>
      </c>
      <c r="I655" s="19" t="str">
        <v>GST</v>
      </c>
      <c r="J655" s="1" t="str">
        <f t="shared" si="30"/>
        <v>Unique</v>
      </c>
      <c r="K655" s="21" t="str">
        <f t="shared" si="31"/>
        <v/>
      </c>
      <c r="L655" s="4" t="str">
        <f>IF(COUNTIFS(A:A,A655,C:C,C655)=2,IF(K655="Mismatch","Value Mismatch","Matched"),IF(I655= "Tally","Missing in GST","Missing in Tally"))</f>
        <v>Missing in Tally</v>
      </c>
      <c r="M655" s="6" t="str">
        <f t="shared" si="32"/>
        <v/>
      </c>
    </row>
    <row r="656" spans="1:13" x14ac:dyDescent="0.2">
      <c r="A656" s="1" t="str">
        <v>INV2154</v>
      </c>
      <c r="B656" s="2" t="str">
        <v>05-05-2024</v>
      </c>
      <c r="C656" s="1" t="str">
        <v>27ABCDE1234F1Z5</v>
      </c>
      <c r="D656" s="4" t="str">
        <v>Sharma Traders</v>
      </c>
      <c r="E656" s="6">
        <v>27509.1</v>
      </c>
      <c r="F656" s="6">
        <v>2475.8200000000002</v>
      </c>
      <c r="G656" s="6">
        <v>2475.8200000000002</v>
      </c>
      <c r="H656" s="6">
        <v>32460.74</v>
      </c>
      <c r="I656" s="19" t="str">
        <v>GST</v>
      </c>
      <c r="J656" s="1" t="str">
        <f t="shared" si="30"/>
        <v>Unique</v>
      </c>
      <c r="K656" s="21" t="str">
        <f t="shared" si="31"/>
        <v/>
      </c>
      <c r="L656" s="4" t="str">
        <f>IF(COUNTIFS(A:A,A656,C:C,C656)=2,IF(K656="Mismatch","Value Mismatch","Matched"),IF(I656= "Tally","Missing in GST","Missing in Tally"))</f>
        <v>Missing in Tally</v>
      </c>
      <c r="M656" s="6" t="str">
        <f t="shared" si="32"/>
        <v/>
      </c>
    </row>
    <row r="657" spans="1:13" x14ac:dyDescent="0.2">
      <c r="A657" s="1" t="str">
        <v>INV2155</v>
      </c>
      <c r="B657" s="2" t="str">
        <v>22-05-2024</v>
      </c>
      <c r="C657" s="1" t="str">
        <v>24LMNOP4321K1Z7</v>
      </c>
      <c r="D657" s="4" t="str">
        <v>Patel Industries</v>
      </c>
      <c r="E657" s="6">
        <v>36849.339999999997</v>
      </c>
      <c r="F657" s="6">
        <v>3316.44</v>
      </c>
      <c r="G657" s="6">
        <v>3316.44</v>
      </c>
      <c r="H657" s="6">
        <v>43482.22</v>
      </c>
      <c r="I657" s="19" t="str">
        <v>GST</v>
      </c>
      <c r="J657" s="1" t="str">
        <f t="shared" si="30"/>
        <v>Unique</v>
      </c>
      <c r="K657" s="21" t="str">
        <f t="shared" si="31"/>
        <v/>
      </c>
      <c r="L657" s="4" t="str">
        <f>IF(COUNTIFS(A:A,A657,C:C,C657)=2,IF(K657="Mismatch","Value Mismatch","Matched"),IF(I657= "Tally","Missing in GST","Missing in Tally"))</f>
        <v>Missing in Tally</v>
      </c>
      <c r="M657" s="6" t="str">
        <f t="shared" si="32"/>
        <v/>
      </c>
    </row>
    <row r="658" spans="1:13" x14ac:dyDescent="0.2">
      <c r="A658" s="1" t="str">
        <v>INV2156</v>
      </c>
      <c r="B658" s="2" t="str">
        <v>12-04-2024</v>
      </c>
      <c r="C658" s="1" t="str">
        <v>24LMNOP4321K1Z7</v>
      </c>
      <c r="D658" s="4" t="str">
        <v>Patel Industries</v>
      </c>
      <c r="E658" s="6">
        <v>10458.790000000001</v>
      </c>
      <c r="F658" s="6">
        <v>941.29</v>
      </c>
      <c r="G658" s="6">
        <v>941.29</v>
      </c>
      <c r="H658" s="6">
        <v>12341.37</v>
      </c>
      <c r="I658" s="19" t="str">
        <v>GST</v>
      </c>
      <c r="J658" s="1" t="str">
        <f t="shared" si="30"/>
        <v>Unique</v>
      </c>
      <c r="K658" s="21" t="str">
        <f t="shared" si="31"/>
        <v/>
      </c>
      <c r="L658" s="4" t="str">
        <f>IF(COUNTIFS(A:A,A658,C:C,C658)=2,IF(K658="Mismatch","Value Mismatch","Matched"),IF(I658= "Tally","Missing in GST","Missing in Tally"))</f>
        <v>Missing in Tally</v>
      </c>
      <c r="M658" s="6" t="str">
        <f t="shared" si="32"/>
        <v/>
      </c>
    </row>
    <row r="659" spans="1:13" x14ac:dyDescent="0.2">
      <c r="A659" s="1" t="str">
        <v>INV2157</v>
      </c>
      <c r="B659" s="2" t="str">
        <v>03-06-2024</v>
      </c>
      <c r="C659" s="1" t="str">
        <v>29PQRSX5678L1Z2</v>
      </c>
      <c r="D659" s="4" t="str">
        <v>Kiran Enterprises</v>
      </c>
      <c r="E659" s="6">
        <v>9039.91</v>
      </c>
      <c r="F659" s="6">
        <v>813.59</v>
      </c>
      <c r="G659" s="6">
        <v>813.59</v>
      </c>
      <c r="H659" s="6">
        <v>10667.09</v>
      </c>
      <c r="I659" s="19" t="str">
        <v>GST</v>
      </c>
      <c r="J659" s="1" t="str">
        <f t="shared" si="30"/>
        <v>Unique</v>
      </c>
      <c r="K659" s="21" t="str">
        <f t="shared" si="31"/>
        <v/>
      </c>
      <c r="L659" s="4" t="str">
        <f>IF(COUNTIFS(A:A,A659,C:C,C659)=2,IF(K659="Mismatch","Value Mismatch","Matched"),IF(I659= "Tally","Missing in GST","Missing in Tally"))</f>
        <v>Missing in Tally</v>
      </c>
      <c r="M659" s="6" t="str">
        <f t="shared" si="32"/>
        <v/>
      </c>
    </row>
    <row r="660" spans="1:13" x14ac:dyDescent="0.2">
      <c r="A660" s="1" t="str">
        <v>INV2158</v>
      </c>
      <c r="B660" s="2" t="str">
        <v>15-04-2024</v>
      </c>
      <c r="C660" s="1" t="str">
        <v>29PQRSX5678L1Z2</v>
      </c>
      <c r="D660" s="4" t="str">
        <v>Kiran Enterprises</v>
      </c>
      <c r="E660" s="6">
        <v>23043.11</v>
      </c>
      <c r="F660" s="6">
        <v>2073.88</v>
      </c>
      <c r="G660" s="6">
        <v>2073.88</v>
      </c>
      <c r="H660" s="6">
        <v>27190.87</v>
      </c>
      <c r="I660" s="19" t="str">
        <v>GST</v>
      </c>
      <c r="J660" s="1" t="str">
        <f t="shared" si="30"/>
        <v>Unique</v>
      </c>
      <c r="K660" s="21" t="str">
        <f t="shared" si="31"/>
        <v/>
      </c>
      <c r="L660" s="4" t="str">
        <f>IF(COUNTIFS(A:A,A660,C:C,C660)=2,IF(K660="Mismatch","Value Mismatch","Matched"),IF(I660= "Tally","Missing in GST","Missing in Tally"))</f>
        <v>Missing in Tally</v>
      </c>
      <c r="M660" s="6" t="str">
        <f t="shared" si="32"/>
        <v/>
      </c>
    </row>
    <row r="661" spans="1:13" x14ac:dyDescent="0.2">
      <c r="A661" s="1" t="str">
        <v>INV2159</v>
      </c>
      <c r="B661" s="2" t="str">
        <v>03-04-2024</v>
      </c>
      <c r="C661" s="1" t="str">
        <v>19ASDFG2468H1Z9</v>
      </c>
      <c r="D661" s="4" t="str">
        <v>Eastern Distributors</v>
      </c>
      <c r="E661" s="6">
        <v>11153.98</v>
      </c>
      <c r="F661" s="6">
        <v>1003.86</v>
      </c>
      <c r="G661" s="6">
        <v>1003.86</v>
      </c>
      <c r="H661" s="6">
        <v>13161.7</v>
      </c>
      <c r="I661" s="19" t="str">
        <v>GST</v>
      </c>
      <c r="J661" s="1" t="str">
        <f t="shared" si="30"/>
        <v>Unique</v>
      </c>
      <c r="K661" s="21" t="str">
        <f t="shared" si="31"/>
        <v/>
      </c>
      <c r="L661" s="4" t="str">
        <f>IF(COUNTIFS(A:A,A661,C:C,C661)=2,IF(K661="Mismatch","Value Mismatch","Matched"),IF(I661= "Tally","Missing in GST","Missing in Tally"))</f>
        <v>Missing in Tally</v>
      </c>
      <c r="M661" s="6" t="str">
        <f t="shared" si="32"/>
        <v/>
      </c>
    </row>
    <row r="662" spans="1:13" x14ac:dyDescent="0.2">
      <c r="A662" s="1" t="str">
        <v>INV2160</v>
      </c>
      <c r="B662" s="2" t="str">
        <v>14-05-2024</v>
      </c>
      <c r="C662" s="1" t="str">
        <v>29PQRSX5678L1Z2</v>
      </c>
      <c r="D662" s="4" t="str">
        <v>Kiran Enterprises</v>
      </c>
      <c r="E662" s="6">
        <v>41727.1</v>
      </c>
      <c r="F662" s="6">
        <v>3755.44</v>
      </c>
      <c r="G662" s="6">
        <v>3755.44</v>
      </c>
      <c r="H662" s="6">
        <v>49237.98</v>
      </c>
      <c r="I662" s="19" t="str">
        <v>GST</v>
      </c>
      <c r="J662" s="1" t="str">
        <f t="shared" si="30"/>
        <v>Unique</v>
      </c>
      <c r="K662" s="21" t="str">
        <f t="shared" si="31"/>
        <v/>
      </c>
      <c r="L662" s="4" t="str">
        <f>IF(COUNTIFS(A:A,A662,C:C,C662)=2,IF(K662="Mismatch","Value Mismatch","Matched"),IF(I662= "Tally","Missing in GST","Missing in Tally"))</f>
        <v>Missing in Tally</v>
      </c>
      <c r="M662" s="6" t="str">
        <f t="shared" si="32"/>
        <v/>
      </c>
    </row>
    <row r="663" spans="1:13" x14ac:dyDescent="0.2">
      <c r="A663" s="1" t="str">
        <v>INV2161</v>
      </c>
      <c r="B663" s="2" t="str">
        <v>09-06-2024</v>
      </c>
      <c r="C663" s="1" t="str">
        <v>07ZXCVB9876M1Z3</v>
      </c>
      <c r="D663" s="4" t="str">
        <v>Gupta Supplies</v>
      </c>
      <c r="E663" s="6">
        <v>2125.12</v>
      </c>
      <c r="F663" s="6">
        <v>191.26</v>
      </c>
      <c r="G663" s="6">
        <v>191.26</v>
      </c>
      <c r="H663" s="6">
        <v>2507.64</v>
      </c>
      <c r="I663" s="19" t="str">
        <v>GST</v>
      </c>
      <c r="J663" s="1" t="str">
        <f t="shared" si="30"/>
        <v>Unique</v>
      </c>
      <c r="K663" s="21" t="str">
        <f t="shared" si="31"/>
        <v/>
      </c>
      <c r="L663" s="4" t="str">
        <f>IF(COUNTIFS(A:A,A663,C:C,C663)=2,IF(K663="Mismatch","Value Mismatch","Matched"),IF(I663= "Tally","Missing in GST","Missing in Tally"))</f>
        <v>Missing in Tally</v>
      </c>
      <c r="M663" s="6" t="str">
        <f t="shared" si="32"/>
        <v/>
      </c>
    </row>
    <row r="664" spans="1:13" x14ac:dyDescent="0.2">
      <c r="A664" s="1" t="str">
        <v>INV2162</v>
      </c>
      <c r="B664" s="2" t="str">
        <v>02-06-2024</v>
      </c>
      <c r="C664" s="1" t="str">
        <v>19ASDFG2468H1Z9</v>
      </c>
      <c r="D664" s="4" t="str">
        <v>Eastern Distributors</v>
      </c>
      <c r="E664" s="6">
        <v>30450.81</v>
      </c>
      <c r="F664" s="6">
        <v>2740.57</v>
      </c>
      <c r="G664" s="6">
        <v>2740.57</v>
      </c>
      <c r="H664" s="6">
        <v>35931.949999999997</v>
      </c>
      <c r="I664" s="19" t="str">
        <v>GST</v>
      </c>
      <c r="J664" s="1" t="str">
        <f t="shared" si="30"/>
        <v>Unique</v>
      </c>
      <c r="K664" s="21" t="str">
        <f t="shared" si="31"/>
        <v/>
      </c>
      <c r="L664" s="4" t="str">
        <f>IF(COUNTIFS(A:A,A664,C:C,C664)=2,IF(K664="Mismatch","Value Mismatch","Matched"),IF(I664= "Tally","Missing in GST","Missing in Tally"))</f>
        <v>Missing in Tally</v>
      </c>
      <c r="M664" s="6" t="str">
        <f t="shared" si="32"/>
        <v/>
      </c>
    </row>
    <row r="665" spans="1:13" x14ac:dyDescent="0.2">
      <c r="A665" s="1" t="str">
        <v>INV2163</v>
      </c>
      <c r="B665" s="2" t="str">
        <v>22-04-2024</v>
      </c>
      <c r="C665" s="1" t="str">
        <v>19ASDFG2468H1Z9</v>
      </c>
      <c r="D665" s="4" t="str">
        <v>Eastern Distributors</v>
      </c>
      <c r="E665" s="6">
        <v>12455.4</v>
      </c>
      <c r="F665" s="6">
        <v>1120.99</v>
      </c>
      <c r="G665" s="6">
        <v>1120.99</v>
      </c>
      <c r="H665" s="6">
        <v>14697.38</v>
      </c>
      <c r="I665" s="19" t="str">
        <v>GST</v>
      </c>
      <c r="J665" s="1" t="str">
        <f t="shared" si="30"/>
        <v>Unique</v>
      </c>
      <c r="K665" s="21" t="str">
        <f t="shared" si="31"/>
        <v/>
      </c>
      <c r="L665" s="4" t="str">
        <f>IF(COUNTIFS(A:A,A665,C:C,C665)=2,IF(K665="Mismatch","Value Mismatch","Matched"),IF(I665= "Tally","Missing in GST","Missing in Tally"))</f>
        <v>Missing in Tally</v>
      </c>
      <c r="M665" s="6" t="str">
        <f t="shared" si="32"/>
        <v/>
      </c>
    </row>
    <row r="666" spans="1:13" x14ac:dyDescent="0.2">
      <c r="A666" s="1" t="str">
        <v>INV2164</v>
      </c>
      <c r="B666" s="2" t="str">
        <v>03-06-2024</v>
      </c>
      <c r="C666" s="1" t="str">
        <v>24LMNOP4321K1Z7</v>
      </c>
      <c r="D666" s="4" t="str">
        <v>Patel Industries</v>
      </c>
      <c r="E666" s="6">
        <v>22771.57</v>
      </c>
      <c r="F666" s="6">
        <v>2049.44</v>
      </c>
      <c r="G666" s="6">
        <v>2049.44</v>
      </c>
      <c r="H666" s="6">
        <v>26870.45</v>
      </c>
      <c r="I666" s="19" t="str">
        <v>GST</v>
      </c>
      <c r="J666" s="1" t="str">
        <f t="shared" si="30"/>
        <v>Unique</v>
      </c>
      <c r="K666" s="21" t="str">
        <f t="shared" si="31"/>
        <v/>
      </c>
      <c r="L666" s="4" t="str">
        <f>IF(COUNTIFS(A:A,A666,C:C,C666)=2,IF(K666="Mismatch","Value Mismatch","Matched"),IF(I666= "Tally","Missing in GST","Missing in Tally"))</f>
        <v>Missing in Tally</v>
      </c>
      <c r="M666" s="6" t="str">
        <f t="shared" si="32"/>
        <v/>
      </c>
    </row>
    <row r="667" spans="1:13" x14ac:dyDescent="0.2">
      <c r="A667" s="1" t="str">
        <v>INV2165</v>
      </c>
      <c r="B667" s="2" t="str">
        <v>07-04-2024</v>
      </c>
      <c r="C667" s="1" t="str">
        <v>19ASDFG2468H1Z9</v>
      </c>
      <c r="D667" s="4" t="str">
        <v>Eastern Distributors</v>
      </c>
      <c r="E667" s="6">
        <v>44046.94</v>
      </c>
      <c r="F667" s="6">
        <v>3964.22</v>
      </c>
      <c r="G667" s="6">
        <v>3964.22</v>
      </c>
      <c r="H667" s="6">
        <v>51975.38</v>
      </c>
      <c r="I667" s="19" t="str">
        <v>GST</v>
      </c>
      <c r="J667" s="1" t="str">
        <f t="shared" si="30"/>
        <v>Unique</v>
      </c>
      <c r="K667" s="21" t="str">
        <f t="shared" si="31"/>
        <v/>
      </c>
      <c r="L667" s="4" t="str">
        <f>IF(COUNTIFS(A:A,A667,C:C,C667)=2,IF(K667="Mismatch","Value Mismatch","Matched"),IF(I667= "Tally","Missing in GST","Missing in Tally"))</f>
        <v>Missing in Tally</v>
      </c>
      <c r="M667" s="6" t="str">
        <f t="shared" si="32"/>
        <v/>
      </c>
    </row>
    <row r="668" spans="1:13" x14ac:dyDescent="0.2">
      <c r="A668" s="1" t="str">
        <v>INV2166</v>
      </c>
      <c r="B668" s="2" t="str">
        <v>05-05-2024</v>
      </c>
      <c r="C668" s="1" t="str">
        <v>27ABCDE1234F1Z5</v>
      </c>
      <c r="D668" s="4" t="str">
        <v>Sharma Traders</v>
      </c>
      <c r="E668" s="6">
        <v>15199.51</v>
      </c>
      <c r="F668" s="6">
        <v>1367.96</v>
      </c>
      <c r="G668" s="6">
        <v>1367.96</v>
      </c>
      <c r="H668" s="6">
        <v>17935.43</v>
      </c>
      <c r="I668" s="19" t="str">
        <v>GST</v>
      </c>
      <c r="J668" s="1" t="str">
        <f t="shared" si="30"/>
        <v>Unique</v>
      </c>
      <c r="K668" s="21" t="str">
        <f t="shared" si="31"/>
        <v/>
      </c>
      <c r="L668" s="4" t="str">
        <f>IF(COUNTIFS(A:A,A668,C:C,C668)=2,IF(K668="Mismatch","Value Mismatch","Matched"),IF(I668= "Tally","Missing in GST","Missing in Tally"))</f>
        <v>Missing in Tally</v>
      </c>
      <c r="M668" s="6" t="str">
        <f t="shared" si="32"/>
        <v/>
      </c>
    </row>
    <row r="669" spans="1:13" x14ac:dyDescent="0.2">
      <c r="A669" s="1" t="str">
        <v>INV2167</v>
      </c>
      <c r="B669" s="2" t="str">
        <v>09-04-2024</v>
      </c>
      <c r="C669" s="1" t="str">
        <v>29PQRSX5678L1Z2</v>
      </c>
      <c r="D669" s="4" t="str">
        <v>Kiran Enterprises</v>
      </c>
      <c r="E669" s="6">
        <v>46719.47</v>
      </c>
      <c r="F669" s="6">
        <v>4204.75</v>
      </c>
      <c r="G669" s="6">
        <v>4204.75</v>
      </c>
      <c r="H669" s="6">
        <v>55128.97</v>
      </c>
      <c r="I669" s="19" t="str">
        <v>GST</v>
      </c>
      <c r="J669" s="1" t="str">
        <f t="shared" si="30"/>
        <v>Unique</v>
      </c>
      <c r="K669" s="21" t="str">
        <f t="shared" si="31"/>
        <v/>
      </c>
      <c r="L669" s="4" t="str">
        <f>IF(COUNTIFS(A:A,A669,C:C,C669)=2,IF(K669="Mismatch","Value Mismatch","Matched"),IF(I669= "Tally","Missing in GST","Missing in Tally"))</f>
        <v>Missing in Tally</v>
      </c>
      <c r="M669" s="6" t="str">
        <f t="shared" si="32"/>
        <v/>
      </c>
    </row>
    <row r="670" spans="1:13" x14ac:dyDescent="0.2">
      <c r="A670" s="1" t="str">
        <v>INV2168</v>
      </c>
      <c r="B670" s="2" t="str">
        <v>07-06-2024</v>
      </c>
      <c r="C670" s="1" t="str">
        <v>19ASDFG2468H1Z9</v>
      </c>
      <c r="D670" s="4" t="str">
        <v>Eastern Distributors</v>
      </c>
      <c r="E670" s="6">
        <v>38445.839999999997</v>
      </c>
      <c r="F670" s="6">
        <v>3460.13</v>
      </c>
      <c r="G670" s="6">
        <v>3460.13</v>
      </c>
      <c r="H670" s="6">
        <v>45366.1</v>
      </c>
      <c r="I670" s="19" t="str">
        <v>GST</v>
      </c>
      <c r="J670" s="1" t="str">
        <f t="shared" si="30"/>
        <v>Unique</v>
      </c>
      <c r="K670" s="21" t="str">
        <f t="shared" si="31"/>
        <v/>
      </c>
      <c r="L670" s="4" t="str">
        <f>IF(COUNTIFS(A:A,A670,C:C,C670)=2,IF(K670="Mismatch","Value Mismatch","Matched"),IF(I670= "Tally","Missing in GST","Missing in Tally"))</f>
        <v>Missing in Tally</v>
      </c>
      <c r="M670" s="6" t="str">
        <f t="shared" si="32"/>
        <v/>
      </c>
    </row>
    <row r="671" spans="1:13" x14ac:dyDescent="0.2">
      <c r="A671" s="1" t="str">
        <v>INV2169</v>
      </c>
      <c r="B671" s="2" t="str">
        <v>03-04-2024</v>
      </c>
      <c r="C671" s="1" t="str">
        <v>19ASDFG2468H1Z9</v>
      </c>
      <c r="D671" s="4" t="str">
        <v>Eastern Distributors</v>
      </c>
      <c r="E671" s="6">
        <v>33813.25</v>
      </c>
      <c r="F671" s="6">
        <v>3043.19</v>
      </c>
      <c r="G671" s="6">
        <v>3043.19</v>
      </c>
      <c r="H671" s="6">
        <v>39899.629999999997</v>
      </c>
      <c r="I671" s="19" t="str">
        <v>GST</v>
      </c>
      <c r="J671" s="1" t="str">
        <f t="shared" si="30"/>
        <v>Unique</v>
      </c>
      <c r="K671" s="21" t="str">
        <f t="shared" si="31"/>
        <v/>
      </c>
      <c r="L671" s="4" t="str">
        <f>IF(COUNTIFS(A:A,A671,C:C,C671)=2,IF(K671="Mismatch","Value Mismatch","Matched"),IF(I671= "Tally","Missing in GST","Missing in Tally"))</f>
        <v>Missing in Tally</v>
      </c>
      <c r="M671" s="6" t="str">
        <f t="shared" si="32"/>
        <v/>
      </c>
    </row>
    <row r="672" spans="1:13" x14ac:dyDescent="0.2">
      <c r="A672" s="1" t="str">
        <v>INV2170</v>
      </c>
      <c r="B672" s="2" t="str">
        <v>04-05-2024</v>
      </c>
      <c r="C672" s="1" t="str">
        <v>07ZXCVB9876M1Z3</v>
      </c>
      <c r="D672" s="4" t="str">
        <v>Gupta Supplies</v>
      </c>
      <c r="E672" s="6">
        <v>49447.68</v>
      </c>
      <c r="F672" s="6">
        <v>4450.29</v>
      </c>
      <c r="G672" s="6">
        <v>4450.29</v>
      </c>
      <c r="H672" s="6">
        <v>58348.26</v>
      </c>
      <c r="I672" s="19" t="str">
        <v>GST</v>
      </c>
      <c r="J672" s="1" t="str">
        <f t="shared" si="30"/>
        <v>Unique</v>
      </c>
      <c r="K672" s="21" t="str">
        <f t="shared" si="31"/>
        <v/>
      </c>
      <c r="L672" s="4" t="str">
        <f>IF(COUNTIFS(A:A,A672,C:C,C672)=2,IF(K672="Mismatch","Value Mismatch","Matched"),IF(I672= "Tally","Missing in GST","Missing in Tally"))</f>
        <v>Missing in Tally</v>
      </c>
      <c r="M672" s="6" t="str">
        <f t="shared" si="32"/>
        <v/>
      </c>
    </row>
    <row r="673" spans="1:13" x14ac:dyDescent="0.2">
      <c r="A673" s="1" t="str">
        <v>INV2171</v>
      </c>
      <c r="B673" s="2" t="str">
        <v>24-06-2024</v>
      </c>
      <c r="C673" s="1" t="str">
        <v>19ASDFG2468H1Z9</v>
      </c>
      <c r="D673" s="4" t="str">
        <v>Eastern Distributors</v>
      </c>
      <c r="E673" s="6">
        <v>38213.56</v>
      </c>
      <c r="F673" s="6">
        <v>3439.22</v>
      </c>
      <c r="G673" s="6">
        <v>3439.22</v>
      </c>
      <c r="H673" s="6">
        <v>45092</v>
      </c>
      <c r="I673" s="19" t="str">
        <v>GST</v>
      </c>
      <c r="J673" s="1" t="str">
        <f t="shared" si="30"/>
        <v>Unique</v>
      </c>
      <c r="K673" s="21" t="str">
        <f t="shared" si="31"/>
        <v/>
      </c>
      <c r="L673" s="4" t="str">
        <f>IF(COUNTIFS(A:A,A673,C:C,C673)=2,IF(K673="Mismatch","Value Mismatch","Matched"),IF(I673= "Tally","Missing in GST","Missing in Tally"))</f>
        <v>Missing in Tally</v>
      </c>
      <c r="M673" s="6" t="str">
        <f t="shared" si="32"/>
        <v/>
      </c>
    </row>
    <row r="674" spans="1:13" x14ac:dyDescent="0.2">
      <c r="A674" s="1" t="str">
        <v>INV2172</v>
      </c>
      <c r="B674" s="2" t="str">
        <v>04-06-2024</v>
      </c>
      <c r="C674" s="1" t="str">
        <v>29PQRSX5678L1Z2</v>
      </c>
      <c r="D674" s="4" t="str">
        <v>Kiran Enterprises</v>
      </c>
      <c r="E674" s="6">
        <v>1061.1400000000001</v>
      </c>
      <c r="F674" s="6">
        <v>95.5</v>
      </c>
      <c r="G674" s="6">
        <v>95.5</v>
      </c>
      <c r="H674" s="6">
        <v>1252.1400000000001</v>
      </c>
      <c r="I674" s="19" t="str">
        <v>GST</v>
      </c>
      <c r="J674" s="1" t="str">
        <f t="shared" si="30"/>
        <v>Unique</v>
      </c>
      <c r="K674" s="21" t="str">
        <f t="shared" si="31"/>
        <v/>
      </c>
      <c r="L674" s="4" t="str">
        <f>IF(COUNTIFS(A:A,A674,C:C,C674)=2,IF(K674="Mismatch","Value Mismatch","Matched"),IF(I674= "Tally","Missing in GST","Missing in Tally"))</f>
        <v>Missing in Tally</v>
      </c>
      <c r="M674" s="6" t="str">
        <f t="shared" si="32"/>
        <v/>
      </c>
    </row>
    <row r="675" spans="1:13" x14ac:dyDescent="0.2">
      <c r="A675" s="1" t="str">
        <v>INV2173</v>
      </c>
      <c r="B675" s="2" t="str">
        <v>09-04-2024</v>
      </c>
      <c r="C675" s="1" t="str">
        <v>29PQRSX5678L1Z2</v>
      </c>
      <c r="D675" s="4" t="str">
        <v>Kiran Enterprises</v>
      </c>
      <c r="E675" s="6">
        <v>8464.91</v>
      </c>
      <c r="F675" s="6">
        <v>761.84</v>
      </c>
      <c r="G675" s="6">
        <v>761.84</v>
      </c>
      <c r="H675" s="6">
        <v>9988.59</v>
      </c>
      <c r="I675" s="19" t="str">
        <v>GST</v>
      </c>
      <c r="J675" s="1" t="str">
        <f t="shared" si="30"/>
        <v>Unique</v>
      </c>
      <c r="K675" s="21" t="str">
        <f t="shared" si="31"/>
        <v/>
      </c>
      <c r="L675" s="4" t="str">
        <f>IF(COUNTIFS(A:A,A675,C:C,C675)=2,IF(K675="Mismatch","Value Mismatch","Matched"),IF(I675= "Tally","Missing in GST","Missing in Tally"))</f>
        <v>Missing in Tally</v>
      </c>
      <c r="M675" s="6" t="str">
        <f t="shared" si="32"/>
        <v/>
      </c>
    </row>
    <row r="676" spans="1:13" x14ac:dyDescent="0.2">
      <c r="A676" s="1" t="str">
        <v>INV2174</v>
      </c>
      <c r="B676" s="2" t="str">
        <v>16-05-2024</v>
      </c>
      <c r="C676" s="1" t="str">
        <v>07ZXCVB9876M1Z3</v>
      </c>
      <c r="D676" s="4" t="str">
        <v>Gupta Supplies</v>
      </c>
      <c r="E676" s="6">
        <v>36598.61</v>
      </c>
      <c r="F676" s="6">
        <v>3293.87</v>
      </c>
      <c r="G676" s="6">
        <v>3293.87</v>
      </c>
      <c r="H676" s="6">
        <v>43186.35</v>
      </c>
      <c r="I676" s="19" t="str">
        <v>GST</v>
      </c>
      <c r="J676" s="1" t="str">
        <f t="shared" si="30"/>
        <v>Unique</v>
      </c>
      <c r="K676" s="21" t="str">
        <f t="shared" si="31"/>
        <v/>
      </c>
      <c r="L676" s="4" t="str">
        <f>IF(COUNTIFS(A:A,A676,C:C,C676)=2,IF(K676="Mismatch","Value Mismatch","Matched"),IF(I676= "Tally","Missing in GST","Missing in Tally"))</f>
        <v>Missing in Tally</v>
      </c>
      <c r="M676" s="6" t="str">
        <f t="shared" si="32"/>
        <v/>
      </c>
    </row>
    <row r="677" spans="1:13" x14ac:dyDescent="0.2">
      <c r="A677" s="1" t="str">
        <v>INV2175</v>
      </c>
      <c r="B677" s="2" t="str">
        <v>11-06-2024</v>
      </c>
      <c r="C677" s="1" t="str">
        <v>07ZXCVB9876M1Z3</v>
      </c>
      <c r="D677" s="4" t="str">
        <v>Gupta Supplies</v>
      </c>
      <c r="E677" s="6">
        <v>20005.97</v>
      </c>
      <c r="F677" s="6">
        <v>1800.54</v>
      </c>
      <c r="G677" s="6">
        <v>1800.54</v>
      </c>
      <c r="H677" s="6">
        <v>23607.05</v>
      </c>
      <c r="I677" s="19" t="str">
        <v>GST</v>
      </c>
      <c r="J677" s="1" t="str">
        <f t="shared" si="30"/>
        <v>Unique</v>
      </c>
      <c r="K677" s="21" t="str">
        <f t="shared" si="31"/>
        <v/>
      </c>
      <c r="L677" s="4" t="str">
        <f>IF(COUNTIFS(A:A,A677,C:C,C677)=2,IF(K677="Mismatch","Value Mismatch","Matched"),IF(I677= "Tally","Missing in GST","Missing in Tally"))</f>
        <v>Missing in Tally</v>
      </c>
      <c r="M677" s="6" t="str">
        <f t="shared" si="32"/>
        <v/>
      </c>
    </row>
    <row r="678" spans="1:13" x14ac:dyDescent="0.2">
      <c r="A678" s="1" t="str">
        <v>INV2176</v>
      </c>
      <c r="B678" s="2" t="str">
        <v>24-04-2024</v>
      </c>
      <c r="C678" s="1" t="str">
        <v>29PQRSX5678L1Z2</v>
      </c>
      <c r="D678" s="4" t="str">
        <v>Kiran Enterprises</v>
      </c>
      <c r="E678" s="6">
        <v>18218.060000000001</v>
      </c>
      <c r="F678" s="6">
        <v>1639.63</v>
      </c>
      <c r="G678" s="6">
        <v>1639.63</v>
      </c>
      <c r="H678" s="6">
        <v>21497.32</v>
      </c>
      <c r="I678" s="19" t="str">
        <v>GST</v>
      </c>
      <c r="J678" s="1" t="str">
        <f t="shared" si="30"/>
        <v>Unique</v>
      </c>
      <c r="K678" s="21" t="str">
        <f t="shared" si="31"/>
        <v/>
      </c>
      <c r="L678" s="4" t="str">
        <f>IF(COUNTIFS(A:A,A678,C:C,C678)=2,IF(K678="Mismatch","Value Mismatch","Matched"),IF(I678= "Tally","Missing in GST","Missing in Tally"))</f>
        <v>Missing in Tally</v>
      </c>
      <c r="M678" s="6" t="str">
        <f t="shared" si="32"/>
        <v/>
      </c>
    </row>
    <row r="679" spans="1:13" x14ac:dyDescent="0.2">
      <c r="A679" s="1" t="str">
        <v>INV2177</v>
      </c>
      <c r="B679" s="2" t="str">
        <v>04-05-2024</v>
      </c>
      <c r="C679" s="1" t="str">
        <v>27ABCDE1234F1Z5</v>
      </c>
      <c r="D679" s="4" t="str">
        <v>Sharma Traders</v>
      </c>
      <c r="E679" s="6">
        <v>20154.939999999999</v>
      </c>
      <c r="F679" s="6">
        <v>1813.94</v>
      </c>
      <c r="G679" s="6">
        <v>1813.94</v>
      </c>
      <c r="H679" s="6">
        <v>23782.82</v>
      </c>
      <c r="I679" s="19" t="str">
        <v>GST</v>
      </c>
      <c r="J679" s="1" t="str">
        <f t="shared" si="30"/>
        <v>Unique</v>
      </c>
      <c r="K679" s="21" t="str">
        <f t="shared" si="31"/>
        <v/>
      </c>
      <c r="L679" s="4" t="str">
        <f>IF(COUNTIFS(A:A,A679,C:C,C679)=2,IF(K679="Mismatch","Value Mismatch","Matched"),IF(I679= "Tally","Missing in GST","Missing in Tally"))</f>
        <v>Missing in Tally</v>
      </c>
      <c r="M679" s="6" t="str">
        <f t="shared" si="32"/>
        <v/>
      </c>
    </row>
    <row r="680" spans="1:13" x14ac:dyDescent="0.2">
      <c r="A680" s="1" t="str">
        <v>INV2178</v>
      </c>
      <c r="B680" s="2" t="str">
        <v>07-04-2024</v>
      </c>
      <c r="C680" s="1" t="str">
        <v>19ASDFG2468H1Z9</v>
      </c>
      <c r="D680" s="4" t="str">
        <v>Eastern Distributors</v>
      </c>
      <c r="E680" s="6">
        <v>38698</v>
      </c>
      <c r="F680" s="6">
        <v>3482.82</v>
      </c>
      <c r="G680" s="6">
        <v>3482.82</v>
      </c>
      <c r="H680" s="6">
        <v>45663.64</v>
      </c>
      <c r="I680" s="19" t="str">
        <v>GST</v>
      </c>
      <c r="J680" s="1" t="str">
        <f t="shared" si="30"/>
        <v>Unique</v>
      </c>
      <c r="K680" s="21" t="str">
        <f t="shared" si="31"/>
        <v/>
      </c>
      <c r="L680" s="4" t="str">
        <f>IF(COUNTIFS(A:A,A680,C:C,C680)=2,IF(K680="Mismatch","Value Mismatch","Matched"),IF(I680= "Tally","Missing in GST","Missing in Tally"))</f>
        <v>Missing in Tally</v>
      </c>
      <c r="M680" s="6" t="str">
        <f t="shared" si="32"/>
        <v/>
      </c>
    </row>
    <row r="681" spans="1:13" x14ac:dyDescent="0.2">
      <c r="A681" s="1" t="str">
        <v>INV2179</v>
      </c>
      <c r="B681" s="2" t="str">
        <v>28-04-2024</v>
      </c>
      <c r="C681" s="1" t="str">
        <v>07ZXCVB9876M1Z3</v>
      </c>
      <c r="D681" s="4" t="str">
        <v>Gupta Supplies</v>
      </c>
      <c r="E681" s="6">
        <v>49521.11</v>
      </c>
      <c r="F681" s="6">
        <v>4456.8999999999996</v>
      </c>
      <c r="G681" s="6">
        <v>4456.8999999999996</v>
      </c>
      <c r="H681" s="6">
        <v>58434.91</v>
      </c>
      <c r="I681" s="19" t="str">
        <v>GST</v>
      </c>
      <c r="J681" s="1" t="str">
        <f t="shared" si="30"/>
        <v>Unique</v>
      </c>
      <c r="K681" s="21" t="str">
        <f t="shared" si="31"/>
        <v/>
      </c>
      <c r="L681" s="4" t="str">
        <f>IF(COUNTIFS(A:A,A681,C:C,C681)=2,IF(K681="Mismatch","Value Mismatch","Matched"),IF(I681= "Tally","Missing in GST","Missing in Tally"))</f>
        <v>Missing in Tally</v>
      </c>
      <c r="M681" s="6" t="str">
        <f t="shared" si="32"/>
        <v/>
      </c>
    </row>
    <row r="682" spans="1:13" x14ac:dyDescent="0.2">
      <c r="A682" s="1" t="str">
        <v>INV2180</v>
      </c>
      <c r="B682" s="2" t="str">
        <v>23-04-2024</v>
      </c>
      <c r="C682" s="1" t="str">
        <v>19ASDFG2468H1Z9</v>
      </c>
      <c r="D682" s="4" t="str">
        <v>Eastern Distributors</v>
      </c>
      <c r="E682" s="6">
        <v>12859.14</v>
      </c>
      <c r="F682" s="6">
        <v>1157.32</v>
      </c>
      <c r="G682" s="6">
        <v>1157.32</v>
      </c>
      <c r="H682" s="6">
        <v>15173.78</v>
      </c>
      <c r="I682" s="19" t="str">
        <v>GST</v>
      </c>
      <c r="J682" s="1" t="str">
        <f t="shared" si="30"/>
        <v>Unique</v>
      </c>
      <c r="K682" s="21" t="str">
        <f t="shared" si="31"/>
        <v/>
      </c>
      <c r="L682" s="4" t="str">
        <f>IF(COUNTIFS(A:A,A682,C:C,C682)=2,IF(K682="Mismatch","Value Mismatch","Matched"),IF(I682= "Tally","Missing in GST","Missing in Tally"))</f>
        <v>Missing in Tally</v>
      </c>
      <c r="M682" s="6" t="str">
        <f t="shared" si="32"/>
        <v/>
      </c>
    </row>
    <row r="683" spans="1:13" x14ac:dyDescent="0.2">
      <c r="A683" s="1" t="str">
        <v>INV2181</v>
      </c>
      <c r="B683" s="2" t="str">
        <v>11-04-2024</v>
      </c>
      <c r="C683" s="1" t="str">
        <v>07ZXCVB9876M1Z3</v>
      </c>
      <c r="D683" s="4" t="str">
        <v>Gupta Supplies</v>
      </c>
      <c r="E683" s="6">
        <v>39218.269999999997</v>
      </c>
      <c r="F683" s="6">
        <v>3529.64</v>
      </c>
      <c r="G683" s="6">
        <v>3529.64</v>
      </c>
      <c r="H683" s="6">
        <v>46277.55</v>
      </c>
      <c r="I683" s="19" t="str">
        <v>GST</v>
      </c>
      <c r="J683" s="1" t="str">
        <f t="shared" si="30"/>
        <v>Unique</v>
      </c>
      <c r="K683" s="21" t="str">
        <f t="shared" si="31"/>
        <v/>
      </c>
      <c r="L683" s="4" t="str">
        <f>IF(COUNTIFS(A:A,A683,C:C,C683)=2,IF(K683="Mismatch","Value Mismatch","Matched"),IF(I683= "Tally","Missing in GST","Missing in Tally"))</f>
        <v>Missing in Tally</v>
      </c>
      <c r="M683" s="6" t="str">
        <f t="shared" si="32"/>
        <v/>
      </c>
    </row>
    <row r="684" spans="1:13" x14ac:dyDescent="0.2">
      <c r="A684" s="1" t="str">
        <v>INV2182</v>
      </c>
      <c r="B684" s="2" t="str">
        <v>26-05-2024</v>
      </c>
      <c r="C684" s="1" t="str">
        <v>29PQRSX5678L1Z2</v>
      </c>
      <c r="D684" s="4" t="str">
        <v>Kiran Enterprises</v>
      </c>
      <c r="E684" s="6">
        <v>5566.15</v>
      </c>
      <c r="F684" s="6">
        <v>500.95</v>
      </c>
      <c r="G684" s="6">
        <v>500.95</v>
      </c>
      <c r="H684" s="6">
        <v>6568.05</v>
      </c>
      <c r="I684" s="19" t="str">
        <v>GST</v>
      </c>
      <c r="J684" s="1" t="str">
        <f t="shared" si="30"/>
        <v>Unique</v>
      </c>
      <c r="K684" s="21" t="str">
        <f t="shared" si="31"/>
        <v/>
      </c>
      <c r="L684" s="4" t="str">
        <f>IF(COUNTIFS(A:A,A684,C:C,C684)=2,IF(K684="Mismatch","Value Mismatch","Matched"),IF(I684= "Tally","Missing in GST","Missing in Tally"))</f>
        <v>Missing in Tally</v>
      </c>
      <c r="M684" s="6" t="str">
        <f t="shared" si="32"/>
        <v/>
      </c>
    </row>
    <row r="685" spans="1:13" x14ac:dyDescent="0.2">
      <c r="A685" s="1" t="str">
        <v>INV2183</v>
      </c>
      <c r="B685" s="2" t="str">
        <v>06-06-2024</v>
      </c>
      <c r="C685" s="1" t="str">
        <v>19ASDFG2468H1Z9</v>
      </c>
      <c r="D685" s="4" t="str">
        <v>Eastern Distributors</v>
      </c>
      <c r="E685" s="6">
        <v>30397.89</v>
      </c>
      <c r="F685" s="6">
        <v>2735.81</v>
      </c>
      <c r="G685" s="6">
        <v>2735.81</v>
      </c>
      <c r="H685" s="6">
        <v>35869.51</v>
      </c>
      <c r="I685" s="19" t="str">
        <v>GST</v>
      </c>
      <c r="J685" s="1" t="str">
        <f t="shared" si="30"/>
        <v>Unique</v>
      </c>
      <c r="K685" s="21" t="str">
        <f t="shared" si="31"/>
        <v/>
      </c>
      <c r="L685" s="4" t="str">
        <f>IF(COUNTIFS(A:A,A685,C:C,C685)=2,IF(K685="Mismatch","Value Mismatch","Matched"),IF(I685= "Tally","Missing in GST","Missing in Tally"))</f>
        <v>Missing in Tally</v>
      </c>
      <c r="M685" s="6" t="str">
        <f t="shared" si="32"/>
        <v/>
      </c>
    </row>
    <row r="686" spans="1:13" x14ac:dyDescent="0.2">
      <c r="A686" s="1" t="str">
        <v>INV2184</v>
      </c>
      <c r="B686" s="2" t="str">
        <v>22-04-2024</v>
      </c>
      <c r="C686" s="1" t="str">
        <v>19ASDFG2468H1Z9</v>
      </c>
      <c r="D686" s="4" t="str">
        <v>Eastern Distributors</v>
      </c>
      <c r="E686" s="6">
        <v>44945.52</v>
      </c>
      <c r="F686" s="6">
        <v>4045.1</v>
      </c>
      <c r="G686" s="6">
        <v>4045.1</v>
      </c>
      <c r="H686" s="6">
        <v>53035.72</v>
      </c>
      <c r="I686" s="19" t="str">
        <v>GST</v>
      </c>
      <c r="J686" s="1" t="str">
        <f t="shared" si="30"/>
        <v>Unique</v>
      </c>
      <c r="K686" s="21" t="str">
        <f t="shared" si="31"/>
        <v/>
      </c>
      <c r="L686" s="4" t="str">
        <f>IF(COUNTIFS(A:A,A686,C:C,C686)=2,IF(K686="Mismatch","Value Mismatch","Matched"),IF(I686= "Tally","Missing in GST","Missing in Tally"))</f>
        <v>Missing in Tally</v>
      </c>
      <c r="M686" s="6" t="str">
        <f t="shared" si="32"/>
        <v/>
      </c>
    </row>
    <row r="687" spans="1:13" x14ac:dyDescent="0.2">
      <c r="A687" s="1" t="str">
        <v>INV2185</v>
      </c>
      <c r="B687" s="2" t="str">
        <v>28-06-2024</v>
      </c>
      <c r="C687" s="1" t="str">
        <v>29PQRSX5678L1Z2</v>
      </c>
      <c r="D687" s="4" t="str">
        <v>Kiran Enterprises</v>
      </c>
      <c r="E687" s="6">
        <v>21298.04</v>
      </c>
      <c r="F687" s="6">
        <v>1916.82</v>
      </c>
      <c r="G687" s="6">
        <v>1916.82</v>
      </c>
      <c r="H687" s="6">
        <v>25131.68</v>
      </c>
      <c r="I687" s="19" t="str">
        <v>GST</v>
      </c>
      <c r="J687" s="1" t="str">
        <f t="shared" si="30"/>
        <v>Unique</v>
      </c>
      <c r="K687" s="21" t="str">
        <f t="shared" si="31"/>
        <v/>
      </c>
      <c r="L687" s="4" t="str">
        <f>IF(COUNTIFS(A:A,A687,C:C,C687)=2,IF(K687="Mismatch","Value Mismatch","Matched"),IF(I687= "Tally","Missing in GST","Missing in Tally"))</f>
        <v>Missing in Tally</v>
      </c>
      <c r="M687" s="6" t="str">
        <f t="shared" si="32"/>
        <v/>
      </c>
    </row>
    <row r="688" spans="1:13" x14ac:dyDescent="0.2">
      <c r="A688" s="1" t="str">
        <v>INV2186</v>
      </c>
      <c r="B688" s="2" t="str">
        <v>28-05-2024</v>
      </c>
      <c r="C688" s="1" t="str">
        <v>07ZXCVB9876M1Z3</v>
      </c>
      <c r="D688" s="4" t="str">
        <v>Gupta Supplies</v>
      </c>
      <c r="E688" s="6">
        <v>2710.67</v>
      </c>
      <c r="F688" s="6">
        <v>243.96</v>
      </c>
      <c r="G688" s="6">
        <v>243.96</v>
      </c>
      <c r="H688" s="6">
        <v>3198.59</v>
      </c>
      <c r="I688" s="19" t="str">
        <v>GST</v>
      </c>
      <c r="J688" s="1" t="str">
        <f t="shared" si="30"/>
        <v>Unique</v>
      </c>
      <c r="K688" s="21" t="str">
        <f t="shared" si="31"/>
        <v/>
      </c>
      <c r="L688" s="4" t="str">
        <f>IF(COUNTIFS(A:A,A688,C:C,C688)=2,IF(K688="Mismatch","Value Mismatch","Matched"),IF(I688= "Tally","Missing in GST","Missing in Tally"))</f>
        <v>Missing in Tally</v>
      </c>
      <c r="M688" s="6" t="str">
        <f t="shared" si="32"/>
        <v/>
      </c>
    </row>
    <row r="689" spans="1:13" x14ac:dyDescent="0.2">
      <c r="A689" s="1" t="str">
        <v>INV2187</v>
      </c>
      <c r="B689" s="2" t="str">
        <v>28-05-2024</v>
      </c>
      <c r="C689" s="1" t="str">
        <v>27ABCDE1234F1Z5</v>
      </c>
      <c r="D689" s="4" t="str">
        <v>Sharma Traders</v>
      </c>
      <c r="E689" s="6">
        <v>22278.560000000001</v>
      </c>
      <c r="F689" s="6">
        <v>2005.07</v>
      </c>
      <c r="G689" s="6">
        <v>2005.07</v>
      </c>
      <c r="H689" s="6">
        <v>26288.7</v>
      </c>
      <c r="I689" s="19" t="str">
        <v>GST</v>
      </c>
      <c r="J689" s="1" t="str">
        <f t="shared" si="30"/>
        <v>Unique</v>
      </c>
      <c r="K689" s="21" t="str">
        <f t="shared" si="31"/>
        <v/>
      </c>
      <c r="L689" s="4" t="str">
        <f>IF(COUNTIFS(A:A,A689,C:C,C689)=2,IF(K689="Mismatch","Value Mismatch","Matched"),IF(I689= "Tally","Missing in GST","Missing in Tally"))</f>
        <v>Missing in Tally</v>
      </c>
      <c r="M689" s="6" t="str">
        <f t="shared" si="32"/>
        <v/>
      </c>
    </row>
    <row r="690" spans="1:13" x14ac:dyDescent="0.2">
      <c r="A690" s="1" t="str">
        <v>INV2188</v>
      </c>
      <c r="B690" s="2" t="str">
        <v>09-04-2024</v>
      </c>
      <c r="C690" s="1" t="str">
        <v>29PQRSX5678L1Z2</v>
      </c>
      <c r="D690" s="4" t="str">
        <v>Kiran Enterprises</v>
      </c>
      <c r="E690" s="6">
        <v>16944.080000000002</v>
      </c>
      <c r="F690" s="6">
        <v>1524.97</v>
      </c>
      <c r="G690" s="6">
        <v>1524.97</v>
      </c>
      <c r="H690" s="6">
        <v>19994.02</v>
      </c>
      <c r="I690" s="19" t="str">
        <v>GST</v>
      </c>
      <c r="J690" s="1" t="str">
        <f t="shared" si="30"/>
        <v>Unique</v>
      </c>
      <c r="K690" s="21" t="str">
        <f t="shared" si="31"/>
        <v/>
      </c>
      <c r="L690" s="4" t="str">
        <f>IF(COUNTIFS(A:A,A690,C:C,C690)=2,IF(K690="Mismatch","Value Mismatch","Matched"),IF(I690= "Tally","Missing in GST","Missing in Tally"))</f>
        <v>Missing in Tally</v>
      </c>
      <c r="M690" s="6" t="str">
        <f t="shared" si="32"/>
        <v/>
      </c>
    </row>
    <row r="691" spans="1:13" x14ac:dyDescent="0.2">
      <c r="A691" s="1" t="str">
        <v>INV2189</v>
      </c>
      <c r="B691" s="2" t="str">
        <v>24-05-2024</v>
      </c>
      <c r="C691" s="1" t="str">
        <v>27ABCDE1234F1Z5</v>
      </c>
      <c r="D691" s="4" t="str">
        <v>Sharma Traders</v>
      </c>
      <c r="E691" s="6">
        <v>19914.759999999998</v>
      </c>
      <c r="F691" s="6">
        <v>1792.33</v>
      </c>
      <c r="G691" s="6">
        <v>1792.33</v>
      </c>
      <c r="H691" s="6">
        <v>23499.42</v>
      </c>
      <c r="I691" s="19" t="str">
        <v>GST</v>
      </c>
      <c r="J691" s="1" t="str">
        <f t="shared" si="30"/>
        <v>Unique</v>
      </c>
      <c r="K691" s="21" t="str">
        <f t="shared" si="31"/>
        <v/>
      </c>
      <c r="L691" s="4" t="str">
        <f>IF(COUNTIFS(A:A,A691,C:C,C691)=2,IF(K691="Mismatch","Value Mismatch","Matched"),IF(I691= "Tally","Missing in GST","Missing in Tally"))</f>
        <v>Missing in Tally</v>
      </c>
      <c r="M691" s="6" t="str">
        <f t="shared" si="32"/>
        <v/>
      </c>
    </row>
    <row r="692" spans="1:13" x14ac:dyDescent="0.2">
      <c r="A692" s="1" t="str">
        <v>INV2190</v>
      </c>
      <c r="B692" s="2" t="str">
        <v>12-06-2024</v>
      </c>
      <c r="C692" s="1" t="str">
        <v>24LMNOP4321K1Z7</v>
      </c>
      <c r="D692" s="4" t="str">
        <v>Patel Industries</v>
      </c>
      <c r="E692" s="6">
        <v>8867.15</v>
      </c>
      <c r="F692" s="6">
        <v>798.04</v>
      </c>
      <c r="G692" s="6">
        <v>798.04</v>
      </c>
      <c r="H692" s="6">
        <v>10463.23</v>
      </c>
      <c r="I692" s="19" t="str">
        <v>GST</v>
      </c>
      <c r="J692" s="1" t="str">
        <f t="shared" si="30"/>
        <v>Unique</v>
      </c>
      <c r="K692" s="21" t="str">
        <f t="shared" si="31"/>
        <v/>
      </c>
      <c r="L692" s="4" t="str">
        <f>IF(COUNTIFS(A:A,A692,C:C,C692)=2,IF(K692="Mismatch","Value Mismatch","Matched"),IF(I692= "Tally","Missing in GST","Missing in Tally"))</f>
        <v>Missing in Tally</v>
      </c>
      <c r="M692" s="6" t="str">
        <f t="shared" si="32"/>
        <v/>
      </c>
    </row>
    <row r="693" spans="1:13" x14ac:dyDescent="0.2">
      <c r="A693" s="1" t="str">
        <v>INV2191</v>
      </c>
      <c r="B693" s="2" t="str">
        <v>02-04-2024</v>
      </c>
      <c r="C693" s="1" t="str">
        <v>27ABCDE1234F1Z5</v>
      </c>
      <c r="D693" s="4" t="str">
        <v>Sharma Traders</v>
      </c>
      <c r="E693" s="6">
        <v>47784.74</v>
      </c>
      <c r="F693" s="6">
        <v>4300.63</v>
      </c>
      <c r="G693" s="6">
        <v>4300.63</v>
      </c>
      <c r="H693" s="6">
        <v>56386</v>
      </c>
      <c r="I693" s="19" t="str">
        <v>GST</v>
      </c>
      <c r="J693" s="1" t="str">
        <f t="shared" si="30"/>
        <v>Unique</v>
      </c>
      <c r="K693" s="21" t="str">
        <f t="shared" si="31"/>
        <v/>
      </c>
      <c r="L693" s="4" t="str">
        <f>IF(COUNTIFS(A:A,A693,C:C,C693)=2,IF(K693="Mismatch","Value Mismatch","Matched"),IF(I693= "Tally","Missing in GST","Missing in Tally"))</f>
        <v>Missing in Tally</v>
      </c>
      <c r="M693" s="6" t="str">
        <f t="shared" si="32"/>
        <v/>
      </c>
    </row>
    <row r="694" spans="1:13" x14ac:dyDescent="0.2">
      <c r="A694" s="1" t="str">
        <v>INV2192</v>
      </c>
      <c r="B694" s="2" t="str">
        <v>01-05-2024</v>
      </c>
      <c r="C694" s="1" t="str">
        <v>29PQRSX5678L1Z2</v>
      </c>
      <c r="D694" s="4" t="str">
        <v>Kiran Enterprises</v>
      </c>
      <c r="E694" s="6">
        <v>6246.77</v>
      </c>
      <c r="F694" s="6">
        <v>562.21</v>
      </c>
      <c r="G694" s="6">
        <v>562.21</v>
      </c>
      <c r="H694" s="6">
        <v>7371.19</v>
      </c>
      <c r="I694" s="19" t="str">
        <v>GST</v>
      </c>
      <c r="J694" s="1" t="str">
        <f t="shared" si="30"/>
        <v>Unique</v>
      </c>
      <c r="K694" s="21" t="str">
        <f t="shared" si="31"/>
        <v/>
      </c>
      <c r="L694" s="4" t="str">
        <f>IF(COUNTIFS(A:A,A694,C:C,C694)=2,IF(K694="Mismatch","Value Mismatch","Matched"),IF(I694= "Tally","Missing in GST","Missing in Tally"))</f>
        <v>Missing in Tally</v>
      </c>
      <c r="M694" s="6" t="str">
        <f t="shared" si="32"/>
        <v/>
      </c>
    </row>
    <row r="695" spans="1:13" x14ac:dyDescent="0.2">
      <c r="A695" s="1" t="str">
        <v>INV2193</v>
      </c>
      <c r="B695" s="2" t="str">
        <v>08-05-2024</v>
      </c>
      <c r="C695" s="1" t="str">
        <v>19ASDFG2468H1Z9</v>
      </c>
      <c r="D695" s="4" t="str">
        <v>Eastern Distributors</v>
      </c>
      <c r="E695" s="6">
        <v>36382.6</v>
      </c>
      <c r="F695" s="6">
        <v>3274.43</v>
      </c>
      <c r="G695" s="6">
        <v>3274.43</v>
      </c>
      <c r="H695" s="6">
        <v>42931.46</v>
      </c>
      <c r="I695" s="19" t="str">
        <v>GST</v>
      </c>
      <c r="J695" s="1" t="str">
        <f t="shared" si="30"/>
        <v>Unique</v>
      </c>
      <c r="K695" s="21" t="str">
        <f t="shared" si="31"/>
        <v/>
      </c>
      <c r="L695" s="4" t="str">
        <f>IF(COUNTIFS(A:A,A695,C:C,C695)=2,IF(K695="Mismatch","Value Mismatch","Matched"),IF(I695= "Tally","Missing in GST","Missing in Tally"))</f>
        <v>Missing in Tally</v>
      </c>
      <c r="M695" s="6" t="str">
        <f t="shared" si="32"/>
        <v/>
      </c>
    </row>
    <row r="696" spans="1:13" x14ac:dyDescent="0.2">
      <c r="A696" s="1" t="str">
        <v>INV2194</v>
      </c>
      <c r="B696" s="2" t="str">
        <v>30-04-2024</v>
      </c>
      <c r="C696" s="1" t="str">
        <v>27ABCDE1234F1Z5</v>
      </c>
      <c r="D696" s="4" t="str">
        <v>Sharma Traders</v>
      </c>
      <c r="E696" s="6">
        <v>29084.32</v>
      </c>
      <c r="F696" s="6">
        <v>2617.59</v>
      </c>
      <c r="G696" s="6">
        <v>2617.59</v>
      </c>
      <c r="H696" s="6">
        <v>34319.5</v>
      </c>
      <c r="I696" s="19" t="str">
        <v>GST</v>
      </c>
      <c r="J696" s="1" t="str">
        <f t="shared" si="30"/>
        <v>Unique</v>
      </c>
      <c r="K696" s="21" t="str">
        <f t="shared" si="31"/>
        <v/>
      </c>
      <c r="L696" s="4" t="str">
        <f>IF(COUNTIFS(A:A,A696,C:C,C696)=2,IF(K696="Mismatch","Value Mismatch","Matched"),IF(I696= "Tally","Missing in GST","Missing in Tally"))</f>
        <v>Missing in Tally</v>
      </c>
      <c r="M696" s="6" t="str">
        <f t="shared" si="32"/>
        <v/>
      </c>
    </row>
    <row r="697" spans="1:13" x14ac:dyDescent="0.2">
      <c r="A697" s="1" t="str">
        <v>INV2195</v>
      </c>
      <c r="B697" s="2" t="str">
        <v>22-04-2024</v>
      </c>
      <c r="C697" s="1" t="str">
        <v>29PQRSX5678L1Z2</v>
      </c>
      <c r="D697" s="4" t="str">
        <v>Kiran Enterprises</v>
      </c>
      <c r="E697" s="6">
        <v>47956.98</v>
      </c>
      <c r="F697" s="6">
        <v>4316.13</v>
      </c>
      <c r="G697" s="6">
        <v>4316.13</v>
      </c>
      <c r="H697" s="6">
        <v>56589.24</v>
      </c>
      <c r="I697" s="19" t="str">
        <v>GST</v>
      </c>
      <c r="J697" s="1" t="str">
        <f t="shared" si="30"/>
        <v>Unique</v>
      </c>
      <c r="K697" s="21" t="str">
        <f t="shared" si="31"/>
        <v/>
      </c>
      <c r="L697" s="4" t="str">
        <f>IF(COUNTIFS(A:A,A697,C:C,C697)=2,IF(K697="Mismatch","Value Mismatch","Matched"),IF(I697= "Tally","Missing in GST","Missing in Tally"))</f>
        <v>Missing in Tally</v>
      </c>
      <c r="M697" s="6" t="str">
        <f t="shared" si="32"/>
        <v/>
      </c>
    </row>
    <row r="698" spans="1:13" x14ac:dyDescent="0.2">
      <c r="A698" s="1" t="str">
        <v>INV2196</v>
      </c>
      <c r="B698" s="2" t="str">
        <v>13-04-2024</v>
      </c>
      <c r="C698" s="1" t="str">
        <v>07ZXCVB9876M1Z3</v>
      </c>
      <c r="D698" s="4" t="str">
        <v>Gupta Supplies</v>
      </c>
      <c r="E698" s="6">
        <v>10966.45</v>
      </c>
      <c r="F698" s="6">
        <v>986.98</v>
      </c>
      <c r="G698" s="6">
        <v>986.98</v>
      </c>
      <c r="H698" s="6">
        <v>12940.41</v>
      </c>
      <c r="I698" s="19" t="str">
        <v>GST</v>
      </c>
      <c r="J698" s="1" t="str">
        <f t="shared" si="30"/>
        <v>Unique</v>
      </c>
      <c r="K698" s="21" t="str">
        <f t="shared" si="31"/>
        <v/>
      </c>
      <c r="L698" s="4" t="str">
        <f>IF(COUNTIFS(A:A,A698,C:C,C698)=2,IF(K698="Mismatch","Value Mismatch","Matched"),IF(I698= "Tally","Missing in GST","Missing in Tally"))</f>
        <v>Missing in Tally</v>
      </c>
      <c r="M698" s="6" t="str">
        <f t="shared" si="32"/>
        <v/>
      </c>
    </row>
    <row r="699" spans="1:13" x14ac:dyDescent="0.2">
      <c r="A699" s="1" t="str">
        <v>INV2197</v>
      </c>
      <c r="B699" s="2" t="str">
        <v>18-06-2024</v>
      </c>
      <c r="C699" s="1" t="str">
        <v>24LMNOP4321K1Z7</v>
      </c>
      <c r="D699" s="4" t="str">
        <v>Patel Industries</v>
      </c>
      <c r="E699" s="6">
        <v>40255.08</v>
      </c>
      <c r="F699" s="6">
        <v>3622.96</v>
      </c>
      <c r="G699" s="6">
        <v>3622.96</v>
      </c>
      <c r="H699" s="6">
        <v>47501</v>
      </c>
      <c r="I699" s="19" t="str">
        <v>GST</v>
      </c>
      <c r="J699" s="1" t="str">
        <f t="shared" si="30"/>
        <v>Unique</v>
      </c>
      <c r="K699" s="21" t="str">
        <f t="shared" si="31"/>
        <v/>
      </c>
      <c r="L699" s="4" t="str">
        <f>IF(COUNTIFS(A:A,A699,C:C,C699)=2,IF(K699="Mismatch","Value Mismatch","Matched"),IF(I699= "Tally","Missing in GST","Missing in Tally"))</f>
        <v>Missing in Tally</v>
      </c>
      <c r="M699" s="6" t="str">
        <f t="shared" si="32"/>
        <v/>
      </c>
    </row>
    <row r="700" spans="1:13" x14ac:dyDescent="0.2">
      <c r="A700" s="1" t="str">
        <v>INV2198</v>
      </c>
      <c r="B700" s="2" t="str">
        <v>24-06-2024</v>
      </c>
      <c r="C700" s="1" t="str">
        <v>27ABCDE1234F1Z5</v>
      </c>
      <c r="D700" s="4" t="str">
        <v>Sharma Traders</v>
      </c>
      <c r="E700" s="6">
        <v>22285.42</v>
      </c>
      <c r="F700" s="6">
        <v>2005.69</v>
      </c>
      <c r="G700" s="6">
        <v>2005.69</v>
      </c>
      <c r="H700" s="6">
        <v>26296.799999999999</v>
      </c>
      <c r="I700" s="19" t="str">
        <v>GST</v>
      </c>
      <c r="J700" s="1" t="str">
        <f t="shared" si="30"/>
        <v>Unique</v>
      </c>
      <c r="K700" s="21" t="str">
        <f t="shared" si="31"/>
        <v/>
      </c>
      <c r="L700" s="4" t="str">
        <f>IF(COUNTIFS(A:A,A700,C:C,C700)=2,IF(K700="Mismatch","Value Mismatch","Matched"),IF(I700= "Tally","Missing in GST","Missing in Tally"))</f>
        <v>Missing in Tally</v>
      </c>
      <c r="M700" s="6" t="str">
        <f t="shared" si="32"/>
        <v/>
      </c>
    </row>
    <row r="701" spans="1:13" x14ac:dyDescent="0.2">
      <c r="A701" s="1" t="str">
        <v>INV2199</v>
      </c>
      <c r="B701" s="2" t="str">
        <v>04-06-2024</v>
      </c>
      <c r="C701" s="1" t="str">
        <v>19ASDFG2468H1Z9</v>
      </c>
      <c r="D701" s="4" t="str">
        <v>Eastern Distributors</v>
      </c>
      <c r="E701" s="6">
        <v>27130.82</v>
      </c>
      <c r="F701" s="6">
        <v>2441.77</v>
      </c>
      <c r="G701" s="6">
        <v>2441.77</v>
      </c>
      <c r="H701" s="6">
        <v>32014.36</v>
      </c>
      <c r="I701" s="19" t="str">
        <v>GST</v>
      </c>
      <c r="J701" s="1" t="str">
        <f t="shared" si="30"/>
        <v>Unique</v>
      </c>
      <c r="K701" s="21" t="str">
        <f t="shared" si="31"/>
        <v/>
      </c>
      <c r="L701" s="4" t="str">
        <f>IF(COUNTIFS(A:A,A701,C:C,C701)=2,IF(K701="Mismatch","Value Mismatch","Matched"),IF(I701= "Tally","Missing in GST","Missing in Tally"))</f>
        <v>Missing in Tally</v>
      </c>
      <c r="M701" s="6" t="str">
        <f t="shared" si="32"/>
        <v/>
      </c>
    </row>
    <row r="702" spans="1:13" x14ac:dyDescent="0.2">
      <c r="A702" s="1" t="str">
        <v>INV2200</v>
      </c>
      <c r="B702" s="2" t="str">
        <v>07-05-2024</v>
      </c>
      <c r="C702" s="1" t="str">
        <v>27ABCDE1234F1Z5</v>
      </c>
      <c r="D702" s="4" t="str">
        <v>Sharma Traders</v>
      </c>
      <c r="E702" s="6">
        <v>13626.48</v>
      </c>
      <c r="F702" s="6">
        <v>1226.3800000000001</v>
      </c>
      <c r="G702" s="6">
        <v>1226.3800000000001</v>
      </c>
      <c r="H702" s="6">
        <v>16079.24</v>
      </c>
      <c r="I702" s="19" t="str">
        <v>GST</v>
      </c>
      <c r="J702" s="1" t="str">
        <f t="shared" si="30"/>
        <v>Unique</v>
      </c>
      <c r="K702" s="21" t="str">
        <f t="shared" si="31"/>
        <v/>
      </c>
      <c r="L702" s="4" t="str">
        <f>IF(COUNTIFS(A:A,A702,C:C,C702)=2,IF(K702="Mismatch","Value Mismatch","Matched"),IF(I702= "Tally","Missing in GST","Missing in Tally"))</f>
        <v>Missing in Tally</v>
      </c>
      <c r="M702" s="6" t="str">
        <f t="shared" si="32"/>
        <v/>
      </c>
    </row>
    <row r="703" spans="1:13" x14ac:dyDescent="0.2">
      <c r="A703" s="1" t="str">
        <v>INV2201</v>
      </c>
      <c r="B703" s="2" t="str">
        <v>21-06-2024</v>
      </c>
      <c r="C703" s="1" t="str">
        <v>19ASDFG2468H1Z9</v>
      </c>
      <c r="D703" s="4" t="str">
        <v>Eastern Distributors</v>
      </c>
      <c r="E703" s="6">
        <v>14404.04</v>
      </c>
      <c r="F703" s="6">
        <v>1296.3599999999999</v>
      </c>
      <c r="G703" s="6">
        <v>1296.3599999999999</v>
      </c>
      <c r="H703" s="6">
        <v>16996.759999999998</v>
      </c>
      <c r="I703" s="19" t="str">
        <v>GST</v>
      </c>
      <c r="J703" s="1" t="str">
        <f t="shared" si="30"/>
        <v>Unique</v>
      </c>
      <c r="K703" s="21" t="str">
        <f t="shared" si="31"/>
        <v/>
      </c>
      <c r="L703" s="4" t="str">
        <f>IF(COUNTIFS(A:A,A703,C:C,C703)=2,IF(K703="Mismatch","Value Mismatch","Matched"),IF(I703= "Tally","Missing in GST","Missing in Tally"))</f>
        <v>Missing in Tally</v>
      </c>
      <c r="M703" s="6" t="str">
        <f t="shared" si="32"/>
        <v/>
      </c>
    </row>
    <row r="704" spans="1:13" x14ac:dyDescent="0.2">
      <c r="A704" s="1" t="str">
        <v>INV2202</v>
      </c>
      <c r="B704" s="2" t="str">
        <v>22-06-2024</v>
      </c>
      <c r="C704" s="1" t="str">
        <v>29PQRSX5678L1Z2</v>
      </c>
      <c r="D704" s="4" t="str">
        <v>Kiran Enterprises</v>
      </c>
      <c r="E704" s="6">
        <v>4501.1899999999996</v>
      </c>
      <c r="F704" s="6">
        <v>405.11</v>
      </c>
      <c r="G704" s="6">
        <v>405.11</v>
      </c>
      <c r="H704" s="6">
        <v>5311.41</v>
      </c>
      <c r="I704" s="19" t="str">
        <v>GST</v>
      </c>
      <c r="J704" s="1" t="str">
        <f t="shared" si="30"/>
        <v>Unique</v>
      </c>
      <c r="K704" s="21" t="str">
        <f t="shared" si="31"/>
        <v/>
      </c>
      <c r="L704" s="4" t="str">
        <f>IF(COUNTIFS(A:A,A704,C:C,C704)=2,IF(K704="Mismatch","Value Mismatch","Matched"),IF(I704= "Tally","Missing in GST","Missing in Tally"))</f>
        <v>Missing in Tally</v>
      </c>
      <c r="M704" s="6" t="str">
        <f t="shared" si="32"/>
        <v/>
      </c>
    </row>
    <row r="705" spans="1:13" x14ac:dyDescent="0.2">
      <c r="A705" s="1" t="str">
        <v>INV2203</v>
      </c>
      <c r="B705" s="2" t="str">
        <v>23-06-2024</v>
      </c>
      <c r="C705" s="1" t="str">
        <v>27ABCDE1234F1Z5</v>
      </c>
      <c r="D705" s="4" t="str">
        <v>Sharma Traders</v>
      </c>
      <c r="E705" s="6">
        <v>28423.98</v>
      </c>
      <c r="F705" s="6">
        <v>2558.16</v>
      </c>
      <c r="G705" s="6">
        <v>2558.16</v>
      </c>
      <c r="H705" s="6">
        <v>33540.300000000003</v>
      </c>
      <c r="I705" s="19" t="str">
        <v>GST</v>
      </c>
      <c r="J705" s="1" t="str">
        <f t="shared" si="30"/>
        <v>Unique</v>
      </c>
      <c r="K705" s="21" t="str">
        <f t="shared" si="31"/>
        <v/>
      </c>
      <c r="L705" s="4" t="str">
        <f>IF(COUNTIFS(A:A,A705,C:C,C705)=2,IF(K705="Mismatch","Value Mismatch","Matched"),IF(I705= "Tally","Missing in GST","Missing in Tally"))</f>
        <v>Missing in Tally</v>
      </c>
      <c r="M705" s="6" t="str">
        <f t="shared" si="32"/>
        <v/>
      </c>
    </row>
    <row r="706" spans="1:13" x14ac:dyDescent="0.2">
      <c r="A706" s="1" t="str">
        <v>INV2204</v>
      </c>
      <c r="B706" s="2" t="str">
        <v>29-06-2024</v>
      </c>
      <c r="C706" s="1" t="str">
        <v>29PQRSX5678L1Z2</v>
      </c>
      <c r="D706" s="4" t="str">
        <v>Kiran Enterprises</v>
      </c>
      <c r="E706" s="6">
        <v>37182.54</v>
      </c>
      <c r="F706" s="6">
        <v>3346.43</v>
      </c>
      <c r="G706" s="6">
        <v>3346.43</v>
      </c>
      <c r="H706" s="6">
        <v>43875.4</v>
      </c>
      <c r="I706" s="19" t="str">
        <v>GST</v>
      </c>
      <c r="J706" s="1" t="str">
        <f t="shared" si="30"/>
        <v>Unique</v>
      </c>
      <c r="K706" s="21" t="str">
        <f t="shared" si="31"/>
        <v/>
      </c>
      <c r="L706" s="4" t="str">
        <f>IF(COUNTIFS(A:A,A706,C:C,C706)=2,IF(K706="Mismatch","Value Mismatch","Matched"),IF(I706= "Tally","Missing in GST","Missing in Tally"))</f>
        <v>Missing in Tally</v>
      </c>
      <c r="M706" s="6" t="str">
        <f t="shared" si="32"/>
        <v/>
      </c>
    </row>
    <row r="707" spans="1:13" x14ac:dyDescent="0.2">
      <c r="A707" s="1" t="str">
        <v>INV2205</v>
      </c>
      <c r="B707" s="2" t="str">
        <v>24-04-2024</v>
      </c>
      <c r="C707" s="1" t="str">
        <v>24LMNOP4321K1Z7</v>
      </c>
      <c r="D707" s="4" t="str">
        <v>Patel Industries</v>
      </c>
      <c r="E707" s="6">
        <v>3435.59</v>
      </c>
      <c r="F707" s="6">
        <v>309.2</v>
      </c>
      <c r="G707" s="6">
        <v>309.2</v>
      </c>
      <c r="H707" s="6">
        <v>4053.99</v>
      </c>
      <c r="I707" s="19" t="str">
        <v>GST</v>
      </c>
      <c r="J707" s="1" t="str">
        <f t="shared" ref="J707:J770" si="33">IF(COUNTIFS(A:A,A707,D:D,D707,I:I,I707)&gt;1,"Duplicate","Unique")</f>
        <v>Unique</v>
      </c>
      <c r="K707" s="21" t="str">
        <f t="shared" ref="K707:K770" si="34">IF(COUNTIFS(A:A,A707,C:C,C707)=2,IF(SUMIFS(E:E,A:A,A707,C:C,C707)&lt;&gt;E707*2,"Mismatch","Matched"),"")</f>
        <v/>
      </c>
      <c r="L707" s="4" t="str">
        <f>IF(COUNTIFS(A:A,A707,C:C,C707)=2,IF(K707="Mismatch","Value Mismatch","Matched"),IF(I707= "Tally","Missing in GST","Missing in Tally"))</f>
        <v>Missing in Tally</v>
      </c>
      <c r="M707" s="6" t="str">
        <f t="shared" ref="M707:M770" si="35">IF(COUNTIFS(A:A,A707,C:C,C707)=2,SUMIFS(E:E,A:A,A707,C:C,C707)-E707*2,"")</f>
        <v/>
      </c>
    </row>
    <row r="708" spans="1:13" x14ac:dyDescent="0.2">
      <c r="A708" s="1" t="str">
        <v>INV2206</v>
      </c>
      <c r="B708" s="2" t="str">
        <v>18-04-2024</v>
      </c>
      <c r="C708" s="1" t="str">
        <v>19ASDFG2468H1Z9</v>
      </c>
      <c r="D708" s="4" t="str">
        <v>Eastern Distributors</v>
      </c>
      <c r="E708" s="6">
        <v>7376.64</v>
      </c>
      <c r="F708" s="6">
        <v>663.9</v>
      </c>
      <c r="G708" s="6">
        <v>663.9</v>
      </c>
      <c r="H708" s="6">
        <v>8704.44</v>
      </c>
      <c r="I708" s="19" t="str">
        <v>GST</v>
      </c>
      <c r="J708" s="1" t="str">
        <f t="shared" si="33"/>
        <v>Unique</v>
      </c>
      <c r="K708" s="21" t="str">
        <f t="shared" si="34"/>
        <v/>
      </c>
      <c r="L708" s="4" t="str">
        <f>IF(COUNTIFS(A:A,A708,C:C,C708)=2,IF(K708="Mismatch","Value Mismatch","Matched"),IF(I708= "Tally","Missing in GST","Missing in Tally"))</f>
        <v>Missing in Tally</v>
      </c>
      <c r="M708" s="6" t="str">
        <f t="shared" si="35"/>
        <v/>
      </c>
    </row>
    <row r="709" spans="1:13" x14ac:dyDescent="0.2">
      <c r="A709" s="1" t="str">
        <v>INV2207</v>
      </c>
      <c r="B709" s="2" t="str">
        <v>19-04-2024</v>
      </c>
      <c r="C709" s="1" t="str">
        <v>19ASDFG2468H1Z9</v>
      </c>
      <c r="D709" s="4" t="str">
        <v>Eastern Distributors</v>
      </c>
      <c r="E709" s="6">
        <v>10471.950000000001</v>
      </c>
      <c r="F709" s="6">
        <v>942.48</v>
      </c>
      <c r="G709" s="6">
        <v>942.48</v>
      </c>
      <c r="H709" s="6">
        <v>12356.91</v>
      </c>
      <c r="I709" s="19" t="str">
        <v>GST</v>
      </c>
      <c r="J709" s="1" t="str">
        <f t="shared" si="33"/>
        <v>Unique</v>
      </c>
      <c r="K709" s="21" t="str">
        <f t="shared" si="34"/>
        <v/>
      </c>
      <c r="L709" s="4" t="str">
        <f>IF(COUNTIFS(A:A,A709,C:C,C709)=2,IF(K709="Mismatch","Value Mismatch","Matched"),IF(I709= "Tally","Missing in GST","Missing in Tally"))</f>
        <v>Missing in Tally</v>
      </c>
      <c r="M709" s="6" t="str">
        <f t="shared" si="35"/>
        <v/>
      </c>
    </row>
    <row r="710" spans="1:13" x14ac:dyDescent="0.2">
      <c r="A710" s="1" t="str">
        <v>INV2208</v>
      </c>
      <c r="B710" s="2" t="str">
        <v>26-05-2024</v>
      </c>
      <c r="C710" s="1" t="str">
        <v>27ABCDE1234F1Z5</v>
      </c>
      <c r="D710" s="4" t="str">
        <v>Sharma Traders</v>
      </c>
      <c r="E710" s="6">
        <v>38892.959999999999</v>
      </c>
      <c r="F710" s="6">
        <v>3500.37</v>
      </c>
      <c r="G710" s="6">
        <v>3500.37</v>
      </c>
      <c r="H710" s="6">
        <v>45893.7</v>
      </c>
      <c r="I710" s="19" t="str">
        <v>GST</v>
      </c>
      <c r="J710" s="1" t="str">
        <f t="shared" si="33"/>
        <v>Unique</v>
      </c>
      <c r="K710" s="21" t="str">
        <f t="shared" si="34"/>
        <v/>
      </c>
      <c r="L710" s="4" t="str">
        <f>IF(COUNTIFS(A:A,A710,C:C,C710)=2,IF(K710="Mismatch","Value Mismatch","Matched"),IF(I710= "Tally","Missing in GST","Missing in Tally"))</f>
        <v>Missing in Tally</v>
      </c>
      <c r="M710" s="6" t="str">
        <f t="shared" si="35"/>
        <v/>
      </c>
    </row>
    <row r="711" spans="1:13" x14ac:dyDescent="0.2">
      <c r="A711" s="1" t="str">
        <v>INV2209</v>
      </c>
      <c r="B711" s="2" t="str">
        <v>29-05-2024</v>
      </c>
      <c r="C711" s="1" t="str">
        <v>27ABCDE1234F1Z5</v>
      </c>
      <c r="D711" s="4" t="str">
        <v>Sharma Traders</v>
      </c>
      <c r="E711" s="6">
        <v>44253.07</v>
      </c>
      <c r="F711" s="6">
        <v>3982.78</v>
      </c>
      <c r="G711" s="6">
        <v>3982.78</v>
      </c>
      <c r="H711" s="6">
        <v>52218.63</v>
      </c>
      <c r="I711" s="19" t="str">
        <v>GST</v>
      </c>
      <c r="J711" s="1" t="str">
        <f t="shared" si="33"/>
        <v>Unique</v>
      </c>
      <c r="K711" s="21" t="str">
        <f t="shared" si="34"/>
        <v/>
      </c>
      <c r="L711" s="4" t="str">
        <f>IF(COUNTIFS(A:A,A711,C:C,C711)=2,IF(K711="Mismatch","Value Mismatch","Matched"),IF(I711= "Tally","Missing in GST","Missing in Tally"))</f>
        <v>Missing in Tally</v>
      </c>
      <c r="M711" s="6" t="str">
        <f t="shared" si="35"/>
        <v/>
      </c>
    </row>
    <row r="712" spans="1:13" x14ac:dyDescent="0.2">
      <c r="A712" s="1" t="str">
        <v>INV2210</v>
      </c>
      <c r="B712" s="2" t="str">
        <v>16-04-2024</v>
      </c>
      <c r="C712" s="1" t="str">
        <v>19ASDFG2468H1Z9</v>
      </c>
      <c r="D712" s="4" t="str">
        <v>Eastern Distributors</v>
      </c>
      <c r="E712" s="6">
        <v>43501.72</v>
      </c>
      <c r="F712" s="6">
        <v>3915.15</v>
      </c>
      <c r="G712" s="6">
        <v>3915.15</v>
      </c>
      <c r="H712" s="6">
        <v>51332.02</v>
      </c>
      <c r="I712" s="19" t="str">
        <v>GST</v>
      </c>
      <c r="J712" s="1" t="str">
        <f t="shared" si="33"/>
        <v>Unique</v>
      </c>
      <c r="K712" s="21" t="str">
        <f t="shared" si="34"/>
        <v/>
      </c>
      <c r="L712" s="4" t="str">
        <f>IF(COUNTIFS(A:A,A712,C:C,C712)=2,IF(K712="Mismatch","Value Mismatch","Matched"),IF(I712= "Tally","Missing in GST","Missing in Tally"))</f>
        <v>Missing in Tally</v>
      </c>
      <c r="M712" s="6" t="str">
        <f t="shared" si="35"/>
        <v/>
      </c>
    </row>
    <row r="713" spans="1:13" x14ac:dyDescent="0.2">
      <c r="A713" s="1" t="str">
        <v>INV2211</v>
      </c>
      <c r="B713" s="2" t="str">
        <v>19-05-2024</v>
      </c>
      <c r="C713" s="1" t="str">
        <v>27ABCDE1234F1Z5</v>
      </c>
      <c r="D713" s="4" t="str">
        <v>Sharma Traders</v>
      </c>
      <c r="E713" s="6">
        <v>44660.6</v>
      </c>
      <c r="F713" s="6">
        <v>4019.45</v>
      </c>
      <c r="G713" s="6">
        <v>4019.45</v>
      </c>
      <c r="H713" s="6">
        <v>52699.5</v>
      </c>
      <c r="I713" s="19" t="str">
        <v>GST</v>
      </c>
      <c r="J713" s="1" t="str">
        <f t="shared" si="33"/>
        <v>Unique</v>
      </c>
      <c r="K713" s="21" t="str">
        <f t="shared" si="34"/>
        <v/>
      </c>
      <c r="L713" s="4" t="str">
        <f>IF(COUNTIFS(A:A,A713,C:C,C713)=2,IF(K713="Mismatch","Value Mismatch","Matched"),IF(I713= "Tally","Missing in GST","Missing in Tally"))</f>
        <v>Missing in Tally</v>
      </c>
      <c r="M713" s="6" t="str">
        <f t="shared" si="35"/>
        <v/>
      </c>
    </row>
    <row r="714" spans="1:13" x14ac:dyDescent="0.2">
      <c r="A714" s="1" t="str">
        <v>INV2212</v>
      </c>
      <c r="B714" s="2" t="str">
        <v>08-06-2024</v>
      </c>
      <c r="C714" s="1" t="str">
        <v>29PQRSX5678L1Z2</v>
      </c>
      <c r="D714" s="4" t="str">
        <v>Kiran Enterprises</v>
      </c>
      <c r="E714" s="6">
        <v>3935.28</v>
      </c>
      <c r="F714" s="6">
        <v>354.18</v>
      </c>
      <c r="G714" s="6">
        <v>354.18</v>
      </c>
      <c r="H714" s="6">
        <v>4643.6400000000003</v>
      </c>
      <c r="I714" s="19" t="str">
        <v>GST</v>
      </c>
      <c r="J714" s="1" t="str">
        <f t="shared" si="33"/>
        <v>Unique</v>
      </c>
      <c r="K714" s="21" t="str">
        <f t="shared" si="34"/>
        <v/>
      </c>
      <c r="L714" s="4" t="str">
        <f>IF(COUNTIFS(A:A,A714,C:C,C714)=2,IF(K714="Mismatch","Value Mismatch","Matched"),IF(I714= "Tally","Missing in GST","Missing in Tally"))</f>
        <v>Missing in Tally</v>
      </c>
      <c r="M714" s="6" t="str">
        <f t="shared" si="35"/>
        <v/>
      </c>
    </row>
    <row r="715" spans="1:13" x14ac:dyDescent="0.2">
      <c r="A715" s="1" t="str">
        <v>INV2213</v>
      </c>
      <c r="B715" s="2" t="str">
        <v>23-06-2024</v>
      </c>
      <c r="C715" s="1" t="str">
        <v>19ASDFG2468H1Z9</v>
      </c>
      <c r="D715" s="4" t="str">
        <v>Eastern Distributors</v>
      </c>
      <c r="E715" s="6">
        <v>31254.55</v>
      </c>
      <c r="F715" s="6">
        <v>2812.91</v>
      </c>
      <c r="G715" s="6">
        <v>2812.91</v>
      </c>
      <c r="H715" s="6">
        <v>36880.370000000003</v>
      </c>
      <c r="I715" s="19" t="str">
        <v>GST</v>
      </c>
      <c r="J715" s="1" t="str">
        <f t="shared" si="33"/>
        <v>Unique</v>
      </c>
      <c r="K715" s="21" t="str">
        <f t="shared" si="34"/>
        <v/>
      </c>
      <c r="L715" s="4" t="str">
        <f>IF(COUNTIFS(A:A,A715,C:C,C715)=2,IF(K715="Mismatch","Value Mismatch","Matched"),IF(I715= "Tally","Missing in GST","Missing in Tally"))</f>
        <v>Missing in Tally</v>
      </c>
      <c r="M715" s="6" t="str">
        <f t="shared" si="35"/>
        <v/>
      </c>
    </row>
    <row r="716" spans="1:13" x14ac:dyDescent="0.2">
      <c r="A716" s="1" t="str">
        <v>INV2214</v>
      </c>
      <c r="B716" s="2" t="str">
        <v>18-06-2024</v>
      </c>
      <c r="C716" s="1" t="str">
        <v>29PQRSX5678L1Z2</v>
      </c>
      <c r="D716" s="4" t="str">
        <v>Kiran Enterprises</v>
      </c>
      <c r="E716" s="6">
        <v>13908.57</v>
      </c>
      <c r="F716" s="6">
        <v>1251.77</v>
      </c>
      <c r="G716" s="6">
        <v>1251.77</v>
      </c>
      <c r="H716" s="6">
        <v>16412.11</v>
      </c>
      <c r="I716" s="19" t="str">
        <v>GST</v>
      </c>
      <c r="J716" s="1" t="str">
        <f t="shared" si="33"/>
        <v>Unique</v>
      </c>
      <c r="K716" s="21" t="str">
        <f t="shared" si="34"/>
        <v/>
      </c>
      <c r="L716" s="4" t="str">
        <f>IF(COUNTIFS(A:A,A716,C:C,C716)=2,IF(K716="Mismatch","Value Mismatch","Matched"),IF(I716= "Tally","Missing in GST","Missing in Tally"))</f>
        <v>Missing in Tally</v>
      </c>
      <c r="M716" s="6" t="str">
        <f t="shared" si="35"/>
        <v/>
      </c>
    </row>
    <row r="717" spans="1:13" x14ac:dyDescent="0.2">
      <c r="A717" s="1" t="str">
        <v>INV2215</v>
      </c>
      <c r="B717" s="2" t="str">
        <v>08-04-2024</v>
      </c>
      <c r="C717" s="1" t="str">
        <v>19ASDFG2468H1Z9</v>
      </c>
      <c r="D717" s="4" t="str">
        <v>Eastern Distributors</v>
      </c>
      <c r="E717" s="6">
        <v>22519.97</v>
      </c>
      <c r="F717" s="6">
        <v>2026.8</v>
      </c>
      <c r="G717" s="6">
        <v>2026.8</v>
      </c>
      <c r="H717" s="6">
        <v>26573.57</v>
      </c>
      <c r="I717" s="19" t="str">
        <v>GST</v>
      </c>
      <c r="J717" s="1" t="str">
        <f t="shared" si="33"/>
        <v>Unique</v>
      </c>
      <c r="K717" s="21" t="str">
        <f t="shared" si="34"/>
        <v/>
      </c>
      <c r="L717" s="4" t="str">
        <f>IF(COUNTIFS(A:A,A717,C:C,C717)=2,IF(K717="Mismatch","Value Mismatch","Matched"),IF(I717= "Tally","Missing in GST","Missing in Tally"))</f>
        <v>Missing in Tally</v>
      </c>
      <c r="M717" s="6" t="str">
        <f t="shared" si="35"/>
        <v/>
      </c>
    </row>
    <row r="718" spans="1:13" x14ac:dyDescent="0.2">
      <c r="A718" s="1" t="str">
        <v>INV2216</v>
      </c>
      <c r="B718" s="2" t="str">
        <v>29-06-2024</v>
      </c>
      <c r="C718" s="1" t="str">
        <v>19ASDFG2468H1Z9</v>
      </c>
      <c r="D718" s="4" t="str">
        <v>Eastern Distributors</v>
      </c>
      <c r="E718" s="6">
        <v>16195.6</v>
      </c>
      <c r="F718" s="6">
        <v>1457.6</v>
      </c>
      <c r="G718" s="6">
        <v>1457.6</v>
      </c>
      <c r="H718" s="6">
        <v>19110.8</v>
      </c>
      <c r="I718" s="19" t="str">
        <v>GST</v>
      </c>
      <c r="J718" s="1" t="str">
        <f t="shared" si="33"/>
        <v>Unique</v>
      </c>
      <c r="K718" s="21" t="str">
        <f t="shared" si="34"/>
        <v/>
      </c>
      <c r="L718" s="4" t="str">
        <f>IF(COUNTIFS(A:A,A718,C:C,C718)=2,IF(K718="Mismatch","Value Mismatch","Matched"),IF(I718= "Tally","Missing in GST","Missing in Tally"))</f>
        <v>Missing in Tally</v>
      </c>
      <c r="M718" s="6" t="str">
        <f t="shared" si="35"/>
        <v/>
      </c>
    </row>
    <row r="719" spans="1:13" x14ac:dyDescent="0.2">
      <c r="A719" s="1" t="str">
        <v>INV2217</v>
      </c>
      <c r="B719" s="2" t="str">
        <v>25-06-2024</v>
      </c>
      <c r="C719" s="1" t="str">
        <v>24LMNOP4321K1Z7</v>
      </c>
      <c r="D719" s="4" t="str">
        <v>Patel Industries</v>
      </c>
      <c r="E719" s="6">
        <v>2238.58</v>
      </c>
      <c r="F719" s="6">
        <v>201.47</v>
      </c>
      <c r="G719" s="6">
        <v>201.47</v>
      </c>
      <c r="H719" s="6">
        <v>2641.52</v>
      </c>
      <c r="I719" s="19" t="str">
        <v>GST</v>
      </c>
      <c r="J719" s="1" t="str">
        <f t="shared" si="33"/>
        <v>Unique</v>
      </c>
      <c r="K719" s="21" t="str">
        <f t="shared" si="34"/>
        <v/>
      </c>
      <c r="L719" s="4" t="str">
        <f>IF(COUNTIFS(A:A,A719,C:C,C719)=2,IF(K719="Mismatch","Value Mismatch","Matched"),IF(I719= "Tally","Missing in GST","Missing in Tally"))</f>
        <v>Missing in Tally</v>
      </c>
      <c r="M719" s="6" t="str">
        <f t="shared" si="35"/>
        <v/>
      </c>
    </row>
    <row r="720" spans="1:13" x14ac:dyDescent="0.2">
      <c r="A720" s="1" t="str">
        <v>INV2218</v>
      </c>
      <c r="B720" s="2" t="str">
        <v>26-04-2024</v>
      </c>
      <c r="C720" s="1" t="str">
        <v>29PQRSX5678L1Z2</v>
      </c>
      <c r="D720" s="4" t="str">
        <v>Kiran Enterprises</v>
      </c>
      <c r="E720" s="6">
        <v>49658.93</v>
      </c>
      <c r="F720" s="6">
        <v>4469.3</v>
      </c>
      <c r="G720" s="6">
        <v>4469.3</v>
      </c>
      <c r="H720" s="6">
        <v>58597.53</v>
      </c>
      <c r="I720" s="19" t="str">
        <v>GST</v>
      </c>
      <c r="J720" s="1" t="str">
        <f t="shared" si="33"/>
        <v>Unique</v>
      </c>
      <c r="K720" s="21" t="str">
        <f t="shared" si="34"/>
        <v/>
      </c>
      <c r="L720" s="4" t="str">
        <f>IF(COUNTIFS(A:A,A720,C:C,C720)=2,IF(K720="Mismatch","Value Mismatch","Matched"),IF(I720= "Tally","Missing in GST","Missing in Tally"))</f>
        <v>Missing in Tally</v>
      </c>
      <c r="M720" s="6" t="str">
        <f t="shared" si="35"/>
        <v/>
      </c>
    </row>
    <row r="721" spans="1:13" x14ac:dyDescent="0.2">
      <c r="A721" s="1" t="str">
        <v>INV2219</v>
      </c>
      <c r="B721" s="2" t="str">
        <v>19-06-2024</v>
      </c>
      <c r="C721" s="1" t="str">
        <v>19ASDFG2468H1Z9</v>
      </c>
      <c r="D721" s="4" t="str">
        <v>Eastern Distributors</v>
      </c>
      <c r="E721" s="6">
        <v>32895.71</v>
      </c>
      <c r="F721" s="6">
        <v>2960.61</v>
      </c>
      <c r="G721" s="6">
        <v>2960.61</v>
      </c>
      <c r="H721" s="6">
        <v>38816.93</v>
      </c>
      <c r="I721" s="19" t="str">
        <v>GST</v>
      </c>
      <c r="J721" s="1" t="str">
        <f t="shared" si="33"/>
        <v>Unique</v>
      </c>
      <c r="K721" s="21" t="str">
        <f t="shared" si="34"/>
        <v/>
      </c>
      <c r="L721" s="4" t="str">
        <f>IF(COUNTIFS(A:A,A721,C:C,C721)=2,IF(K721="Mismatch","Value Mismatch","Matched"),IF(I721= "Tally","Missing in GST","Missing in Tally"))</f>
        <v>Missing in Tally</v>
      </c>
      <c r="M721" s="6" t="str">
        <f t="shared" si="35"/>
        <v/>
      </c>
    </row>
    <row r="722" spans="1:13" x14ac:dyDescent="0.2">
      <c r="A722" s="1" t="str">
        <v>INV2220</v>
      </c>
      <c r="B722" s="2" t="str">
        <v>18-05-2024</v>
      </c>
      <c r="C722" s="1" t="str">
        <v>07ZXCVB9876M1Z3</v>
      </c>
      <c r="D722" s="4" t="str">
        <v>Gupta Supplies</v>
      </c>
      <c r="E722" s="6">
        <v>48591.37</v>
      </c>
      <c r="F722" s="6">
        <v>4373.22</v>
      </c>
      <c r="G722" s="6">
        <v>4373.22</v>
      </c>
      <c r="H722" s="6">
        <v>57337.81</v>
      </c>
      <c r="I722" s="19" t="str">
        <v>GST</v>
      </c>
      <c r="J722" s="1" t="str">
        <f t="shared" si="33"/>
        <v>Unique</v>
      </c>
      <c r="K722" s="21" t="str">
        <f t="shared" si="34"/>
        <v/>
      </c>
      <c r="L722" s="4" t="str">
        <f>IF(COUNTIFS(A:A,A722,C:C,C722)=2,IF(K722="Mismatch","Value Mismatch","Matched"),IF(I722= "Tally","Missing in GST","Missing in Tally"))</f>
        <v>Missing in Tally</v>
      </c>
      <c r="M722" s="6" t="str">
        <f t="shared" si="35"/>
        <v/>
      </c>
    </row>
    <row r="723" spans="1:13" x14ac:dyDescent="0.2">
      <c r="A723" s="1" t="str">
        <v>INV2221</v>
      </c>
      <c r="B723" s="2" t="str">
        <v>18-06-2024</v>
      </c>
      <c r="C723" s="1" t="str">
        <v>19ASDFG2468H1Z9</v>
      </c>
      <c r="D723" s="4" t="str">
        <v>Eastern Distributors</v>
      </c>
      <c r="E723" s="6">
        <v>25005.360000000001</v>
      </c>
      <c r="F723" s="6">
        <v>2250.48</v>
      </c>
      <c r="G723" s="6">
        <v>2250.48</v>
      </c>
      <c r="H723" s="6">
        <v>29506.32</v>
      </c>
      <c r="I723" s="19" t="str">
        <v>GST</v>
      </c>
      <c r="J723" s="1" t="str">
        <f t="shared" si="33"/>
        <v>Unique</v>
      </c>
      <c r="K723" s="21" t="str">
        <f t="shared" si="34"/>
        <v/>
      </c>
      <c r="L723" s="4" t="str">
        <f>IF(COUNTIFS(A:A,A723,C:C,C723)=2,IF(K723="Mismatch","Value Mismatch","Matched"),IF(I723= "Tally","Missing in GST","Missing in Tally"))</f>
        <v>Missing in Tally</v>
      </c>
      <c r="M723" s="6" t="str">
        <f t="shared" si="35"/>
        <v/>
      </c>
    </row>
    <row r="724" spans="1:13" x14ac:dyDescent="0.2">
      <c r="A724" s="1" t="str">
        <v>INV2222</v>
      </c>
      <c r="B724" s="2" t="str">
        <v>19-04-2024</v>
      </c>
      <c r="C724" s="1" t="str">
        <v>27ABCDE1234F1Z5</v>
      </c>
      <c r="D724" s="4" t="str">
        <v>Sharma Traders</v>
      </c>
      <c r="E724" s="6">
        <v>17755.72</v>
      </c>
      <c r="F724" s="6">
        <v>1598.01</v>
      </c>
      <c r="G724" s="6">
        <v>1598.01</v>
      </c>
      <c r="H724" s="6">
        <v>20951.740000000002</v>
      </c>
      <c r="I724" s="19" t="str">
        <v>GST</v>
      </c>
      <c r="J724" s="1" t="str">
        <f t="shared" si="33"/>
        <v>Unique</v>
      </c>
      <c r="K724" s="21" t="str">
        <f t="shared" si="34"/>
        <v/>
      </c>
      <c r="L724" s="4" t="str">
        <f>IF(COUNTIFS(A:A,A724,C:C,C724)=2,IF(K724="Mismatch","Value Mismatch","Matched"),IF(I724= "Tally","Missing in GST","Missing in Tally"))</f>
        <v>Missing in Tally</v>
      </c>
      <c r="M724" s="6" t="str">
        <f t="shared" si="35"/>
        <v/>
      </c>
    </row>
    <row r="725" spans="1:13" x14ac:dyDescent="0.2">
      <c r="A725" s="1" t="str">
        <v>INV2223</v>
      </c>
      <c r="B725" s="2" t="str">
        <v>17-04-2024</v>
      </c>
      <c r="C725" s="1" t="str">
        <v>29PQRSX5678L1Z2</v>
      </c>
      <c r="D725" s="4" t="str">
        <v>Kiran Enterprises</v>
      </c>
      <c r="E725" s="6">
        <v>19103.52</v>
      </c>
      <c r="F725" s="6">
        <v>1719.32</v>
      </c>
      <c r="G725" s="6">
        <v>1719.32</v>
      </c>
      <c r="H725" s="6">
        <v>22542.16</v>
      </c>
      <c r="I725" s="19" t="str">
        <v>GST</v>
      </c>
      <c r="J725" s="1" t="str">
        <f t="shared" si="33"/>
        <v>Unique</v>
      </c>
      <c r="K725" s="21" t="str">
        <f t="shared" si="34"/>
        <v/>
      </c>
      <c r="L725" s="4" t="str">
        <f>IF(COUNTIFS(A:A,A725,C:C,C725)=2,IF(K725="Mismatch","Value Mismatch","Matched"),IF(I725= "Tally","Missing in GST","Missing in Tally"))</f>
        <v>Missing in Tally</v>
      </c>
      <c r="M725" s="6" t="str">
        <f t="shared" si="35"/>
        <v/>
      </c>
    </row>
    <row r="726" spans="1:13" x14ac:dyDescent="0.2">
      <c r="A726" s="1" t="str">
        <v>INV2224</v>
      </c>
      <c r="B726" s="2" t="str">
        <v>01-06-2024</v>
      </c>
      <c r="C726" s="1" t="str">
        <v>27ABCDE1234F1Z5</v>
      </c>
      <c r="D726" s="4" t="str">
        <v>Sharma Traders</v>
      </c>
      <c r="E726" s="6">
        <v>5776.85</v>
      </c>
      <c r="F726" s="6">
        <v>519.91999999999996</v>
      </c>
      <c r="G726" s="6">
        <v>519.91999999999996</v>
      </c>
      <c r="H726" s="6">
        <v>6816.69</v>
      </c>
      <c r="I726" s="19" t="str">
        <v>GST</v>
      </c>
      <c r="J726" s="1" t="str">
        <f t="shared" si="33"/>
        <v>Unique</v>
      </c>
      <c r="K726" s="21" t="str">
        <f t="shared" si="34"/>
        <v/>
      </c>
      <c r="L726" s="4" t="str">
        <f>IF(COUNTIFS(A:A,A726,C:C,C726)=2,IF(K726="Mismatch","Value Mismatch","Matched"),IF(I726= "Tally","Missing in GST","Missing in Tally"))</f>
        <v>Missing in Tally</v>
      </c>
      <c r="M726" s="6" t="str">
        <f t="shared" si="35"/>
        <v/>
      </c>
    </row>
    <row r="727" spans="1:13" x14ac:dyDescent="0.2">
      <c r="A727" s="1" t="str">
        <v>INV2225</v>
      </c>
      <c r="B727" s="2" t="str">
        <v>26-06-2024</v>
      </c>
      <c r="C727" s="1" t="str">
        <v>27ABCDE1234F1Z5</v>
      </c>
      <c r="D727" s="4" t="str">
        <v>Sharma Traders</v>
      </c>
      <c r="E727" s="6">
        <v>20226.34</v>
      </c>
      <c r="F727" s="6">
        <v>1820.37</v>
      </c>
      <c r="G727" s="6">
        <v>1820.37</v>
      </c>
      <c r="H727" s="6">
        <v>23867.08</v>
      </c>
      <c r="I727" s="19" t="str">
        <v>GST</v>
      </c>
      <c r="J727" s="1" t="str">
        <f t="shared" si="33"/>
        <v>Unique</v>
      </c>
      <c r="K727" s="21" t="str">
        <f t="shared" si="34"/>
        <v/>
      </c>
      <c r="L727" s="4" t="str">
        <f>IF(COUNTIFS(A:A,A727,C:C,C727)=2,IF(K727="Mismatch","Value Mismatch","Matched"),IF(I727= "Tally","Missing in GST","Missing in Tally"))</f>
        <v>Missing in Tally</v>
      </c>
      <c r="M727" s="6" t="str">
        <f t="shared" si="35"/>
        <v/>
      </c>
    </row>
    <row r="728" spans="1:13" x14ac:dyDescent="0.2">
      <c r="A728" s="1" t="str">
        <v>INV2226</v>
      </c>
      <c r="B728" s="2" t="str">
        <v>08-06-2024</v>
      </c>
      <c r="C728" s="1" t="str">
        <v>29PQRSX5678L1Z2</v>
      </c>
      <c r="D728" s="4" t="str">
        <v>Kiran Enterprises</v>
      </c>
      <c r="E728" s="6">
        <v>47362.86</v>
      </c>
      <c r="F728" s="6">
        <v>4262.66</v>
      </c>
      <c r="G728" s="6">
        <v>4262.66</v>
      </c>
      <c r="H728" s="6">
        <v>55888.18</v>
      </c>
      <c r="I728" s="19" t="str">
        <v>GST</v>
      </c>
      <c r="J728" s="1" t="str">
        <f t="shared" si="33"/>
        <v>Unique</v>
      </c>
      <c r="K728" s="21" t="str">
        <f t="shared" si="34"/>
        <v/>
      </c>
      <c r="L728" s="4" t="str">
        <f>IF(COUNTIFS(A:A,A728,C:C,C728)=2,IF(K728="Mismatch","Value Mismatch","Matched"),IF(I728= "Tally","Missing in GST","Missing in Tally"))</f>
        <v>Missing in Tally</v>
      </c>
      <c r="M728" s="6" t="str">
        <f t="shared" si="35"/>
        <v/>
      </c>
    </row>
    <row r="729" spans="1:13" x14ac:dyDescent="0.2">
      <c r="A729" s="1" t="str">
        <v>INV2227</v>
      </c>
      <c r="B729" s="2" t="str">
        <v>30-05-2024</v>
      </c>
      <c r="C729" s="1" t="str">
        <v>29PQRSX5678L1Z2</v>
      </c>
      <c r="D729" s="4" t="str">
        <v>Kiran Enterprises</v>
      </c>
      <c r="E729" s="6">
        <v>29567.25</v>
      </c>
      <c r="F729" s="6">
        <v>2661.05</v>
      </c>
      <c r="G729" s="6">
        <v>2661.05</v>
      </c>
      <c r="H729" s="6">
        <v>34889.35</v>
      </c>
      <c r="I729" s="19" t="str">
        <v>GST</v>
      </c>
      <c r="J729" s="1" t="str">
        <f t="shared" si="33"/>
        <v>Unique</v>
      </c>
      <c r="K729" s="21" t="str">
        <f t="shared" si="34"/>
        <v/>
      </c>
      <c r="L729" s="4" t="str">
        <f>IF(COUNTIFS(A:A,A729,C:C,C729)=2,IF(K729="Mismatch","Value Mismatch","Matched"),IF(I729= "Tally","Missing in GST","Missing in Tally"))</f>
        <v>Missing in Tally</v>
      </c>
      <c r="M729" s="6" t="str">
        <f t="shared" si="35"/>
        <v/>
      </c>
    </row>
    <row r="730" spans="1:13" x14ac:dyDescent="0.2">
      <c r="A730" s="1" t="str">
        <v>INV2228</v>
      </c>
      <c r="B730" s="2" t="str">
        <v>10-06-2024</v>
      </c>
      <c r="C730" s="1" t="str">
        <v>27ABCDE1234F1Z5</v>
      </c>
      <c r="D730" s="4" t="str">
        <v>Sharma Traders</v>
      </c>
      <c r="E730" s="6">
        <v>26749.32</v>
      </c>
      <c r="F730" s="6">
        <v>2407.44</v>
      </c>
      <c r="G730" s="6">
        <v>2407.44</v>
      </c>
      <c r="H730" s="6">
        <v>31564.2</v>
      </c>
      <c r="I730" s="19" t="str">
        <v>GST</v>
      </c>
      <c r="J730" s="1" t="str">
        <f t="shared" si="33"/>
        <v>Unique</v>
      </c>
      <c r="K730" s="21" t="str">
        <f t="shared" si="34"/>
        <v/>
      </c>
      <c r="L730" s="4" t="str">
        <f>IF(COUNTIFS(A:A,A730,C:C,C730)=2,IF(K730="Mismatch","Value Mismatch","Matched"),IF(I730= "Tally","Missing in GST","Missing in Tally"))</f>
        <v>Missing in Tally</v>
      </c>
      <c r="M730" s="6" t="str">
        <f t="shared" si="35"/>
        <v/>
      </c>
    </row>
    <row r="731" spans="1:13" x14ac:dyDescent="0.2">
      <c r="A731" s="1" t="str">
        <v>INV2229</v>
      </c>
      <c r="B731" s="2" t="str">
        <v>25-05-2024</v>
      </c>
      <c r="C731" s="1" t="str">
        <v>24LMNOP4321K1Z7</v>
      </c>
      <c r="D731" s="4" t="str">
        <v>Patel Industries</v>
      </c>
      <c r="E731" s="6">
        <v>47690.5</v>
      </c>
      <c r="F731" s="6">
        <v>4292.1400000000003</v>
      </c>
      <c r="G731" s="6">
        <v>4292.1400000000003</v>
      </c>
      <c r="H731" s="6">
        <v>56274.78</v>
      </c>
      <c r="I731" s="19" t="str">
        <v>GST</v>
      </c>
      <c r="J731" s="1" t="str">
        <f t="shared" si="33"/>
        <v>Unique</v>
      </c>
      <c r="K731" s="21" t="str">
        <f t="shared" si="34"/>
        <v/>
      </c>
      <c r="L731" s="4" t="str">
        <f>IF(COUNTIFS(A:A,A731,C:C,C731)=2,IF(K731="Mismatch","Value Mismatch","Matched"),IF(I731= "Tally","Missing in GST","Missing in Tally"))</f>
        <v>Missing in Tally</v>
      </c>
      <c r="M731" s="6" t="str">
        <f t="shared" si="35"/>
        <v/>
      </c>
    </row>
    <row r="732" spans="1:13" x14ac:dyDescent="0.2">
      <c r="A732" s="1" t="str">
        <v>INV2230</v>
      </c>
      <c r="B732" s="2" t="str">
        <v>05-04-2024</v>
      </c>
      <c r="C732" s="1" t="str">
        <v>19ASDFG2468H1Z9</v>
      </c>
      <c r="D732" s="4" t="str">
        <v>Eastern Distributors</v>
      </c>
      <c r="E732" s="6">
        <v>1635.39</v>
      </c>
      <c r="F732" s="6">
        <v>147.19</v>
      </c>
      <c r="G732" s="6">
        <v>147.19</v>
      </c>
      <c r="H732" s="6">
        <v>1929.77</v>
      </c>
      <c r="I732" s="19" t="str">
        <v>GST</v>
      </c>
      <c r="J732" s="1" t="str">
        <f t="shared" si="33"/>
        <v>Unique</v>
      </c>
      <c r="K732" s="21" t="str">
        <f t="shared" si="34"/>
        <v/>
      </c>
      <c r="L732" s="4" t="str">
        <f>IF(COUNTIFS(A:A,A732,C:C,C732)=2,IF(K732="Mismatch","Value Mismatch","Matched"),IF(I732= "Tally","Missing in GST","Missing in Tally"))</f>
        <v>Missing in Tally</v>
      </c>
      <c r="M732" s="6" t="str">
        <f t="shared" si="35"/>
        <v/>
      </c>
    </row>
    <row r="733" spans="1:13" x14ac:dyDescent="0.2">
      <c r="A733" s="1" t="str">
        <v>INV2231</v>
      </c>
      <c r="B733" s="2" t="str">
        <v>21-05-2024</v>
      </c>
      <c r="C733" s="1" t="str">
        <v>19ASDFG2468H1Z9</v>
      </c>
      <c r="D733" s="4" t="str">
        <v>Eastern Distributors</v>
      </c>
      <c r="E733" s="6">
        <v>27754.44</v>
      </c>
      <c r="F733" s="6">
        <v>2497.9</v>
      </c>
      <c r="G733" s="6">
        <v>2497.9</v>
      </c>
      <c r="H733" s="6">
        <v>32750.240000000002</v>
      </c>
      <c r="I733" s="19" t="str">
        <v>GST</v>
      </c>
      <c r="J733" s="1" t="str">
        <f t="shared" si="33"/>
        <v>Unique</v>
      </c>
      <c r="K733" s="21" t="str">
        <f t="shared" si="34"/>
        <v/>
      </c>
      <c r="L733" s="4" t="str">
        <f>IF(COUNTIFS(A:A,A733,C:C,C733)=2,IF(K733="Mismatch","Value Mismatch","Matched"),IF(I733= "Tally","Missing in GST","Missing in Tally"))</f>
        <v>Missing in Tally</v>
      </c>
      <c r="M733" s="6" t="str">
        <f t="shared" si="35"/>
        <v/>
      </c>
    </row>
    <row r="734" spans="1:13" x14ac:dyDescent="0.2">
      <c r="A734" s="1" t="str">
        <v>INV2232</v>
      </c>
      <c r="B734" s="2" t="str">
        <v>01-05-2024</v>
      </c>
      <c r="C734" s="1" t="str">
        <v>19ASDFG2468H1Z9</v>
      </c>
      <c r="D734" s="4" t="str">
        <v>Eastern Distributors</v>
      </c>
      <c r="E734" s="6">
        <v>6133.62</v>
      </c>
      <c r="F734" s="6">
        <v>552.03</v>
      </c>
      <c r="G734" s="6">
        <v>552.03</v>
      </c>
      <c r="H734" s="6">
        <v>7237.68</v>
      </c>
      <c r="I734" s="19" t="str">
        <v>GST</v>
      </c>
      <c r="J734" s="1" t="str">
        <f t="shared" si="33"/>
        <v>Unique</v>
      </c>
      <c r="K734" s="21" t="str">
        <f t="shared" si="34"/>
        <v/>
      </c>
      <c r="L734" s="4" t="str">
        <f>IF(COUNTIFS(A:A,A734,C:C,C734)=2,IF(K734="Mismatch","Value Mismatch","Matched"),IF(I734= "Tally","Missing in GST","Missing in Tally"))</f>
        <v>Missing in Tally</v>
      </c>
      <c r="M734" s="6" t="str">
        <f t="shared" si="35"/>
        <v/>
      </c>
    </row>
    <row r="735" spans="1:13" x14ac:dyDescent="0.2">
      <c r="A735" s="1" t="str">
        <v>INV2233</v>
      </c>
      <c r="B735" s="2" t="str">
        <v>20-04-2024</v>
      </c>
      <c r="C735" s="1" t="str">
        <v>29PQRSX5678L1Z2</v>
      </c>
      <c r="D735" s="4" t="str">
        <v>Kiran Enterprises</v>
      </c>
      <c r="E735" s="6">
        <v>47490.03</v>
      </c>
      <c r="F735" s="6">
        <v>4274.1000000000004</v>
      </c>
      <c r="G735" s="6">
        <v>4274.1000000000004</v>
      </c>
      <c r="H735" s="6">
        <v>56038.23</v>
      </c>
      <c r="I735" s="19" t="str">
        <v>GST</v>
      </c>
      <c r="J735" s="1" t="str">
        <f t="shared" si="33"/>
        <v>Unique</v>
      </c>
      <c r="K735" s="21" t="str">
        <f t="shared" si="34"/>
        <v/>
      </c>
      <c r="L735" s="4" t="str">
        <f>IF(COUNTIFS(A:A,A735,C:C,C735)=2,IF(K735="Mismatch","Value Mismatch","Matched"),IF(I735= "Tally","Missing in GST","Missing in Tally"))</f>
        <v>Missing in Tally</v>
      </c>
      <c r="M735" s="6" t="str">
        <f t="shared" si="35"/>
        <v/>
      </c>
    </row>
    <row r="736" spans="1:13" x14ac:dyDescent="0.2">
      <c r="A736" s="1" t="str">
        <v>INV2234</v>
      </c>
      <c r="B736" s="2" t="str">
        <v>11-06-2024</v>
      </c>
      <c r="C736" s="1" t="str">
        <v>19ASDFG2468H1Z9</v>
      </c>
      <c r="D736" s="4" t="str">
        <v>Eastern Distributors</v>
      </c>
      <c r="E736" s="6">
        <v>45878.46</v>
      </c>
      <c r="F736" s="6">
        <v>4129.0600000000004</v>
      </c>
      <c r="G736" s="6">
        <v>4129.0600000000004</v>
      </c>
      <c r="H736" s="6">
        <v>54136.58</v>
      </c>
      <c r="I736" s="19" t="str">
        <v>GST</v>
      </c>
      <c r="J736" s="1" t="str">
        <f t="shared" si="33"/>
        <v>Unique</v>
      </c>
      <c r="K736" s="21" t="str">
        <f t="shared" si="34"/>
        <v/>
      </c>
      <c r="L736" s="4" t="str">
        <f>IF(COUNTIFS(A:A,A736,C:C,C736)=2,IF(K736="Mismatch","Value Mismatch","Matched"),IF(I736= "Tally","Missing in GST","Missing in Tally"))</f>
        <v>Missing in Tally</v>
      </c>
      <c r="M736" s="6" t="str">
        <f t="shared" si="35"/>
        <v/>
      </c>
    </row>
    <row r="737" spans="1:13" x14ac:dyDescent="0.2">
      <c r="A737" s="1" t="str">
        <v>INV2235</v>
      </c>
      <c r="B737" s="2" t="str">
        <v>16-04-2024</v>
      </c>
      <c r="C737" s="1" t="str">
        <v>07ZXCVB9876M1Z3</v>
      </c>
      <c r="D737" s="4" t="str">
        <v>Gupta Supplies</v>
      </c>
      <c r="E737" s="6">
        <v>33557.879999999997</v>
      </c>
      <c r="F737" s="6">
        <v>3020.21</v>
      </c>
      <c r="G737" s="6">
        <v>3020.21</v>
      </c>
      <c r="H737" s="6">
        <v>39598.300000000003</v>
      </c>
      <c r="I737" s="19" t="str">
        <v>GST</v>
      </c>
      <c r="J737" s="1" t="str">
        <f t="shared" si="33"/>
        <v>Unique</v>
      </c>
      <c r="K737" s="21" t="str">
        <f t="shared" si="34"/>
        <v/>
      </c>
      <c r="L737" s="4" t="str">
        <f>IF(COUNTIFS(A:A,A737,C:C,C737)=2,IF(K737="Mismatch","Value Mismatch","Matched"),IF(I737= "Tally","Missing in GST","Missing in Tally"))</f>
        <v>Missing in Tally</v>
      </c>
      <c r="M737" s="6" t="str">
        <f t="shared" si="35"/>
        <v/>
      </c>
    </row>
    <row r="738" spans="1:13" x14ac:dyDescent="0.2">
      <c r="A738" s="1" t="str">
        <v>INV2236</v>
      </c>
      <c r="B738" s="2" t="str">
        <v>21-06-2024</v>
      </c>
      <c r="C738" s="1" t="str">
        <v>24LMNOP4321K1Z7</v>
      </c>
      <c r="D738" s="4" t="str">
        <v>Patel Industries</v>
      </c>
      <c r="E738" s="6">
        <v>35483.51</v>
      </c>
      <c r="F738" s="6">
        <v>3193.52</v>
      </c>
      <c r="G738" s="6">
        <v>3193.52</v>
      </c>
      <c r="H738" s="6">
        <v>41870.550000000003</v>
      </c>
      <c r="I738" s="19" t="str">
        <v>GST</v>
      </c>
      <c r="J738" s="1" t="str">
        <f t="shared" si="33"/>
        <v>Unique</v>
      </c>
      <c r="K738" s="21" t="str">
        <f t="shared" si="34"/>
        <v/>
      </c>
      <c r="L738" s="4" t="str">
        <f>IF(COUNTIFS(A:A,A738,C:C,C738)=2,IF(K738="Mismatch","Value Mismatch","Matched"),IF(I738= "Tally","Missing in GST","Missing in Tally"))</f>
        <v>Missing in Tally</v>
      </c>
      <c r="M738" s="6" t="str">
        <f t="shared" si="35"/>
        <v/>
      </c>
    </row>
    <row r="739" spans="1:13" x14ac:dyDescent="0.2">
      <c r="A739" s="1" t="str">
        <v>INV2237</v>
      </c>
      <c r="B739" s="2" t="str">
        <v>07-04-2024</v>
      </c>
      <c r="C739" s="1" t="str">
        <v>29PQRSX5678L1Z2</v>
      </c>
      <c r="D739" s="4" t="str">
        <v>Kiran Enterprises</v>
      </c>
      <c r="E739" s="6">
        <v>40296.199999999997</v>
      </c>
      <c r="F739" s="6">
        <v>3626.66</v>
      </c>
      <c r="G739" s="6">
        <v>3626.66</v>
      </c>
      <c r="H739" s="6">
        <v>47549.52</v>
      </c>
      <c r="I739" s="19" t="str">
        <v>GST</v>
      </c>
      <c r="J739" s="1" t="str">
        <f t="shared" si="33"/>
        <v>Unique</v>
      </c>
      <c r="K739" s="21" t="str">
        <f t="shared" si="34"/>
        <v/>
      </c>
      <c r="L739" s="4" t="str">
        <f>IF(COUNTIFS(A:A,A739,C:C,C739)=2,IF(K739="Mismatch","Value Mismatch","Matched"),IF(I739= "Tally","Missing in GST","Missing in Tally"))</f>
        <v>Missing in Tally</v>
      </c>
      <c r="M739" s="6" t="str">
        <f t="shared" si="35"/>
        <v/>
      </c>
    </row>
    <row r="740" spans="1:13" x14ac:dyDescent="0.2">
      <c r="A740" s="1" t="str">
        <v>INV2238</v>
      </c>
      <c r="B740" s="2" t="str">
        <v>23-06-2024</v>
      </c>
      <c r="C740" s="1" t="str">
        <v>07ZXCVB9876M1Z3</v>
      </c>
      <c r="D740" s="4" t="str">
        <v>Gupta Supplies</v>
      </c>
      <c r="E740" s="6">
        <v>20957.87</v>
      </c>
      <c r="F740" s="6">
        <v>1886.21</v>
      </c>
      <c r="G740" s="6">
        <v>1886.21</v>
      </c>
      <c r="H740" s="6">
        <v>24730.29</v>
      </c>
      <c r="I740" s="19" t="str">
        <v>GST</v>
      </c>
      <c r="J740" s="1" t="str">
        <f t="shared" si="33"/>
        <v>Unique</v>
      </c>
      <c r="K740" s="21" t="str">
        <f t="shared" si="34"/>
        <v/>
      </c>
      <c r="L740" s="4" t="str">
        <f>IF(COUNTIFS(A:A,A740,C:C,C740)=2,IF(K740="Mismatch","Value Mismatch","Matched"),IF(I740= "Tally","Missing in GST","Missing in Tally"))</f>
        <v>Missing in Tally</v>
      </c>
      <c r="M740" s="6" t="str">
        <f t="shared" si="35"/>
        <v/>
      </c>
    </row>
    <row r="741" spans="1:13" x14ac:dyDescent="0.2">
      <c r="A741" s="1" t="str">
        <v>INV2239</v>
      </c>
      <c r="B741" s="2" t="str">
        <v>26-06-2024</v>
      </c>
      <c r="C741" s="1" t="str">
        <v>24LMNOP4321K1Z7</v>
      </c>
      <c r="D741" s="4" t="str">
        <v>Patel Industries</v>
      </c>
      <c r="E741" s="6">
        <v>28710.31</v>
      </c>
      <c r="F741" s="6">
        <v>2583.9299999999998</v>
      </c>
      <c r="G741" s="6">
        <v>2583.9299999999998</v>
      </c>
      <c r="H741" s="6">
        <v>33878.17</v>
      </c>
      <c r="I741" s="19" t="str">
        <v>GST</v>
      </c>
      <c r="J741" s="1" t="str">
        <f t="shared" si="33"/>
        <v>Unique</v>
      </c>
      <c r="K741" s="21" t="str">
        <f t="shared" si="34"/>
        <v/>
      </c>
      <c r="L741" s="4" t="str">
        <f>IF(COUNTIFS(A:A,A741,C:C,C741)=2,IF(K741="Mismatch","Value Mismatch","Matched"),IF(I741= "Tally","Missing in GST","Missing in Tally"))</f>
        <v>Missing in Tally</v>
      </c>
      <c r="M741" s="6" t="str">
        <f t="shared" si="35"/>
        <v/>
      </c>
    </row>
    <row r="742" spans="1:13" x14ac:dyDescent="0.2">
      <c r="A742" s="1" t="str">
        <v>INV2240</v>
      </c>
      <c r="B742" s="2" t="str">
        <v>23-06-2024</v>
      </c>
      <c r="C742" s="1" t="str">
        <v>19ASDFG2468H1Z9</v>
      </c>
      <c r="D742" s="4" t="str">
        <v>Eastern Distributors</v>
      </c>
      <c r="E742" s="6">
        <v>3771.49</v>
      </c>
      <c r="F742" s="6">
        <v>339.43</v>
      </c>
      <c r="G742" s="6">
        <v>339.43</v>
      </c>
      <c r="H742" s="6">
        <v>4450.3500000000004</v>
      </c>
      <c r="I742" s="19" t="str">
        <v>GST</v>
      </c>
      <c r="J742" s="1" t="str">
        <f t="shared" si="33"/>
        <v>Unique</v>
      </c>
      <c r="K742" s="21" t="str">
        <f t="shared" si="34"/>
        <v/>
      </c>
      <c r="L742" s="4" t="str">
        <f>IF(COUNTIFS(A:A,A742,C:C,C742)=2,IF(K742="Mismatch","Value Mismatch","Matched"),IF(I742= "Tally","Missing in GST","Missing in Tally"))</f>
        <v>Missing in Tally</v>
      </c>
      <c r="M742" s="6" t="str">
        <f t="shared" si="35"/>
        <v/>
      </c>
    </row>
    <row r="743" spans="1:13" x14ac:dyDescent="0.2">
      <c r="A743" s="1" t="str">
        <v>INV2241</v>
      </c>
      <c r="B743" s="2" t="str">
        <v>26-04-2024</v>
      </c>
      <c r="C743" s="1" t="str">
        <v>29PQRSX5678L1Z2</v>
      </c>
      <c r="D743" s="4" t="str">
        <v>Kiran Enterprises</v>
      </c>
      <c r="E743" s="6">
        <v>6987.7</v>
      </c>
      <c r="F743" s="6">
        <v>628.89</v>
      </c>
      <c r="G743" s="6">
        <v>628.89</v>
      </c>
      <c r="H743" s="6">
        <v>8245.48</v>
      </c>
      <c r="I743" s="19" t="str">
        <v>GST</v>
      </c>
      <c r="J743" s="1" t="str">
        <f t="shared" si="33"/>
        <v>Unique</v>
      </c>
      <c r="K743" s="21" t="str">
        <f t="shared" si="34"/>
        <v/>
      </c>
      <c r="L743" s="4" t="str">
        <f>IF(COUNTIFS(A:A,A743,C:C,C743)=2,IF(K743="Mismatch","Value Mismatch","Matched"),IF(I743= "Tally","Missing in GST","Missing in Tally"))</f>
        <v>Missing in Tally</v>
      </c>
      <c r="M743" s="6" t="str">
        <f t="shared" si="35"/>
        <v/>
      </c>
    </row>
    <row r="744" spans="1:13" x14ac:dyDescent="0.2">
      <c r="A744" s="1" t="str">
        <v>INV2242</v>
      </c>
      <c r="B744" s="2" t="str">
        <v>14-05-2024</v>
      </c>
      <c r="C744" s="1" t="str">
        <v>24LMNOP4321K1Z7</v>
      </c>
      <c r="D744" s="4" t="str">
        <v>Patel Industries</v>
      </c>
      <c r="E744" s="6">
        <v>25838.02</v>
      </c>
      <c r="F744" s="6">
        <v>2325.42</v>
      </c>
      <c r="G744" s="6">
        <v>2325.42</v>
      </c>
      <c r="H744" s="6">
        <v>30488.86</v>
      </c>
      <c r="I744" s="19" t="str">
        <v>GST</v>
      </c>
      <c r="J744" s="1" t="str">
        <f t="shared" si="33"/>
        <v>Unique</v>
      </c>
      <c r="K744" s="21" t="str">
        <f t="shared" si="34"/>
        <v/>
      </c>
      <c r="L744" s="4" t="str">
        <f>IF(COUNTIFS(A:A,A744,C:C,C744)=2,IF(K744="Mismatch","Value Mismatch","Matched"),IF(I744= "Tally","Missing in GST","Missing in Tally"))</f>
        <v>Missing in Tally</v>
      </c>
      <c r="M744" s="6" t="str">
        <f t="shared" si="35"/>
        <v/>
      </c>
    </row>
    <row r="745" spans="1:13" x14ac:dyDescent="0.2">
      <c r="A745" s="1" t="str">
        <v>INV2243</v>
      </c>
      <c r="B745" s="2" t="str">
        <v>26-06-2024</v>
      </c>
      <c r="C745" s="1" t="str">
        <v>07ZXCVB9876M1Z3</v>
      </c>
      <c r="D745" s="4" t="str">
        <v>Gupta Supplies</v>
      </c>
      <c r="E745" s="6">
        <v>24751.43</v>
      </c>
      <c r="F745" s="6">
        <v>2227.63</v>
      </c>
      <c r="G745" s="6">
        <v>2227.63</v>
      </c>
      <c r="H745" s="6">
        <v>29206.69</v>
      </c>
      <c r="I745" s="19" t="str">
        <v>GST</v>
      </c>
      <c r="J745" s="1" t="str">
        <f t="shared" si="33"/>
        <v>Unique</v>
      </c>
      <c r="K745" s="21" t="str">
        <f t="shared" si="34"/>
        <v/>
      </c>
      <c r="L745" s="4" t="str">
        <f>IF(COUNTIFS(A:A,A745,C:C,C745)=2,IF(K745="Mismatch","Value Mismatch","Matched"),IF(I745= "Tally","Missing in GST","Missing in Tally"))</f>
        <v>Missing in Tally</v>
      </c>
      <c r="M745" s="6" t="str">
        <f t="shared" si="35"/>
        <v/>
      </c>
    </row>
    <row r="746" spans="1:13" x14ac:dyDescent="0.2">
      <c r="A746" s="1" t="str">
        <v>INV2244</v>
      </c>
      <c r="B746" s="2" t="str">
        <v>27-05-2024</v>
      </c>
      <c r="C746" s="1" t="str">
        <v>29PQRSX5678L1Z2</v>
      </c>
      <c r="D746" s="4" t="str">
        <v>Kiran Enterprises</v>
      </c>
      <c r="E746" s="6">
        <v>40924.43</v>
      </c>
      <c r="F746" s="6">
        <v>3683.2</v>
      </c>
      <c r="G746" s="6">
        <v>3683.2</v>
      </c>
      <c r="H746" s="6">
        <v>48290.83</v>
      </c>
      <c r="I746" s="19" t="str">
        <v>GST</v>
      </c>
      <c r="J746" s="1" t="str">
        <f t="shared" si="33"/>
        <v>Unique</v>
      </c>
      <c r="K746" s="21" t="str">
        <f t="shared" si="34"/>
        <v/>
      </c>
      <c r="L746" s="4" t="str">
        <f>IF(COUNTIFS(A:A,A746,C:C,C746)=2,IF(K746="Mismatch","Value Mismatch","Matched"),IF(I746= "Tally","Missing in GST","Missing in Tally"))</f>
        <v>Missing in Tally</v>
      </c>
      <c r="M746" s="6" t="str">
        <f t="shared" si="35"/>
        <v/>
      </c>
    </row>
    <row r="747" spans="1:13" x14ac:dyDescent="0.2">
      <c r="A747" s="1" t="str">
        <v>INV2245</v>
      </c>
      <c r="B747" s="2" t="str">
        <v>13-06-2024</v>
      </c>
      <c r="C747" s="1" t="str">
        <v>07ZXCVB9876M1Z3</v>
      </c>
      <c r="D747" s="4" t="str">
        <v>Gupta Supplies</v>
      </c>
      <c r="E747" s="6">
        <v>6252.49</v>
      </c>
      <c r="F747" s="6">
        <v>562.72</v>
      </c>
      <c r="G747" s="6">
        <v>562.72</v>
      </c>
      <c r="H747" s="6">
        <v>7377.93</v>
      </c>
      <c r="I747" s="19" t="str">
        <v>GST</v>
      </c>
      <c r="J747" s="1" t="str">
        <f t="shared" si="33"/>
        <v>Unique</v>
      </c>
      <c r="K747" s="21" t="str">
        <f t="shared" si="34"/>
        <v/>
      </c>
      <c r="L747" s="4" t="str">
        <f>IF(COUNTIFS(A:A,A747,C:C,C747)=2,IF(K747="Mismatch","Value Mismatch","Matched"),IF(I747= "Tally","Missing in GST","Missing in Tally"))</f>
        <v>Missing in Tally</v>
      </c>
      <c r="M747" s="6" t="str">
        <f t="shared" si="35"/>
        <v/>
      </c>
    </row>
    <row r="748" spans="1:13" x14ac:dyDescent="0.2">
      <c r="A748" s="1" t="str">
        <v>INV2246</v>
      </c>
      <c r="B748" s="2" t="str">
        <v>14-06-2024</v>
      </c>
      <c r="C748" s="1" t="str">
        <v>19ASDFG2468H1Z9</v>
      </c>
      <c r="D748" s="4" t="str">
        <v>Eastern Distributors</v>
      </c>
      <c r="E748" s="6">
        <v>9181.81</v>
      </c>
      <c r="F748" s="6">
        <v>826.36</v>
      </c>
      <c r="G748" s="6">
        <v>826.36</v>
      </c>
      <c r="H748" s="6">
        <v>10834.53</v>
      </c>
      <c r="I748" s="19" t="str">
        <v>GST</v>
      </c>
      <c r="J748" s="1" t="str">
        <f t="shared" si="33"/>
        <v>Unique</v>
      </c>
      <c r="K748" s="21" t="str">
        <f t="shared" si="34"/>
        <v/>
      </c>
      <c r="L748" s="4" t="str">
        <f>IF(COUNTIFS(A:A,A748,C:C,C748)=2,IF(K748="Mismatch","Value Mismatch","Matched"),IF(I748= "Tally","Missing in GST","Missing in Tally"))</f>
        <v>Missing in Tally</v>
      </c>
      <c r="M748" s="6" t="str">
        <f t="shared" si="35"/>
        <v/>
      </c>
    </row>
    <row r="749" spans="1:13" x14ac:dyDescent="0.2">
      <c r="A749" s="1" t="str">
        <v>INV2247</v>
      </c>
      <c r="B749" s="2" t="str">
        <v>25-06-2024</v>
      </c>
      <c r="C749" s="1" t="str">
        <v>07ZXCVB9876M1Z3</v>
      </c>
      <c r="D749" s="4" t="str">
        <v>Gupta Supplies</v>
      </c>
      <c r="E749" s="6">
        <v>10348.92</v>
      </c>
      <c r="F749" s="6">
        <v>931.4</v>
      </c>
      <c r="G749" s="6">
        <v>931.4</v>
      </c>
      <c r="H749" s="6">
        <v>12211.72</v>
      </c>
      <c r="I749" s="19" t="str">
        <v>GST</v>
      </c>
      <c r="J749" s="1" t="str">
        <f t="shared" si="33"/>
        <v>Unique</v>
      </c>
      <c r="K749" s="21" t="str">
        <f t="shared" si="34"/>
        <v/>
      </c>
      <c r="L749" s="4" t="str">
        <f>IF(COUNTIFS(A:A,A749,C:C,C749)=2,IF(K749="Mismatch","Value Mismatch","Matched"),IF(I749= "Tally","Missing in GST","Missing in Tally"))</f>
        <v>Missing in Tally</v>
      </c>
      <c r="M749" s="6" t="str">
        <f t="shared" si="35"/>
        <v/>
      </c>
    </row>
    <row r="750" spans="1:13" x14ac:dyDescent="0.2">
      <c r="A750" s="1" t="str">
        <v>INV2248</v>
      </c>
      <c r="B750" s="2" t="str">
        <v>04-04-2024</v>
      </c>
      <c r="C750" s="1" t="str">
        <v>07ZXCVB9876M1Z3</v>
      </c>
      <c r="D750" s="4" t="str">
        <v>Gupta Supplies</v>
      </c>
      <c r="E750" s="6">
        <v>6784.47</v>
      </c>
      <c r="F750" s="6">
        <v>610.6</v>
      </c>
      <c r="G750" s="6">
        <v>610.6</v>
      </c>
      <c r="H750" s="6">
        <v>8005.67</v>
      </c>
      <c r="I750" s="19" t="str">
        <v>GST</v>
      </c>
      <c r="J750" s="1" t="str">
        <f t="shared" si="33"/>
        <v>Unique</v>
      </c>
      <c r="K750" s="21" t="str">
        <f t="shared" si="34"/>
        <v/>
      </c>
      <c r="L750" s="4" t="str">
        <f>IF(COUNTIFS(A:A,A750,C:C,C750)=2,IF(K750="Mismatch","Value Mismatch","Matched"),IF(I750= "Tally","Missing in GST","Missing in Tally"))</f>
        <v>Missing in Tally</v>
      </c>
      <c r="M750" s="6" t="str">
        <f t="shared" si="35"/>
        <v/>
      </c>
    </row>
    <row r="751" spans="1:13" x14ac:dyDescent="0.2">
      <c r="A751" s="1" t="str">
        <v>INV2249</v>
      </c>
      <c r="B751" s="2" t="str">
        <v>17-04-2024</v>
      </c>
      <c r="C751" s="1" t="str">
        <v>27ABCDE1234F1Z5</v>
      </c>
      <c r="D751" s="4" t="str">
        <v>Sharma Traders</v>
      </c>
      <c r="E751" s="6">
        <v>17403.41</v>
      </c>
      <c r="F751" s="6">
        <v>1566.31</v>
      </c>
      <c r="G751" s="6">
        <v>1566.31</v>
      </c>
      <c r="H751" s="6">
        <v>20536.03</v>
      </c>
      <c r="I751" s="19" t="str">
        <v>GST</v>
      </c>
      <c r="J751" s="1" t="str">
        <f t="shared" si="33"/>
        <v>Unique</v>
      </c>
      <c r="K751" s="21" t="str">
        <f t="shared" si="34"/>
        <v/>
      </c>
      <c r="L751" s="4" t="str">
        <f>IF(COUNTIFS(A:A,A751,C:C,C751)=2,IF(K751="Mismatch","Value Mismatch","Matched"),IF(I751= "Tally","Missing in GST","Missing in Tally"))</f>
        <v>Missing in Tally</v>
      </c>
      <c r="M751" s="6" t="str">
        <f t="shared" si="35"/>
        <v/>
      </c>
    </row>
    <row r="752" spans="1:13" x14ac:dyDescent="0.2">
      <c r="A752" s="1" t="str">
        <v>INV2250</v>
      </c>
      <c r="B752" s="2" t="str">
        <v>02-04-2024</v>
      </c>
      <c r="C752" s="1" t="str">
        <v>07ZXCVB9876M1Z3</v>
      </c>
      <c r="D752" s="4" t="str">
        <v>Gupta Supplies</v>
      </c>
      <c r="E752" s="6">
        <v>33709.35</v>
      </c>
      <c r="F752" s="6">
        <v>3033.84</v>
      </c>
      <c r="G752" s="6">
        <v>3033.84</v>
      </c>
      <c r="H752" s="6">
        <v>39777.03</v>
      </c>
      <c r="I752" s="19" t="str">
        <v>GST</v>
      </c>
      <c r="J752" s="1" t="str">
        <f t="shared" si="33"/>
        <v>Unique</v>
      </c>
      <c r="K752" s="21" t="str">
        <f t="shared" si="34"/>
        <v/>
      </c>
      <c r="L752" s="4" t="str">
        <f>IF(COUNTIFS(A:A,A752,C:C,C752)=2,IF(K752="Mismatch","Value Mismatch","Matched"),IF(I752= "Tally","Missing in GST","Missing in Tally"))</f>
        <v>Missing in Tally</v>
      </c>
      <c r="M752" s="6" t="str">
        <f t="shared" si="35"/>
        <v/>
      </c>
    </row>
    <row r="753" spans="1:13" x14ac:dyDescent="0.2">
      <c r="A753" s="1" t="str">
        <v>INV2251</v>
      </c>
      <c r="B753" s="2" t="str">
        <v>10-04-2024</v>
      </c>
      <c r="C753" s="1" t="str">
        <v>27ABCDE1234F1Z5</v>
      </c>
      <c r="D753" s="4" t="str">
        <v>Sharma Traders</v>
      </c>
      <c r="E753" s="6">
        <v>47140.36</v>
      </c>
      <c r="F753" s="6">
        <v>4242.63</v>
      </c>
      <c r="G753" s="6">
        <v>4242.63</v>
      </c>
      <c r="H753" s="6">
        <v>55625.62</v>
      </c>
      <c r="I753" s="19" t="str">
        <v>GST</v>
      </c>
      <c r="J753" s="1" t="str">
        <f t="shared" si="33"/>
        <v>Unique</v>
      </c>
      <c r="K753" s="21" t="str">
        <f t="shared" si="34"/>
        <v/>
      </c>
      <c r="L753" s="4" t="str">
        <f>IF(COUNTIFS(A:A,A753,C:C,C753)=2,IF(K753="Mismatch","Value Mismatch","Matched"),IF(I753= "Tally","Missing in GST","Missing in Tally"))</f>
        <v>Missing in Tally</v>
      </c>
      <c r="M753" s="6" t="str">
        <f t="shared" si="35"/>
        <v/>
      </c>
    </row>
    <row r="754" spans="1:13" x14ac:dyDescent="0.2">
      <c r="A754" s="1" t="str">
        <v>INV2252</v>
      </c>
      <c r="B754" s="2" t="str">
        <v>02-06-2024</v>
      </c>
      <c r="C754" s="1" t="str">
        <v>27ABCDE1234F1Z5</v>
      </c>
      <c r="D754" s="4" t="str">
        <v>Sharma Traders</v>
      </c>
      <c r="E754" s="6">
        <v>43573.48</v>
      </c>
      <c r="F754" s="6">
        <v>3921.61</v>
      </c>
      <c r="G754" s="6">
        <v>3921.61</v>
      </c>
      <c r="H754" s="6">
        <v>51416.7</v>
      </c>
      <c r="I754" s="19" t="str">
        <v>GST</v>
      </c>
      <c r="J754" s="1" t="str">
        <f t="shared" si="33"/>
        <v>Unique</v>
      </c>
      <c r="K754" s="21" t="str">
        <f t="shared" si="34"/>
        <v/>
      </c>
      <c r="L754" s="4" t="str">
        <f>IF(COUNTIFS(A:A,A754,C:C,C754)=2,IF(K754="Mismatch","Value Mismatch","Matched"),IF(I754= "Tally","Missing in GST","Missing in Tally"))</f>
        <v>Missing in Tally</v>
      </c>
      <c r="M754" s="6" t="str">
        <f t="shared" si="35"/>
        <v/>
      </c>
    </row>
    <row r="755" spans="1:13" x14ac:dyDescent="0.2">
      <c r="A755" s="1" t="str">
        <v>INV2253</v>
      </c>
      <c r="B755" s="2" t="str">
        <v>24-06-2024</v>
      </c>
      <c r="C755" s="1" t="str">
        <v>07ZXCVB9876M1Z3</v>
      </c>
      <c r="D755" s="4" t="str">
        <v>Gupta Supplies</v>
      </c>
      <c r="E755" s="6">
        <v>44370.63</v>
      </c>
      <c r="F755" s="6">
        <v>3993.36</v>
      </c>
      <c r="G755" s="6">
        <v>3993.36</v>
      </c>
      <c r="H755" s="6">
        <v>52357.35</v>
      </c>
      <c r="I755" s="19" t="str">
        <v>GST</v>
      </c>
      <c r="J755" s="1" t="str">
        <f t="shared" si="33"/>
        <v>Unique</v>
      </c>
      <c r="K755" s="21" t="str">
        <f t="shared" si="34"/>
        <v/>
      </c>
      <c r="L755" s="4" t="str">
        <f>IF(COUNTIFS(A:A,A755,C:C,C755)=2,IF(K755="Mismatch","Value Mismatch","Matched"),IF(I755= "Tally","Missing in GST","Missing in Tally"))</f>
        <v>Missing in Tally</v>
      </c>
      <c r="M755" s="6" t="str">
        <f t="shared" si="35"/>
        <v/>
      </c>
    </row>
    <row r="756" spans="1:13" x14ac:dyDescent="0.2">
      <c r="A756" s="1" t="str">
        <v>INV2254</v>
      </c>
      <c r="B756" s="2" t="str">
        <v>16-05-2024</v>
      </c>
      <c r="C756" s="1" t="str">
        <v>24LMNOP4321K1Z7</v>
      </c>
      <c r="D756" s="4" t="str">
        <v>Patel Industries</v>
      </c>
      <c r="E756" s="6">
        <v>8234.09</v>
      </c>
      <c r="F756" s="6">
        <v>741.07</v>
      </c>
      <c r="G756" s="6">
        <v>741.07</v>
      </c>
      <c r="H756" s="6">
        <v>9716.23</v>
      </c>
      <c r="I756" s="19" t="str">
        <v>GST</v>
      </c>
      <c r="J756" s="1" t="str">
        <f t="shared" si="33"/>
        <v>Unique</v>
      </c>
      <c r="K756" s="21" t="str">
        <f t="shared" si="34"/>
        <v/>
      </c>
      <c r="L756" s="4" t="str">
        <f>IF(COUNTIFS(A:A,A756,C:C,C756)=2,IF(K756="Mismatch","Value Mismatch","Matched"),IF(I756= "Tally","Missing in GST","Missing in Tally"))</f>
        <v>Missing in Tally</v>
      </c>
      <c r="M756" s="6" t="str">
        <f t="shared" si="35"/>
        <v/>
      </c>
    </row>
    <row r="757" spans="1:13" x14ac:dyDescent="0.2">
      <c r="A757" s="1" t="str">
        <v>INV2255</v>
      </c>
      <c r="B757" s="2" t="str">
        <v>05-06-2024</v>
      </c>
      <c r="C757" s="1" t="str">
        <v>29PQRSX5678L1Z2</v>
      </c>
      <c r="D757" s="4" t="str">
        <v>Kiran Enterprises</v>
      </c>
      <c r="E757" s="6">
        <v>8514.58</v>
      </c>
      <c r="F757" s="6">
        <v>766.31</v>
      </c>
      <c r="G757" s="6">
        <v>766.31</v>
      </c>
      <c r="H757" s="6">
        <v>10047.200000000001</v>
      </c>
      <c r="I757" s="19" t="str">
        <v>GST</v>
      </c>
      <c r="J757" s="1" t="str">
        <f t="shared" si="33"/>
        <v>Unique</v>
      </c>
      <c r="K757" s="21" t="str">
        <f t="shared" si="34"/>
        <v/>
      </c>
      <c r="L757" s="4" t="str">
        <f>IF(COUNTIFS(A:A,A757,C:C,C757)=2,IF(K757="Mismatch","Value Mismatch","Matched"),IF(I757= "Tally","Missing in GST","Missing in Tally"))</f>
        <v>Missing in Tally</v>
      </c>
      <c r="M757" s="6" t="str">
        <f t="shared" si="35"/>
        <v/>
      </c>
    </row>
    <row r="758" spans="1:13" x14ac:dyDescent="0.2">
      <c r="A758" s="1" t="str">
        <v>INV2256</v>
      </c>
      <c r="B758" s="2" t="str">
        <v>31-05-2024</v>
      </c>
      <c r="C758" s="1" t="str">
        <v>29PQRSX5678L1Z2</v>
      </c>
      <c r="D758" s="4" t="str">
        <v>Kiran Enterprises</v>
      </c>
      <c r="E758" s="6">
        <v>36009.839999999997</v>
      </c>
      <c r="F758" s="6">
        <v>3240.89</v>
      </c>
      <c r="G758" s="6">
        <v>3240.89</v>
      </c>
      <c r="H758" s="6">
        <v>42491.62</v>
      </c>
      <c r="I758" s="19" t="str">
        <v>GST</v>
      </c>
      <c r="J758" s="1" t="str">
        <f t="shared" si="33"/>
        <v>Unique</v>
      </c>
      <c r="K758" s="21" t="str">
        <f t="shared" si="34"/>
        <v/>
      </c>
      <c r="L758" s="4" t="str">
        <f>IF(COUNTIFS(A:A,A758,C:C,C758)=2,IF(K758="Mismatch","Value Mismatch","Matched"),IF(I758= "Tally","Missing in GST","Missing in Tally"))</f>
        <v>Missing in Tally</v>
      </c>
      <c r="M758" s="6" t="str">
        <f t="shared" si="35"/>
        <v/>
      </c>
    </row>
    <row r="759" spans="1:13" x14ac:dyDescent="0.2">
      <c r="A759" s="1" t="str">
        <v>INV2257</v>
      </c>
      <c r="B759" s="2" t="str">
        <v>16-04-2024</v>
      </c>
      <c r="C759" s="1" t="str">
        <v>24LMNOP4321K1Z7</v>
      </c>
      <c r="D759" s="4" t="str">
        <v>Patel Industries</v>
      </c>
      <c r="E759" s="6">
        <v>15581.97</v>
      </c>
      <c r="F759" s="6">
        <v>1402.38</v>
      </c>
      <c r="G759" s="6">
        <v>1402.38</v>
      </c>
      <c r="H759" s="6">
        <v>18386.73</v>
      </c>
      <c r="I759" s="19" t="str">
        <v>GST</v>
      </c>
      <c r="J759" s="1" t="str">
        <f t="shared" si="33"/>
        <v>Unique</v>
      </c>
      <c r="K759" s="21" t="str">
        <f t="shared" si="34"/>
        <v/>
      </c>
      <c r="L759" s="4" t="str">
        <f>IF(COUNTIFS(A:A,A759,C:C,C759)=2,IF(K759="Mismatch","Value Mismatch","Matched"),IF(I759= "Tally","Missing in GST","Missing in Tally"))</f>
        <v>Missing in Tally</v>
      </c>
      <c r="M759" s="6" t="str">
        <f t="shared" si="35"/>
        <v/>
      </c>
    </row>
    <row r="760" spans="1:13" x14ac:dyDescent="0.2">
      <c r="A760" s="1" t="str">
        <v>INV2258</v>
      </c>
      <c r="B760" s="2" t="str">
        <v>14-06-2024</v>
      </c>
      <c r="C760" s="1" t="str">
        <v>19ASDFG2468H1Z9</v>
      </c>
      <c r="D760" s="4" t="str">
        <v>Eastern Distributors</v>
      </c>
      <c r="E760" s="6">
        <v>38641.83</v>
      </c>
      <c r="F760" s="6">
        <v>3477.76</v>
      </c>
      <c r="G760" s="6">
        <v>3477.76</v>
      </c>
      <c r="H760" s="6">
        <v>45597.35</v>
      </c>
      <c r="I760" s="19" t="str">
        <v>GST</v>
      </c>
      <c r="J760" s="1" t="str">
        <f t="shared" si="33"/>
        <v>Unique</v>
      </c>
      <c r="K760" s="21" t="str">
        <f t="shared" si="34"/>
        <v/>
      </c>
      <c r="L760" s="4" t="str">
        <f>IF(COUNTIFS(A:A,A760,C:C,C760)=2,IF(K760="Mismatch","Value Mismatch","Matched"),IF(I760= "Tally","Missing in GST","Missing in Tally"))</f>
        <v>Missing in Tally</v>
      </c>
      <c r="M760" s="6" t="str">
        <f t="shared" si="35"/>
        <v/>
      </c>
    </row>
    <row r="761" spans="1:13" x14ac:dyDescent="0.2">
      <c r="A761" s="1" t="str">
        <v>INV2259</v>
      </c>
      <c r="B761" s="2" t="str">
        <v>06-04-2024</v>
      </c>
      <c r="C761" s="1" t="str">
        <v>24LMNOP4321K1Z7</v>
      </c>
      <c r="D761" s="4" t="str">
        <v>Patel Industries</v>
      </c>
      <c r="E761" s="6">
        <v>33727.760000000002</v>
      </c>
      <c r="F761" s="6">
        <v>3035.5</v>
      </c>
      <c r="G761" s="6">
        <v>3035.5</v>
      </c>
      <c r="H761" s="6">
        <v>39798.76</v>
      </c>
      <c r="I761" s="19" t="str">
        <v>GST</v>
      </c>
      <c r="J761" s="1" t="str">
        <f t="shared" si="33"/>
        <v>Unique</v>
      </c>
      <c r="K761" s="21" t="str">
        <f t="shared" si="34"/>
        <v/>
      </c>
      <c r="L761" s="4" t="str">
        <f>IF(COUNTIFS(A:A,A761,C:C,C761)=2,IF(K761="Mismatch","Value Mismatch","Matched"),IF(I761= "Tally","Missing in GST","Missing in Tally"))</f>
        <v>Missing in Tally</v>
      </c>
      <c r="M761" s="6" t="str">
        <f t="shared" si="35"/>
        <v/>
      </c>
    </row>
    <row r="762" spans="1:13" x14ac:dyDescent="0.2">
      <c r="A762" s="1" t="str">
        <v>INV2260</v>
      </c>
      <c r="B762" s="2" t="str">
        <v>27-05-2024</v>
      </c>
      <c r="C762" s="1" t="str">
        <v>07ZXCVB9876M1Z3</v>
      </c>
      <c r="D762" s="4" t="str">
        <v>Gupta Supplies</v>
      </c>
      <c r="E762" s="6">
        <v>30704.7</v>
      </c>
      <c r="F762" s="6">
        <v>2763.42</v>
      </c>
      <c r="G762" s="6">
        <v>2763.42</v>
      </c>
      <c r="H762" s="6">
        <v>36231.54</v>
      </c>
      <c r="I762" s="19" t="str">
        <v>GST</v>
      </c>
      <c r="J762" s="1" t="str">
        <f t="shared" si="33"/>
        <v>Unique</v>
      </c>
      <c r="K762" s="21" t="str">
        <f t="shared" si="34"/>
        <v/>
      </c>
      <c r="L762" s="4" t="str">
        <f>IF(COUNTIFS(A:A,A762,C:C,C762)=2,IF(K762="Mismatch","Value Mismatch","Matched"),IF(I762= "Tally","Missing in GST","Missing in Tally"))</f>
        <v>Missing in Tally</v>
      </c>
      <c r="M762" s="6" t="str">
        <f t="shared" si="35"/>
        <v/>
      </c>
    </row>
    <row r="763" spans="1:13" x14ac:dyDescent="0.2">
      <c r="A763" s="1" t="str">
        <v>INV2261</v>
      </c>
      <c r="B763" s="2" t="str">
        <v>09-06-2024</v>
      </c>
      <c r="C763" s="1" t="str">
        <v>27ABCDE1234F1Z5</v>
      </c>
      <c r="D763" s="4" t="str">
        <v>Sharma Traders</v>
      </c>
      <c r="E763" s="6">
        <v>46147.39</v>
      </c>
      <c r="F763" s="6">
        <v>4153.2700000000004</v>
      </c>
      <c r="G763" s="6">
        <v>4153.2700000000004</v>
      </c>
      <c r="H763" s="6">
        <v>54453.93</v>
      </c>
      <c r="I763" s="19" t="str">
        <v>GST</v>
      </c>
      <c r="J763" s="1" t="str">
        <f t="shared" si="33"/>
        <v>Unique</v>
      </c>
      <c r="K763" s="21" t="str">
        <f t="shared" si="34"/>
        <v/>
      </c>
      <c r="L763" s="4" t="str">
        <f>IF(COUNTIFS(A:A,A763,C:C,C763)=2,IF(K763="Mismatch","Value Mismatch","Matched"),IF(I763= "Tally","Missing in GST","Missing in Tally"))</f>
        <v>Missing in Tally</v>
      </c>
      <c r="M763" s="6" t="str">
        <f t="shared" si="35"/>
        <v/>
      </c>
    </row>
    <row r="764" spans="1:13" x14ac:dyDescent="0.2">
      <c r="A764" s="1" t="str">
        <v>INV2262</v>
      </c>
      <c r="B764" s="2" t="str">
        <v>12-05-2024</v>
      </c>
      <c r="C764" s="1" t="str">
        <v>24LMNOP4321K1Z7</v>
      </c>
      <c r="D764" s="4" t="str">
        <v>Patel Industries</v>
      </c>
      <c r="E764" s="6">
        <v>26569.49</v>
      </c>
      <c r="F764" s="6">
        <v>2391.25</v>
      </c>
      <c r="G764" s="6">
        <v>2391.25</v>
      </c>
      <c r="H764" s="6">
        <v>31351.99</v>
      </c>
      <c r="I764" s="19" t="str">
        <v>GST</v>
      </c>
      <c r="J764" s="1" t="str">
        <f t="shared" si="33"/>
        <v>Unique</v>
      </c>
      <c r="K764" s="21" t="str">
        <f t="shared" si="34"/>
        <v/>
      </c>
      <c r="L764" s="4" t="str">
        <f>IF(COUNTIFS(A:A,A764,C:C,C764)=2,IF(K764="Mismatch","Value Mismatch","Matched"),IF(I764= "Tally","Missing in GST","Missing in Tally"))</f>
        <v>Missing in Tally</v>
      </c>
      <c r="M764" s="6" t="str">
        <f t="shared" si="35"/>
        <v/>
      </c>
    </row>
    <row r="765" spans="1:13" x14ac:dyDescent="0.2">
      <c r="A765" s="1" t="str">
        <v>INV2263</v>
      </c>
      <c r="B765" s="2" t="str">
        <v>29-05-2024</v>
      </c>
      <c r="C765" s="1" t="str">
        <v>24LMNOP4321K1Z7</v>
      </c>
      <c r="D765" s="4" t="str">
        <v>Patel Industries</v>
      </c>
      <c r="E765" s="6">
        <v>5243.35</v>
      </c>
      <c r="F765" s="6">
        <v>471.9</v>
      </c>
      <c r="G765" s="6">
        <v>471.9</v>
      </c>
      <c r="H765" s="6">
        <v>6187.15</v>
      </c>
      <c r="I765" s="19" t="str">
        <v>GST</v>
      </c>
      <c r="J765" s="1" t="str">
        <f t="shared" si="33"/>
        <v>Unique</v>
      </c>
      <c r="K765" s="21" t="str">
        <f t="shared" si="34"/>
        <v/>
      </c>
      <c r="L765" s="4" t="str">
        <f>IF(COUNTIFS(A:A,A765,C:C,C765)=2,IF(K765="Mismatch","Value Mismatch","Matched"),IF(I765= "Tally","Missing in GST","Missing in Tally"))</f>
        <v>Missing in Tally</v>
      </c>
      <c r="M765" s="6" t="str">
        <f t="shared" si="35"/>
        <v/>
      </c>
    </row>
    <row r="766" spans="1:13" x14ac:dyDescent="0.2">
      <c r="A766" s="1" t="str">
        <v>INV2264</v>
      </c>
      <c r="B766" s="2" t="str">
        <v>29-04-2024</v>
      </c>
      <c r="C766" s="1" t="str">
        <v>27ABCDE1234F1Z5</v>
      </c>
      <c r="D766" s="4" t="str">
        <v>Sharma Traders</v>
      </c>
      <c r="E766" s="6">
        <v>11395.87</v>
      </c>
      <c r="F766" s="6">
        <v>1025.6300000000001</v>
      </c>
      <c r="G766" s="6">
        <v>1025.6300000000001</v>
      </c>
      <c r="H766" s="6">
        <v>13447.13</v>
      </c>
      <c r="I766" s="19" t="str">
        <v>GST</v>
      </c>
      <c r="J766" s="1" t="str">
        <f t="shared" si="33"/>
        <v>Unique</v>
      </c>
      <c r="K766" s="21" t="str">
        <f t="shared" si="34"/>
        <v/>
      </c>
      <c r="L766" s="4" t="str">
        <f>IF(COUNTIFS(A:A,A766,C:C,C766)=2,IF(K766="Mismatch","Value Mismatch","Matched"),IF(I766= "Tally","Missing in GST","Missing in Tally"))</f>
        <v>Missing in Tally</v>
      </c>
      <c r="M766" s="6" t="str">
        <f t="shared" si="35"/>
        <v/>
      </c>
    </row>
    <row r="767" spans="1:13" x14ac:dyDescent="0.2">
      <c r="A767" s="1" t="str">
        <v>INV2265</v>
      </c>
      <c r="B767" s="2" t="str">
        <v>09-06-2024</v>
      </c>
      <c r="C767" s="1" t="str">
        <v>29PQRSX5678L1Z2</v>
      </c>
      <c r="D767" s="4" t="str">
        <v>Kiran Enterprises</v>
      </c>
      <c r="E767" s="6">
        <v>10508.19</v>
      </c>
      <c r="F767" s="6">
        <v>945.74</v>
      </c>
      <c r="G767" s="6">
        <v>945.74</v>
      </c>
      <c r="H767" s="6">
        <v>12399.67</v>
      </c>
      <c r="I767" s="19" t="str">
        <v>GST</v>
      </c>
      <c r="J767" s="1" t="str">
        <f t="shared" si="33"/>
        <v>Unique</v>
      </c>
      <c r="K767" s="21" t="str">
        <f t="shared" si="34"/>
        <v/>
      </c>
      <c r="L767" s="4" t="str">
        <f>IF(COUNTIFS(A:A,A767,C:C,C767)=2,IF(K767="Mismatch","Value Mismatch","Matched"),IF(I767= "Tally","Missing in GST","Missing in Tally"))</f>
        <v>Missing in Tally</v>
      </c>
      <c r="M767" s="6" t="str">
        <f t="shared" si="35"/>
        <v/>
      </c>
    </row>
    <row r="768" spans="1:13" x14ac:dyDescent="0.2">
      <c r="A768" s="1" t="str">
        <v>INV2266</v>
      </c>
      <c r="B768" s="2" t="str">
        <v>18-04-2024</v>
      </c>
      <c r="C768" s="1" t="str">
        <v>27ABCDE1234F1Z5</v>
      </c>
      <c r="D768" s="4" t="str">
        <v>Sharma Traders</v>
      </c>
      <c r="E768" s="6">
        <v>1623.77</v>
      </c>
      <c r="F768" s="6">
        <v>146.13999999999999</v>
      </c>
      <c r="G768" s="6">
        <v>146.13999999999999</v>
      </c>
      <c r="H768" s="6">
        <v>1916.05</v>
      </c>
      <c r="I768" s="19" t="str">
        <v>GST</v>
      </c>
      <c r="J768" s="1" t="str">
        <f t="shared" si="33"/>
        <v>Unique</v>
      </c>
      <c r="K768" s="21" t="str">
        <f t="shared" si="34"/>
        <v/>
      </c>
      <c r="L768" s="4" t="str">
        <f>IF(COUNTIFS(A:A,A768,C:C,C768)=2,IF(K768="Mismatch","Value Mismatch","Matched"),IF(I768= "Tally","Missing in GST","Missing in Tally"))</f>
        <v>Missing in Tally</v>
      </c>
      <c r="M768" s="6" t="str">
        <f t="shared" si="35"/>
        <v/>
      </c>
    </row>
    <row r="769" spans="1:13" x14ac:dyDescent="0.2">
      <c r="A769" s="1" t="str">
        <v>INV2267</v>
      </c>
      <c r="B769" s="2" t="str">
        <v>01-04-2024</v>
      </c>
      <c r="C769" s="1" t="str">
        <v>07ZXCVB9876M1Z3</v>
      </c>
      <c r="D769" s="4" t="str">
        <v>Gupta Supplies</v>
      </c>
      <c r="E769" s="6">
        <v>2331.94</v>
      </c>
      <c r="F769" s="6">
        <v>209.87</v>
      </c>
      <c r="G769" s="6">
        <v>209.87</v>
      </c>
      <c r="H769" s="6">
        <v>2751.68</v>
      </c>
      <c r="I769" s="19" t="str">
        <v>GST</v>
      </c>
      <c r="J769" s="1" t="str">
        <f t="shared" si="33"/>
        <v>Unique</v>
      </c>
      <c r="K769" s="21" t="str">
        <f t="shared" si="34"/>
        <v/>
      </c>
      <c r="L769" s="4" t="str">
        <f>IF(COUNTIFS(A:A,A769,C:C,C769)=2,IF(K769="Mismatch","Value Mismatch","Matched"),IF(I769= "Tally","Missing in GST","Missing in Tally"))</f>
        <v>Missing in Tally</v>
      </c>
      <c r="M769" s="6" t="str">
        <f t="shared" si="35"/>
        <v/>
      </c>
    </row>
    <row r="770" spans="1:13" x14ac:dyDescent="0.2">
      <c r="A770" s="1" t="str">
        <v>INV2268</v>
      </c>
      <c r="B770" s="2" t="str">
        <v>08-05-2024</v>
      </c>
      <c r="C770" s="1" t="str">
        <v>07ZXCVB9876M1Z3</v>
      </c>
      <c r="D770" s="4" t="str">
        <v>Gupta Supplies</v>
      </c>
      <c r="E770" s="6">
        <v>48770.98</v>
      </c>
      <c r="F770" s="6">
        <v>4389.3900000000003</v>
      </c>
      <c r="G770" s="6">
        <v>4389.3900000000003</v>
      </c>
      <c r="H770" s="6">
        <v>57549.760000000002</v>
      </c>
      <c r="I770" s="19" t="str">
        <v>GST</v>
      </c>
      <c r="J770" s="1" t="str">
        <f t="shared" si="33"/>
        <v>Unique</v>
      </c>
      <c r="K770" s="21" t="str">
        <f t="shared" si="34"/>
        <v/>
      </c>
      <c r="L770" s="4" t="str">
        <f>IF(COUNTIFS(A:A,A770,C:C,C770)=2,IF(K770="Mismatch","Value Mismatch","Matched"),IF(I770= "Tally","Missing in GST","Missing in Tally"))</f>
        <v>Missing in Tally</v>
      </c>
      <c r="M770" s="6" t="str">
        <f t="shared" si="35"/>
        <v/>
      </c>
    </row>
    <row r="771" spans="1:13" x14ac:dyDescent="0.2">
      <c r="A771" s="1" t="str">
        <v>INV2269</v>
      </c>
      <c r="B771" s="2" t="str">
        <v>16-05-2024</v>
      </c>
      <c r="C771" s="1" t="str">
        <v>07ZXCVB9876M1Z3</v>
      </c>
      <c r="D771" s="4" t="str">
        <v>Gupta Supplies</v>
      </c>
      <c r="E771" s="6">
        <v>3457.03</v>
      </c>
      <c r="F771" s="6">
        <v>311.13</v>
      </c>
      <c r="G771" s="6">
        <v>311.13</v>
      </c>
      <c r="H771" s="6">
        <v>4079.29</v>
      </c>
      <c r="I771" s="19" t="str">
        <v>GST</v>
      </c>
      <c r="J771" s="1" t="str">
        <f t="shared" ref="J771:J834" si="36">IF(COUNTIFS(A:A,A771,D:D,D771,I:I,I771)&gt;1,"Duplicate","Unique")</f>
        <v>Unique</v>
      </c>
      <c r="K771" s="21" t="str">
        <f t="shared" ref="K771:K834" si="37">IF(COUNTIFS(A:A,A771,C:C,C771)=2,IF(SUMIFS(E:E,A:A,A771,C:C,C771)&lt;&gt;E771*2,"Mismatch","Matched"),"")</f>
        <v/>
      </c>
      <c r="L771" s="4" t="str">
        <f>IF(COUNTIFS(A:A,A771,C:C,C771)=2,IF(K771="Mismatch","Value Mismatch","Matched"),IF(I771= "Tally","Missing in GST","Missing in Tally"))</f>
        <v>Missing in Tally</v>
      </c>
      <c r="M771" s="6" t="str">
        <f t="shared" ref="M771:M834" si="38">IF(COUNTIFS(A:A,A771,C:C,C771)=2,SUMIFS(E:E,A:A,A771,C:C,C771)-E771*2,"")</f>
        <v/>
      </c>
    </row>
    <row r="772" spans="1:13" x14ac:dyDescent="0.2">
      <c r="A772" s="1" t="str">
        <v>INV2270</v>
      </c>
      <c r="B772" s="2" t="str">
        <v>30-06-2024</v>
      </c>
      <c r="C772" s="1" t="str">
        <v>19ASDFG2468H1Z9</v>
      </c>
      <c r="D772" s="4" t="str">
        <v>Eastern Distributors</v>
      </c>
      <c r="E772" s="6">
        <v>26618.43</v>
      </c>
      <c r="F772" s="6">
        <v>2395.66</v>
      </c>
      <c r="G772" s="6">
        <v>2395.66</v>
      </c>
      <c r="H772" s="6">
        <v>31409.75</v>
      </c>
      <c r="I772" s="19" t="str">
        <v>GST</v>
      </c>
      <c r="J772" s="1" t="str">
        <f t="shared" si="36"/>
        <v>Unique</v>
      </c>
      <c r="K772" s="21" t="str">
        <f t="shared" si="37"/>
        <v/>
      </c>
      <c r="L772" s="4" t="str">
        <f>IF(COUNTIFS(A:A,A772,C:C,C772)=2,IF(K772="Mismatch","Value Mismatch","Matched"),IF(I772= "Tally","Missing in GST","Missing in Tally"))</f>
        <v>Missing in Tally</v>
      </c>
      <c r="M772" s="6" t="str">
        <f t="shared" si="38"/>
        <v/>
      </c>
    </row>
    <row r="773" spans="1:13" x14ac:dyDescent="0.2">
      <c r="A773" s="1" t="str">
        <v>INV2271</v>
      </c>
      <c r="B773" s="2" t="str">
        <v>20-05-2024</v>
      </c>
      <c r="C773" s="1" t="str">
        <v>07ZXCVB9876M1Z3</v>
      </c>
      <c r="D773" s="4" t="str">
        <v>Gupta Supplies</v>
      </c>
      <c r="E773" s="6">
        <v>2847.19</v>
      </c>
      <c r="F773" s="6">
        <v>256.25</v>
      </c>
      <c r="G773" s="6">
        <v>256.25</v>
      </c>
      <c r="H773" s="6">
        <v>3359.69</v>
      </c>
      <c r="I773" s="19" t="str">
        <v>GST</v>
      </c>
      <c r="J773" s="1" t="str">
        <f t="shared" si="36"/>
        <v>Unique</v>
      </c>
      <c r="K773" s="21" t="str">
        <f t="shared" si="37"/>
        <v/>
      </c>
      <c r="L773" s="4" t="str">
        <f>IF(COUNTIFS(A:A,A773,C:C,C773)=2,IF(K773="Mismatch","Value Mismatch","Matched"),IF(I773= "Tally","Missing in GST","Missing in Tally"))</f>
        <v>Missing in Tally</v>
      </c>
      <c r="M773" s="6" t="str">
        <f t="shared" si="38"/>
        <v/>
      </c>
    </row>
    <row r="774" spans="1:13" x14ac:dyDescent="0.2">
      <c r="A774" s="1" t="str">
        <v>INV2272</v>
      </c>
      <c r="B774" s="2" t="str">
        <v>01-05-2024</v>
      </c>
      <c r="C774" s="1" t="str">
        <v>07ZXCVB9876M1Z3</v>
      </c>
      <c r="D774" s="4" t="str">
        <v>Gupta Supplies</v>
      </c>
      <c r="E774" s="6">
        <v>17550.39</v>
      </c>
      <c r="F774" s="6">
        <v>1579.54</v>
      </c>
      <c r="G774" s="6">
        <v>1579.54</v>
      </c>
      <c r="H774" s="6">
        <v>20709.47</v>
      </c>
      <c r="I774" s="19" t="str">
        <v>GST</v>
      </c>
      <c r="J774" s="1" t="str">
        <f t="shared" si="36"/>
        <v>Unique</v>
      </c>
      <c r="K774" s="21" t="str">
        <f t="shared" si="37"/>
        <v/>
      </c>
      <c r="L774" s="4" t="str">
        <f>IF(COUNTIFS(A:A,A774,C:C,C774)=2,IF(K774="Mismatch","Value Mismatch","Matched"),IF(I774= "Tally","Missing in GST","Missing in Tally"))</f>
        <v>Missing in Tally</v>
      </c>
      <c r="M774" s="6" t="str">
        <f t="shared" si="38"/>
        <v/>
      </c>
    </row>
    <row r="775" spans="1:13" x14ac:dyDescent="0.2">
      <c r="A775" s="1" t="str">
        <v>INV2273</v>
      </c>
      <c r="B775" s="2" t="str">
        <v>15-06-2024</v>
      </c>
      <c r="C775" s="1" t="str">
        <v>29PQRSX5678L1Z2</v>
      </c>
      <c r="D775" s="4" t="str">
        <v>Kiran Enterprises</v>
      </c>
      <c r="E775" s="6">
        <v>23918.23</v>
      </c>
      <c r="F775" s="6">
        <v>2152.64</v>
      </c>
      <c r="G775" s="6">
        <v>2152.64</v>
      </c>
      <c r="H775" s="6">
        <v>28223.51</v>
      </c>
      <c r="I775" s="19" t="str">
        <v>GST</v>
      </c>
      <c r="J775" s="1" t="str">
        <f t="shared" si="36"/>
        <v>Unique</v>
      </c>
      <c r="K775" s="21" t="str">
        <f t="shared" si="37"/>
        <v/>
      </c>
      <c r="L775" s="4" t="str">
        <f>IF(COUNTIFS(A:A,A775,C:C,C775)=2,IF(K775="Mismatch","Value Mismatch","Matched"),IF(I775= "Tally","Missing in GST","Missing in Tally"))</f>
        <v>Missing in Tally</v>
      </c>
      <c r="M775" s="6" t="str">
        <f t="shared" si="38"/>
        <v/>
      </c>
    </row>
    <row r="776" spans="1:13" x14ac:dyDescent="0.2">
      <c r="A776" s="1" t="str">
        <v>INV2274</v>
      </c>
      <c r="B776" s="2" t="str">
        <v>01-06-2024</v>
      </c>
      <c r="C776" s="1" t="str">
        <v>29PQRSX5678L1Z2</v>
      </c>
      <c r="D776" s="4" t="str">
        <v>Kiran Enterprises</v>
      </c>
      <c r="E776" s="6">
        <v>46027.33</v>
      </c>
      <c r="F776" s="6">
        <v>4142.46</v>
      </c>
      <c r="G776" s="6">
        <v>4142.46</v>
      </c>
      <c r="H776" s="6">
        <v>54312.25</v>
      </c>
      <c r="I776" s="19" t="str">
        <v>GST</v>
      </c>
      <c r="J776" s="1" t="str">
        <f t="shared" si="36"/>
        <v>Unique</v>
      </c>
      <c r="K776" s="21" t="str">
        <f t="shared" si="37"/>
        <v/>
      </c>
      <c r="L776" s="4" t="str">
        <f>IF(COUNTIFS(A:A,A776,C:C,C776)=2,IF(K776="Mismatch","Value Mismatch","Matched"),IF(I776= "Tally","Missing in GST","Missing in Tally"))</f>
        <v>Missing in Tally</v>
      </c>
      <c r="M776" s="6" t="str">
        <f t="shared" si="38"/>
        <v/>
      </c>
    </row>
    <row r="777" spans="1:13" x14ac:dyDescent="0.2">
      <c r="A777" s="1" t="str">
        <v>INV2275</v>
      </c>
      <c r="B777" s="2" t="str">
        <v>13-05-2024</v>
      </c>
      <c r="C777" s="1" t="str">
        <v>07ZXCVB9876M1Z3</v>
      </c>
      <c r="D777" s="4" t="str">
        <v>Gupta Supplies</v>
      </c>
      <c r="E777" s="6">
        <v>3294.69</v>
      </c>
      <c r="F777" s="6">
        <v>296.52</v>
      </c>
      <c r="G777" s="6">
        <v>296.52</v>
      </c>
      <c r="H777" s="6">
        <v>3887.73</v>
      </c>
      <c r="I777" s="19" t="str">
        <v>GST</v>
      </c>
      <c r="J777" s="1" t="str">
        <f t="shared" si="36"/>
        <v>Unique</v>
      </c>
      <c r="K777" s="21" t="str">
        <f t="shared" si="37"/>
        <v/>
      </c>
      <c r="L777" s="4" t="str">
        <f>IF(COUNTIFS(A:A,A777,C:C,C777)=2,IF(K777="Mismatch","Value Mismatch","Matched"),IF(I777= "Tally","Missing in GST","Missing in Tally"))</f>
        <v>Missing in Tally</v>
      </c>
      <c r="M777" s="6" t="str">
        <f t="shared" si="38"/>
        <v/>
      </c>
    </row>
    <row r="778" spans="1:13" x14ac:dyDescent="0.2">
      <c r="A778" s="1" t="str">
        <v>INV2276</v>
      </c>
      <c r="B778" s="2" t="str">
        <v>09-06-2024</v>
      </c>
      <c r="C778" s="1" t="str">
        <v>07ZXCVB9876M1Z3</v>
      </c>
      <c r="D778" s="4" t="str">
        <v>Gupta Supplies</v>
      </c>
      <c r="E778" s="6">
        <v>23924.77</v>
      </c>
      <c r="F778" s="6">
        <v>2153.23</v>
      </c>
      <c r="G778" s="6">
        <v>2153.23</v>
      </c>
      <c r="H778" s="6">
        <v>28231.23</v>
      </c>
      <c r="I778" s="19" t="str">
        <v>GST</v>
      </c>
      <c r="J778" s="1" t="str">
        <f t="shared" si="36"/>
        <v>Unique</v>
      </c>
      <c r="K778" s="21" t="str">
        <f t="shared" si="37"/>
        <v/>
      </c>
      <c r="L778" s="4" t="str">
        <f>IF(COUNTIFS(A:A,A778,C:C,C778)=2,IF(K778="Mismatch","Value Mismatch","Matched"),IF(I778= "Tally","Missing in GST","Missing in Tally"))</f>
        <v>Missing in Tally</v>
      </c>
      <c r="M778" s="6" t="str">
        <f t="shared" si="38"/>
        <v/>
      </c>
    </row>
    <row r="779" spans="1:13" x14ac:dyDescent="0.2">
      <c r="A779" s="1" t="str">
        <v>INV2277</v>
      </c>
      <c r="B779" s="2" t="str">
        <v>09-05-2024</v>
      </c>
      <c r="C779" s="1" t="str">
        <v>24LMNOP4321K1Z7</v>
      </c>
      <c r="D779" s="4" t="str">
        <v>Patel Industries</v>
      </c>
      <c r="E779" s="6">
        <v>28252.75</v>
      </c>
      <c r="F779" s="6">
        <v>2542.75</v>
      </c>
      <c r="G779" s="6">
        <v>2542.75</v>
      </c>
      <c r="H779" s="6">
        <v>33338.25</v>
      </c>
      <c r="I779" s="19" t="str">
        <v>GST</v>
      </c>
      <c r="J779" s="1" t="str">
        <f t="shared" si="36"/>
        <v>Unique</v>
      </c>
      <c r="K779" s="21" t="str">
        <f t="shared" si="37"/>
        <v/>
      </c>
      <c r="L779" s="4" t="str">
        <f>IF(COUNTIFS(A:A,A779,C:C,C779)=2,IF(K779="Mismatch","Value Mismatch","Matched"),IF(I779= "Tally","Missing in GST","Missing in Tally"))</f>
        <v>Missing in Tally</v>
      </c>
      <c r="M779" s="6" t="str">
        <f t="shared" si="38"/>
        <v/>
      </c>
    </row>
    <row r="780" spans="1:13" x14ac:dyDescent="0.2">
      <c r="A780" s="1" t="str">
        <v>INV2278</v>
      </c>
      <c r="B780" s="2" t="str">
        <v>20-06-2024</v>
      </c>
      <c r="C780" s="1" t="str">
        <v>27ABCDE1234F1Z5</v>
      </c>
      <c r="D780" s="4" t="str">
        <v>Sharma Traders</v>
      </c>
      <c r="E780" s="6">
        <v>8771.91</v>
      </c>
      <c r="F780" s="6">
        <v>789.47</v>
      </c>
      <c r="G780" s="6">
        <v>789.47</v>
      </c>
      <c r="H780" s="6">
        <v>10350.85</v>
      </c>
      <c r="I780" s="19" t="str">
        <v>GST</v>
      </c>
      <c r="J780" s="1" t="str">
        <f t="shared" si="36"/>
        <v>Unique</v>
      </c>
      <c r="K780" s="21" t="str">
        <f t="shared" si="37"/>
        <v/>
      </c>
      <c r="L780" s="4" t="str">
        <f>IF(COUNTIFS(A:A,A780,C:C,C780)=2,IF(K780="Mismatch","Value Mismatch","Matched"),IF(I780= "Tally","Missing in GST","Missing in Tally"))</f>
        <v>Missing in Tally</v>
      </c>
      <c r="M780" s="6" t="str">
        <f t="shared" si="38"/>
        <v/>
      </c>
    </row>
    <row r="781" spans="1:13" x14ac:dyDescent="0.2">
      <c r="A781" s="1" t="str">
        <v>INV2279</v>
      </c>
      <c r="B781" s="2" t="str">
        <v>08-06-2024</v>
      </c>
      <c r="C781" s="1" t="str">
        <v>24LMNOP4321K1Z7</v>
      </c>
      <c r="D781" s="4" t="str">
        <v>Patel Industries</v>
      </c>
      <c r="E781" s="6">
        <v>25827.52</v>
      </c>
      <c r="F781" s="6">
        <v>2324.48</v>
      </c>
      <c r="G781" s="6">
        <v>2324.48</v>
      </c>
      <c r="H781" s="6">
        <v>30476.48</v>
      </c>
      <c r="I781" s="19" t="str">
        <v>GST</v>
      </c>
      <c r="J781" s="1" t="str">
        <f t="shared" si="36"/>
        <v>Unique</v>
      </c>
      <c r="K781" s="21" t="str">
        <f t="shared" si="37"/>
        <v/>
      </c>
      <c r="L781" s="4" t="str">
        <f>IF(COUNTIFS(A:A,A781,C:C,C781)=2,IF(K781="Mismatch","Value Mismatch","Matched"),IF(I781= "Tally","Missing in GST","Missing in Tally"))</f>
        <v>Missing in Tally</v>
      </c>
      <c r="M781" s="6" t="str">
        <f t="shared" si="38"/>
        <v/>
      </c>
    </row>
    <row r="782" spans="1:13" x14ac:dyDescent="0.2">
      <c r="A782" s="1" t="str">
        <v>INV2280</v>
      </c>
      <c r="B782" s="2" t="str">
        <v>15-04-2024</v>
      </c>
      <c r="C782" s="1" t="str">
        <v>24LMNOP4321K1Z7</v>
      </c>
      <c r="D782" s="4" t="str">
        <v>Patel Industries</v>
      </c>
      <c r="E782" s="6">
        <v>16784.86</v>
      </c>
      <c r="F782" s="6">
        <v>1510.64</v>
      </c>
      <c r="G782" s="6">
        <v>1510.64</v>
      </c>
      <c r="H782" s="6">
        <v>19806.14</v>
      </c>
      <c r="I782" s="19" t="str">
        <v>GST</v>
      </c>
      <c r="J782" s="1" t="str">
        <f t="shared" si="36"/>
        <v>Unique</v>
      </c>
      <c r="K782" s="21" t="str">
        <f t="shared" si="37"/>
        <v/>
      </c>
      <c r="L782" s="4" t="str">
        <f>IF(COUNTIFS(A:A,A782,C:C,C782)=2,IF(K782="Mismatch","Value Mismatch","Matched"),IF(I782= "Tally","Missing in GST","Missing in Tally"))</f>
        <v>Missing in Tally</v>
      </c>
      <c r="M782" s="6" t="str">
        <f t="shared" si="38"/>
        <v/>
      </c>
    </row>
    <row r="783" spans="1:13" x14ac:dyDescent="0.2">
      <c r="A783" s="1" t="str">
        <v>INV2281</v>
      </c>
      <c r="B783" s="2" t="str">
        <v>24-05-2024</v>
      </c>
      <c r="C783" s="1" t="str">
        <v>27ABCDE1234F1Z5</v>
      </c>
      <c r="D783" s="4" t="str">
        <v>Sharma Traders</v>
      </c>
      <c r="E783" s="6">
        <v>22006.959999999999</v>
      </c>
      <c r="F783" s="6">
        <v>1980.63</v>
      </c>
      <c r="G783" s="6">
        <v>1980.63</v>
      </c>
      <c r="H783" s="6">
        <v>25968.22</v>
      </c>
      <c r="I783" s="19" t="str">
        <v>GST</v>
      </c>
      <c r="J783" s="1" t="str">
        <f t="shared" si="36"/>
        <v>Unique</v>
      </c>
      <c r="K783" s="21" t="str">
        <f t="shared" si="37"/>
        <v/>
      </c>
      <c r="L783" s="4" t="str">
        <f>IF(COUNTIFS(A:A,A783,C:C,C783)=2,IF(K783="Mismatch","Value Mismatch","Matched"),IF(I783= "Tally","Missing in GST","Missing in Tally"))</f>
        <v>Missing in Tally</v>
      </c>
      <c r="M783" s="6" t="str">
        <f t="shared" si="38"/>
        <v/>
      </c>
    </row>
    <row r="784" spans="1:13" x14ac:dyDescent="0.2">
      <c r="A784" s="1" t="str">
        <v>INV2282</v>
      </c>
      <c r="B784" s="2" t="str">
        <v>07-06-2024</v>
      </c>
      <c r="C784" s="1" t="str">
        <v>29PQRSX5678L1Z2</v>
      </c>
      <c r="D784" s="4" t="str">
        <v>Kiran Enterprises</v>
      </c>
      <c r="E784" s="6">
        <v>14158.67</v>
      </c>
      <c r="F784" s="6">
        <v>1274.28</v>
      </c>
      <c r="G784" s="6">
        <v>1274.28</v>
      </c>
      <c r="H784" s="6">
        <v>16707.23</v>
      </c>
      <c r="I784" s="19" t="str">
        <v>GST</v>
      </c>
      <c r="J784" s="1" t="str">
        <f t="shared" si="36"/>
        <v>Unique</v>
      </c>
      <c r="K784" s="21" t="str">
        <f t="shared" si="37"/>
        <v/>
      </c>
      <c r="L784" s="4" t="str">
        <f>IF(COUNTIFS(A:A,A784,C:C,C784)=2,IF(K784="Mismatch","Value Mismatch","Matched"),IF(I784= "Tally","Missing in GST","Missing in Tally"))</f>
        <v>Missing in Tally</v>
      </c>
      <c r="M784" s="6" t="str">
        <f t="shared" si="38"/>
        <v/>
      </c>
    </row>
    <row r="785" spans="1:13" x14ac:dyDescent="0.2">
      <c r="A785" s="1" t="str">
        <v>INV2283</v>
      </c>
      <c r="B785" s="2" t="str">
        <v>23-05-2024</v>
      </c>
      <c r="C785" s="1" t="str">
        <v>07ZXCVB9876M1Z3</v>
      </c>
      <c r="D785" s="4" t="str">
        <v>Gupta Supplies</v>
      </c>
      <c r="E785" s="6">
        <v>49608.45</v>
      </c>
      <c r="F785" s="6">
        <v>4464.76</v>
      </c>
      <c r="G785" s="6">
        <v>4464.76</v>
      </c>
      <c r="H785" s="6">
        <v>58537.97</v>
      </c>
      <c r="I785" s="19" t="str">
        <v>GST</v>
      </c>
      <c r="J785" s="1" t="str">
        <f t="shared" si="36"/>
        <v>Unique</v>
      </c>
      <c r="K785" s="21" t="str">
        <f t="shared" si="37"/>
        <v/>
      </c>
      <c r="L785" s="4" t="str">
        <f>IF(COUNTIFS(A:A,A785,C:C,C785)=2,IF(K785="Mismatch","Value Mismatch","Matched"),IF(I785= "Tally","Missing in GST","Missing in Tally"))</f>
        <v>Missing in Tally</v>
      </c>
      <c r="M785" s="6" t="str">
        <f t="shared" si="38"/>
        <v/>
      </c>
    </row>
    <row r="786" spans="1:13" x14ac:dyDescent="0.2">
      <c r="A786" s="1" t="str">
        <v>INV2284</v>
      </c>
      <c r="B786" s="2" t="str">
        <v>05-06-2024</v>
      </c>
      <c r="C786" s="1" t="str">
        <v>27ABCDE1234F1Z5</v>
      </c>
      <c r="D786" s="4" t="str">
        <v>Sharma Traders</v>
      </c>
      <c r="E786" s="6">
        <v>28238.41</v>
      </c>
      <c r="F786" s="6">
        <v>2541.46</v>
      </c>
      <c r="G786" s="6">
        <v>2541.46</v>
      </c>
      <c r="H786" s="6">
        <v>33321.33</v>
      </c>
      <c r="I786" s="19" t="str">
        <v>GST</v>
      </c>
      <c r="J786" s="1" t="str">
        <f t="shared" si="36"/>
        <v>Unique</v>
      </c>
      <c r="K786" s="21" t="str">
        <f t="shared" si="37"/>
        <v/>
      </c>
      <c r="L786" s="4" t="str">
        <f>IF(COUNTIFS(A:A,A786,C:C,C786)=2,IF(K786="Mismatch","Value Mismatch","Matched"),IF(I786= "Tally","Missing in GST","Missing in Tally"))</f>
        <v>Missing in Tally</v>
      </c>
      <c r="M786" s="6" t="str">
        <f t="shared" si="38"/>
        <v/>
      </c>
    </row>
    <row r="787" spans="1:13" x14ac:dyDescent="0.2">
      <c r="A787" s="1" t="str">
        <v>INV2285</v>
      </c>
      <c r="B787" s="2" t="str">
        <v>30-06-2024</v>
      </c>
      <c r="C787" s="1" t="str">
        <v>24LMNOP4321K1Z7</v>
      </c>
      <c r="D787" s="4" t="str">
        <v>Patel Industries</v>
      </c>
      <c r="E787" s="6">
        <v>14429.4</v>
      </c>
      <c r="F787" s="6">
        <v>1298.6500000000001</v>
      </c>
      <c r="G787" s="6">
        <v>1298.6500000000001</v>
      </c>
      <c r="H787" s="6">
        <v>17026.7</v>
      </c>
      <c r="I787" s="19" t="str">
        <v>GST</v>
      </c>
      <c r="J787" s="1" t="str">
        <f t="shared" si="36"/>
        <v>Unique</v>
      </c>
      <c r="K787" s="21" t="str">
        <f t="shared" si="37"/>
        <v/>
      </c>
      <c r="L787" s="4" t="str">
        <f>IF(COUNTIFS(A:A,A787,C:C,C787)=2,IF(K787="Mismatch","Value Mismatch","Matched"),IF(I787= "Tally","Missing in GST","Missing in Tally"))</f>
        <v>Missing in Tally</v>
      </c>
      <c r="M787" s="6" t="str">
        <f t="shared" si="38"/>
        <v/>
      </c>
    </row>
    <row r="788" spans="1:13" x14ac:dyDescent="0.2">
      <c r="A788" s="1" t="str">
        <v>INV2286</v>
      </c>
      <c r="B788" s="2" t="str">
        <v>24-06-2024</v>
      </c>
      <c r="C788" s="1" t="str">
        <v>24LMNOP4321K1Z7</v>
      </c>
      <c r="D788" s="4" t="str">
        <v>Patel Industries</v>
      </c>
      <c r="E788" s="6">
        <v>48185.05</v>
      </c>
      <c r="F788" s="6">
        <v>4336.6499999999996</v>
      </c>
      <c r="G788" s="6">
        <v>4336.6499999999996</v>
      </c>
      <c r="H788" s="6">
        <v>56858.35</v>
      </c>
      <c r="I788" s="19" t="str">
        <v>GST</v>
      </c>
      <c r="J788" s="1" t="str">
        <f t="shared" si="36"/>
        <v>Unique</v>
      </c>
      <c r="K788" s="21" t="str">
        <f t="shared" si="37"/>
        <v/>
      </c>
      <c r="L788" s="4" t="str">
        <f>IF(COUNTIFS(A:A,A788,C:C,C788)=2,IF(K788="Mismatch","Value Mismatch","Matched"),IF(I788= "Tally","Missing in GST","Missing in Tally"))</f>
        <v>Missing in Tally</v>
      </c>
      <c r="M788" s="6" t="str">
        <f t="shared" si="38"/>
        <v/>
      </c>
    </row>
    <row r="789" spans="1:13" x14ac:dyDescent="0.2">
      <c r="A789" s="1" t="str">
        <v>INV2287</v>
      </c>
      <c r="B789" s="2" t="str">
        <v>13-06-2024</v>
      </c>
      <c r="C789" s="1" t="str">
        <v>07ZXCVB9876M1Z3</v>
      </c>
      <c r="D789" s="4" t="str">
        <v>Gupta Supplies</v>
      </c>
      <c r="E789" s="6">
        <v>44047.15</v>
      </c>
      <c r="F789" s="6">
        <v>3964.24</v>
      </c>
      <c r="G789" s="6">
        <v>3964.24</v>
      </c>
      <c r="H789" s="6">
        <v>51975.63</v>
      </c>
      <c r="I789" s="19" t="str">
        <v>GST</v>
      </c>
      <c r="J789" s="1" t="str">
        <f t="shared" si="36"/>
        <v>Unique</v>
      </c>
      <c r="K789" s="21" t="str">
        <f t="shared" si="37"/>
        <v/>
      </c>
      <c r="L789" s="4" t="str">
        <f>IF(COUNTIFS(A:A,A789,C:C,C789)=2,IF(K789="Mismatch","Value Mismatch","Matched"),IF(I789= "Tally","Missing in GST","Missing in Tally"))</f>
        <v>Missing in Tally</v>
      </c>
      <c r="M789" s="6" t="str">
        <f t="shared" si="38"/>
        <v/>
      </c>
    </row>
    <row r="790" spans="1:13" x14ac:dyDescent="0.2">
      <c r="A790" s="1" t="str">
        <v>INV2288</v>
      </c>
      <c r="B790" s="2" t="str">
        <v>29-06-2024</v>
      </c>
      <c r="C790" s="1" t="str">
        <v>24LMNOP4321K1Z7</v>
      </c>
      <c r="D790" s="4" t="str">
        <v>Patel Industries</v>
      </c>
      <c r="E790" s="6">
        <v>3789.61</v>
      </c>
      <c r="F790" s="6">
        <v>341.06</v>
      </c>
      <c r="G790" s="6">
        <v>341.06</v>
      </c>
      <c r="H790" s="6">
        <v>4471.7299999999996</v>
      </c>
      <c r="I790" s="19" t="str">
        <v>GST</v>
      </c>
      <c r="J790" s="1" t="str">
        <f t="shared" si="36"/>
        <v>Unique</v>
      </c>
      <c r="K790" s="21" t="str">
        <f t="shared" si="37"/>
        <v/>
      </c>
      <c r="L790" s="4" t="str">
        <f>IF(COUNTIFS(A:A,A790,C:C,C790)=2,IF(K790="Mismatch","Value Mismatch","Matched"),IF(I790= "Tally","Missing in GST","Missing in Tally"))</f>
        <v>Missing in Tally</v>
      </c>
      <c r="M790" s="6" t="str">
        <f t="shared" si="38"/>
        <v/>
      </c>
    </row>
    <row r="791" spans="1:13" x14ac:dyDescent="0.2">
      <c r="A791" s="1" t="str">
        <v>INV2289</v>
      </c>
      <c r="B791" s="2" t="str">
        <v>29-05-2024</v>
      </c>
      <c r="C791" s="1" t="str">
        <v>27ABCDE1234F1Z5</v>
      </c>
      <c r="D791" s="4" t="str">
        <v>Sharma Traders</v>
      </c>
      <c r="E791" s="6">
        <v>42933.31</v>
      </c>
      <c r="F791" s="6">
        <v>3864</v>
      </c>
      <c r="G791" s="6">
        <v>3864</v>
      </c>
      <c r="H791" s="6">
        <v>50661.31</v>
      </c>
      <c r="I791" s="19" t="str">
        <v>GST</v>
      </c>
      <c r="J791" s="1" t="str">
        <f t="shared" si="36"/>
        <v>Unique</v>
      </c>
      <c r="K791" s="21" t="str">
        <f t="shared" si="37"/>
        <v/>
      </c>
      <c r="L791" s="4" t="str">
        <f>IF(COUNTIFS(A:A,A791,C:C,C791)=2,IF(K791="Mismatch","Value Mismatch","Matched"),IF(I791= "Tally","Missing in GST","Missing in Tally"))</f>
        <v>Missing in Tally</v>
      </c>
      <c r="M791" s="6" t="str">
        <f t="shared" si="38"/>
        <v/>
      </c>
    </row>
    <row r="792" spans="1:13" x14ac:dyDescent="0.2">
      <c r="A792" s="1" t="str">
        <v>INV2290</v>
      </c>
      <c r="B792" s="2" t="str">
        <v>27-06-2024</v>
      </c>
      <c r="C792" s="1" t="str">
        <v>07ZXCVB9876M1Z3</v>
      </c>
      <c r="D792" s="4" t="str">
        <v>Gupta Supplies</v>
      </c>
      <c r="E792" s="6">
        <v>31928.07</v>
      </c>
      <c r="F792" s="6">
        <v>2873.53</v>
      </c>
      <c r="G792" s="6">
        <v>2873.53</v>
      </c>
      <c r="H792" s="6">
        <v>37675.129999999997</v>
      </c>
      <c r="I792" s="19" t="str">
        <v>GST</v>
      </c>
      <c r="J792" s="1" t="str">
        <f t="shared" si="36"/>
        <v>Unique</v>
      </c>
      <c r="K792" s="21" t="str">
        <f t="shared" si="37"/>
        <v/>
      </c>
      <c r="L792" s="4" t="str">
        <f>IF(COUNTIFS(A:A,A792,C:C,C792)=2,IF(K792="Mismatch","Value Mismatch","Matched"),IF(I792= "Tally","Missing in GST","Missing in Tally"))</f>
        <v>Missing in Tally</v>
      </c>
      <c r="M792" s="6" t="str">
        <f t="shared" si="38"/>
        <v/>
      </c>
    </row>
    <row r="793" spans="1:13" x14ac:dyDescent="0.2">
      <c r="A793" s="1" t="str">
        <v>INV2291</v>
      </c>
      <c r="B793" s="2" t="str">
        <v>05-05-2024</v>
      </c>
      <c r="C793" s="1" t="str">
        <v>29PQRSX5678L1Z2</v>
      </c>
      <c r="D793" s="4" t="str">
        <v>Kiran Enterprises</v>
      </c>
      <c r="E793" s="6">
        <v>8488.2000000000007</v>
      </c>
      <c r="F793" s="6">
        <v>763.94</v>
      </c>
      <c r="G793" s="6">
        <v>763.94</v>
      </c>
      <c r="H793" s="6">
        <v>10016.08</v>
      </c>
      <c r="I793" s="19" t="str">
        <v>GST</v>
      </c>
      <c r="J793" s="1" t="str">
        <f t="shared" si="36"/>
        <v>Unique</v>
      </c>
      <c r="K793" s="21" t="str">
        <f t="shared" si="37"/>
        <v/>
      </c>
      <c r="L793" s="4" t="str">
        <f>IF(COUNTIFS(A:A,A793,C:C,C793)=2,IF(K793="Mismatch","Value Mismatch","Matched"),IF(I793= "Tally","Missing in GST","Missing in Tally"))</f>
        <v>Missing in Tally</v>
      </c>
      <c r="M793" s="6" t="str">
        <f t="shared" si="38"/>
        <v/>
      </c>
    </row>
    <row r="794" spans="1:13" x14ac:dyDescent="0.2">
      <c r="A794" s="1" t="str">
        <v>INV2292</v>
      </c>
      <c r="B794" s="2" t="str">
        <v>07-06-2024</v>
      </c>
      <c r="C794" s="1" t="str">
        <v>24LMNOP4321K1Z7</v>
      </c>
      <c r="D794" s="4" t="str">
        <v>Patel Industries</v>
      </c>
      <c r="E794" s="6">
        <v>13648.98</v>
      </c>
      <c r="F794" s="6">
        <v>1228.4100000000001</v>
      </c>
      <c r="G794" s="6">
        <v>1228.4100000000001</v>
      </c>
      <c r="H794" s="6">
        <v>16105.8</v>
      </c>
      <c r="I794" s="19" t="str">
        <v>GST</v>
      </c>
      <c r="J794" s="1" t="str">
        <f t="shared" si="36"/>
        <v>Unique</v>
      </c>
      <c r="K794" s="21" t="str">
        <f t="shared" si="37"/>
        <v/>
      </c>
      <c r="L794" s="4" t="str">
        <f>IF(COUNTIFS(A:A,A794,C:C,C794)=2,IF(K794="Mismatch","Value Mismatch","Matched"),IF(I794= "Tally","Missing in GST","Missing in Tally"))</f>
        <v>Missing in Tally</v>
      </c>
      <c r="M794" s="6" t="str">
        <f t="shared" si="38"/>
        <v/>
      </c>
    </row>
    <row r="795" spans="1:13" x14ac:dyDescent="0.2">
      <c r="A795" s="1" t="str">
        <v>INV2293</v>
      </c>
      <c r="B795" s="2" t="str">
        <v>09-05-2024</v>
      </c>
      <c r="C795" s="1" t="str">
        <v>19ASDFG2468H1Z9</v>
      </c>
      <c r="D795" s="4" t="str">
        <v>Eastern Distributors</v>
      </c>
      <c r="E795" s="6">
        <v>48150.32</v>
      </c>
      <c r="F795" s="6">
        <v>4333.53</v>
      </c>
      <c r="G795" s="6">
        <v>4333.53</v>
      </c>
      <c r="H795" s="6">
        <v>56817.38</v>
      </c>
      <c r="I795" s="19" t="str">
        <v>GST</v>
      </c>
      <c r="J795" s="1" t="str">
        <f t="shared" si="36"/>
        <v>Unique</v>
      </c>
      <c r="K795" s="21" t="str">
        <f t="shared" si="37"/>
        <v/>
      </c>
      <c r="L795" s="4" t="str">
        <f>IF(COUNTIFS(A:A,A795,C:C,C795)=2,IF(K795="Mismatch","Value Mismatch","Matched"),IF(I795= "Tally","Missing in GST","Missing in Tally"))</f>
        <v>Missing in Tally</v>
      </c>
      <c r="M795" s="6" t="str">
        <f t="shared" si="38"/>
        <v/>
      </c>
    </row>
    <row r="796" spans="1:13" x14ac:dyDescent="0.2">
      <c r="A796" s="1" t="str">
        <v>INV2294</v>
      </c>
      <c r="B796" s="2" t="str">
        <v>28-05-2024</v>
      </c>
      <c r="C796" s="1" t="str">
        <v>24LMNOP4321K1Z7</v>
      </c>
      <c r="D796" s="4" t="str">
        <v>Patel Industries</v>
      </c>
      <c r="E796" s="6">
        <v>7356.61</v>
      </c>
      <c r="F796" s="6">
        <v>662.09</v>
      </c>
      <c r="G796" s="6">
        <v>662.09</v>
      </c>
      <c r="H796" s="6">
        <v>8680.7900000000009</v>
      </c>
      <c r="I796" s="19" t="str">
        <v>GST</v>
      </c>
      <c r="J796" s="1" t="str">
        <f t="shared" si="36"/>
        <v>Unique</v>
      </c>
      <c r="K796" s="21" t="str">
        <f t="shared" si="37"/>
        <v/>
      </c>
      <c r="L796" s="4" t="str">
        <f>IF(COUNTIFS(A:A,A796,C:C,C796)=2,IF(K796="Mismatch","Value Mismatch","Matched"),IF(I796= "Tally","Missing in GST","Missing in Tally"))</f>
        <v>Missing in Tally</v>
      </c>
      <c r="M796" s="6" t="str">
        <f t="shared" si="38"/>
        <v/>
      </c>
    </row>
    <row r="797" spans="1:13" x14ac:dyDescent="0.2">
      <c r="A797" s="1" t="str">
        <v>INV2295</v>
      </c>
      <c r="B797" s="2" t="str">
        <v>06-05-2024</v>
      </c>
      <c r="C797" s="1" t="str">
        <v>29PQRSX5678L1Z2</v>
      </c>
      <c r="D797" s="4" t="str">
        <v>Kiran Enterprises</v>
      </c>
      <c r="E797" s="6">
        <v>11465.14</v>
      </c>
      <c r="F797" s="6">
        <v>1031.8599999999999</v>
      </c>
      <c r="G797" s="6">
        <v>1031.8599999999999</v>
      </c>
      <c r="H797" s="6">
        <v>13528.86</v>
      </c>
      <c r="I797" s="19" t="str">
        <v>GST</v>
      </c>
      <c r="J797" s="1" t="str">
        <f t="shared" si="36"/>
        <v>Unique</v>
      </c>
      <c r="K797" s="21" t="str">
        <f t="shared" si="37"/>
        <v/>
      </c>
      <c r="L797" s="4" t="str">
        <f>IF(COUNTIFS(A:A,A797,C:C,C797)=2,IF(K797="Mismatch","Value Mismatch","Matched"),IF(I797= "Tally","Missing in GST","Missing in Tally"))</f>
        <v>Missing in Tally</v>
      </c>
      <c r="M797" s="6" t="str">
        <f t="shared" si="38"/>
        <v/>
      </c>
    </row>
    <row r="798" spans="1:13" x14ac:dyDescent="0.2">
      <c r="A798" s="1" t="str">
        <v>INV2296</v>
      </c>
      <c r="B798" s="2" t="str">
        <v>19-04-2024</v>
      </c>
      <c r="C798" s="1" t="str">
        <v>24LMNOP4321K1Z7</v>
      </c>
      <c r="D798" s="4" t="str">
        <v>Patel Industries</v>
      </c>
      <c r="E798" s="6">
        <v>8109.2</v>
      </c>
      <c r="F798" s="6">
        <v>729.83</v>
      </c>
      <c r="G798" s="6">
        <v>729.83</v>
      </c>
      <c r="H798" s="6">
        <v>9568.86</v>
      </c>
      <c r="I798" s="19" t="str">
        <v>GST</v>
      </c>
      <c r="J798" s="1" t="str">
        <f t="shared" si="36"/>
        <v>Unique</v>
      </c>
      <c r="K798" s="21" t="str">
        <f t="shared" si="37"/>
        <v/>
      </c>
      <c r="L798" s="4" t="str">
        <f>IF(COUNTIFS(A:A,A798,C:C,C798)=2,IF(K798="Mismatch","Value Mismatch","Matched"),IF(I798= "Tally","Missing in GST","Missing in Tally"))</f>
        <v>Missing in Tally</v>
      </c>
      <c r="M798" s="6" t="str">
        <f t="shared" si="38"/>
        <v/>
      </c>
    </row>
    <row r="799" spans="1:13" x14ac:dyDescent="0.2">
      <c r="A799" s="1" t="str">
        <v>INV2297</v>
      </c>
      <c r="B799" s="2" t="str">
        <v>22-05-2024</v>
      </c>
      <c r="C799" s="1" t="str">
        <v>19ASDFG2468H1Z9</v>
      </c>
      <c r="D799" s="4" t="str">
        <v>Eastern Distributors</v>
      </c>
      <c r="E799" s="6">
        <v>46196.6</v>
      </c>
      <c r="F799" s="6">
        <v>4157.6899999999996</v>
      </c>
      <c r="G799" s="6">
        <v>4157.6899999999996</v>
      </c>
      <c r="H799" s="6">
        <v>54511.98</v>
      </c>
      <c r="I799" s="19" t="str">
        <v>GST</v>
      </c>
      <c r="J799" s="1" t="str">
        <f t="shared" si="36"/>
        <v>Unique</v>
      </c>
      <c r="K799" s="21" t="str">
        <f t="shared" si="37"/>
        <v/>
      </c>
      <c r="L799" s="4" t="str">
        <f>IF(COUNTIFS(A:A,A799,C:C,C799)=2,IF(K799="Mismatch","Value Mismatch","Matched"),IF(I799= "Tally","Missing in GST","Missing in Tally"))</f>
        <v>Missing in Tally</v>
      </c>
      <c r="M799" s="6" t="str">
        <f t="shared" si="38"/>
        <v/>
      </c>
    </row>
    <row r="800" spans="1:13" x14ac:dyDescent="0.2">
      <c r="A800" s="1" t="str">
        <v>INV2298</v>
      </c>
      <c r="B800" s="2" t="str">
        <v>07-06-2024</v>
      </c>
      <c r="C800" s="1" t="str">
        <v>29PQRSX5678L1Z2</v>
      </c>
      <c r="D800" s="4" t="str">
        <v>Kiran Enterprises</v>
      </c>
      <c r="E800" s="6">
        <v>43092.68</v>
      </c>
      <c r="F800" s="6">
        <v>3878.34</v>
      </c>
      <c r="G800" s="6">
        <v>3878.34</v>
      </c>
      <c r="H800" s="6">
        <v>50849.36</v>
      </c>
      <c r="I800" s="19" t="str">
        <v>GST</v>
      </c>
      <c r="J800" s="1" t="str">
        <f t="shared" si="36"/>
        <v>Unique</v>
      </c>
      <c r="K800" s="21" t="str">
        <f t="shared" si="37"/>
        <v/>
      </c>
      <c r="L800" s="4" t="str">
        <f>IF(COUNTIFS(A:A,A800,C:C,C800)=2,IF(K800="Mismatch","Value Mismatch","Matched"),IF(I800= "Tally","Missing in GST","Missing in Tally"))</f>
        <v>Missing in Tally</v>
      </c>
      <c r="M800" s="6" t="str">
        <f t="shared" si="38"/>
        <v/>
      </c>
    </row>
    <row r="801" spans="1:13" x14ac:dyDescent="0.2">
      <c r="A801" s="1" t="str">
        <v>INV2299</v>
      </c>
      <c r="B801" s="2" t="str">
        <v>30-04-2024</v>
      </c>
      <c r="C801" s="1" t="str">
        <v>19ASDFG2468H1Z9</v>
      </c>
      <c r="D801" s="4" t="str">
        <v>Eastern Distributors</v>
      </c>
      <c r="E801" s="6">
        <v>3967.81</v>
      </c>
      <c r="F801" s="6">
        <v>357.1</v>
      </c>
      <c r="G801" s="6">
        <v>357.1</v>
      </c>
      <c r="H801" s="6">
        <v>4682.01</v>
      </c>
      <c r="I801" s="19" t="str">
        <v>GST</v>
      </c>
      <c r="J801" s="1" t="str">
        <f t="shared" si="36"/>
        <v>Unique</v>
      </c>
      <c r="K801" s="21" t="str">
        <f t="shared" si="37"/>
        <v/>
      </c>
      <c r="L801" s="4" t="str">
        <f>IF(COUNTIFS(A:A,A801,C:C,C801)=2,IF(K801="Mismatch","Value Mismatch","Matched"),IF(I801= "Tally","Missing in GST","Missing in Tally"))</f>
        <v>Missing in Tally</v>
      </c>
      <c r="M801" s="6" t="str">
        <f t="shared" si="38"/>
        <v/>
      </c>
    </row>
    <row r="802" spans="1:13" x14ac:dyDescent="0.2">
      <c r="A802" s="1" t="str">
        <v>INV2300</v>
      </c>
      <c r="B802" s="2" t="str">
        <v>16-06-2024</v>
      </c>
      <c r="C802" s="1" t="str">
        <v>24LMNOP4321K1Z7</v>
      </c>
      <c r="D802" s="4" t="str">
        <v>Patel Industries</v>
      </c>
      <c r="E802" s="6">
        <v>35335.72</v>
      </c>
      <c r="F802" s="6">
        <v>3180.21</v>
      </c>
      <c r="G802" s="6">
        <v>3180.21</v>
      </c>
      <c r="H802" s="6">
        <v>41696.14</v>
      </c>
      <c r="I802" s="19" t="str">
        <v>GST</v>
      </c>
      <c r="J802" s="1" t="str">
        <f t="shared" si="36"/>
        <v>Unique</v>
      </c>
      <c r="K802" s="21" t="str">
        <f t="shared" si="37"/>
        <v/>
      </c>
      <c r="L802" s="4" t="str">
        <f>IF(COUNTIFS(A:A,A802,C:C,C802)=2,IF(K802="Mismatch","Value Mismatch","Matched"),IF(I802= "Tally","Missing in GST","Missing in Tally"))</f>
        <v>Missing in Tally</v>
      </c>
      <c r="M802" s="6" t="str">
        <f t="shared" si="38"/>
        <v/>
      </c>
    </row>
    <row r="803" spans="1:13" x14ac:dyDescent="0.2">
      <c r="A803" s="1" t="str">
        <v>INV2301</v>
      </c>
      <c r="B803" s="2" t="str">
        <v>18-06-2024</v>
      </c>
      <c r="C803" s="1" t="str">
        <v>29PQRSX5678L1Z2</v>
      </c>
      <c r="D803" s="4" t="str">
        <v>Kiran Enterprises</v>
      </c>
      <c r="E803" s="6">
        <v>41326.620000000003</v>
      </c>
      <c r="F803" s="6">
        <v>3719.4</v>
      </c>
      <c r="G803" s="6">
        <v>3719.4</v>
      </c>
      <c r="H803" s="6">
        <v>48765.42</v>
      </c>
      <c r="I803" s="19" t="str">
        <v>GST</v>
      </c>
      <c r="J803" s="1" t="str">
        <f t="shared" si="36"/>
        <v>Unique</v>
      </c>
      <c r="K803" s="21" t="str">
        <f t="shared" si="37"/>
        <v/>
      </c>
      <c r="L803" s="4" t="str">
        <f>IF(COUNTIFS(A:A,A803,C:C,C803)=2,IF(K803="Mismatch","Value Mismatch","Matched"),IF(I803= "Tally","Missing in GST","Missing in Tally"))</f>
        <v>Missing in Tally</v>
      </c>
      <c r="M803" s="6" t="str">
        <f t="shared" si="38"/>
        <v/>
      </c>
    </row>
    <row r="804" spans="1:13" x14ac:dyDescent="0.2">
      <c r="A804" s="1" t="str">
        <v>INV2302</v>
      </c>
      <c r="B804" s="2" t="str">
        <v>12-05-2024</v>
      </c>
      <c r="C804" s="1" t="str">
        <v>07ZXCVB9876M1Z3</v>
      </c>
      <c r="D804" s="4" t="str">
        <v>Gupta Supplies</v>
      </c>
      <c r="E804" s="6">
        <v>30163.65</v>
      </c>
      <c r="F804" s="6">
        <v>2714.73</v>
      </c>
      <c r="G804" s="6">
        <v>2714.73</v>
      </c>
      <c r="H804" s="6">
        <v>35593.11</v>
      </c>
      <c r="I804" s="19" t="str">
        <v>GST</v>
      </c>
      <c r="J804" s="1" t="str">
        <f t="shared" si="36"/>
        <v>Unique</v>
      </c>
      <c r="K804" s="21" t="str">
        <f t="shared" si="37"/>
        <v/>
      </c>
      <c r="L804" s="4" t="str">
        <f>IF(COUNTIFS(A:A,A804,C:C,C804)=2,IF(K804="Mismatch","Value Mismatch","Matched"),IF(I804= "Tally","Missing in GST","Missing in Tally"))</f>
        <v>Missing in Tally</v>
      </c>
      <c r="M804" s="6" t="str">
        <f t="shared" si="38"/>
        <v/>
      </c>
    </row>
    <row r="805" spans="1:13" x14ac:dyDescent="0.2">
      <c r="A805" s="1" t="str">
        <v>INV2303</v>
      </c>
      <c r="B805" s="2" t="str">
        <v>04-04-2024</v>
      </c>
      <c r="C805" s="1" t="str">
        <v>07ZXCVB9876M1Z3</v>
      </c>
      <c r="D805" s="4" t="str">
        <v>Gupta Supplies</v>
      </c>
      <c r="E805" s="6">
        <v>36179.11</v>
      </c>
      <c r="F805" s="6">
        <v>3256.12</v>
      </c>
      <c r="G805" s="6">
        <v>3256.12</v>
      </c>
      <c r="H805" s="6">
        <v>42691.35</v>
      </c>
      <c r="I805" s="19" t="str">
        <v>GST</v>
      </c>
      <c r="J805" s="1" t="str">
        <f t="shared" si="36"/>
        <v>Unique</v>
      </c>
      <c r="K805" s="21" t="str">
        <f t="shared" si="37"/>
        <v/>
      </c>
      <c r="L805" s="4" t="str">
        <f>IF(COUNTIFS(A:A,A805,C:C,C805)=2,IF(K805="Mismatch","Value Mismatch","Matched"),IF(I805= "Tally","Missing in GST","Missing in Tally"))</f>
        <v>Missing in Tally</v>
      </c>
      <c r="M805" s="6" t="str">
        <f t="shared" si="38"/>
        <v/>
      </c>
    </row>
    <row r="806" spans="1:13" x14ac:dyDescent="0.2">
      <c r="A806" s="1" t="str">
        <v>INV2304</v>
      </c>
      <c r="B806" s="2" t="str">
        <v>02-06-2024</v>
      </c>
      <c r="C806" s="1" t="str">
        <v>19ASDFG2468H1Z9</v>
      </c>
      <c r="D806" s="4" t="str">
        <v>Eastern Distributors</v>
      </c>
      <c r="E806" s="6">
        <v>32724.35</v>
      </c>
      <c r="F806" s="6">
        <v>2945.19</v>
      </c>
      <c r="G806" s="6">
        <v>2945.19</v>
      </c>
      <c r="H806" s="6">
        <v>38614.730000000003</v>
      </c>
      <c r="I806" s="19" t="str">
        <v>GST</v>
      </c>
      <c r="J806" s="1" t="str">
        <f t="shared" si="36"/>
        <v>Unique</v>
      </c>
      <c r="K806" s="21" t="str">
        <f t="shared" si="37"/>
        <v/>
      </c>
      <c r="L806" s="4" t="str">
        <f>IF(COUNTIFS(A:A,A806,C:C,C806)=2,IF(K806="Mismatch","Value Mismatch","Matched"),IF(I806= "Tally","Missing in GST","Missing in Tally"))</f>
        <v>Missing in Tally</v>
      </c>
      <c r="M806" s="6" t="str">
        <f t="shared" si="38"/>
        <v/>
      </c>
    </row>
    <row r="807" spans="1:13" x14ac:dyDescent="0.2">
      <c r="A807" s="1" t="str">
        <v>INV2305</v>
      </c>
      <c r="B807" s="2" t="str">
        <v>02-05-2024</v>
      </c>
      <c r="C807" s="1" t="str">
        <v>19ASDFG2468H1Z9</v>
      </c>
      <c r="D807" s="4" t="str">
        <v>Eastern Distributors</v>
      </c>
      <c r="E807" s="6">
        <v>13303.56</v>
      </c>
      <c r="F807" s="6">
        <v>1197.32</v>
      </c>
      <c r="G807" s="6">
        <v>1197.32</v>
      </c>
      <c r="H807" s="6">
        <v>15698.2</v>
      </c>
      <c r="I807" s="19" t="str">
        <v>GST</v>
      </c>
      <c r="J807" s="1" t="str">
        <f t="shared" si="36"/>
        <v>Unique</v>
      </c>
      <c r="K807" s="21" t="str">
        <f t="shared" si="37"/>
        <v/>
      </c>
      <c r="L807" s="4" t="str">
        <f>IF(COUNTIFS(A:A,A807,C:C,C807)=2,IF(K807="Mismatch","Value Mismatch","Matched"),IF(I807= "Tally","Missing in GST","Missing in Tally"))</f>
        <v>Missing in Tally</v>
      </c>
      <c r="M807" s="6" t="str">
        <f t="shared" si="38"/>
        <v/>
      </c>
    </row>
    <row r="808" spans="1:13" x14ac:dyDescent="0.2">
      <c r="A808" s="1" t="str">
        <v>INV2306</v>
      </c>
      <c r="B808" s="2" t="str">
        <v>16-04-2024</v>
      </c>
      <c r="C808" s="1" t="str">
        <v>19ASDFG2468H1Z9</v>
      </c>
      <c r="D808" s="4" t="str">
        <v>Eastern Distributors</v>
      </c>
      <c r="E808" s="6">
        <v>17585.27</v>
      </c>
      <c r="F808" s="6">
        <v>1582.67</v>
      </c>
      <c r="G808" s="6">
        <v>1582.67</v>
      </c>
      <c r="H808" s="6">
        <v>20750.61</v>
      </c>
      <c r="I808" s="19" t="str">
        <v>GST</v>
      </c>
      <c r="J808" s="1" t="str">
        <f t="shared" si="36"/>
        <v>Unique</v>
      </c>
      <c r="K808" s="21" t="str">
        <f t="shared" si="37"/>
        <v/>
      </c>
      <c r="L808" s="4" t="str">
        <f>IF(COUNTIFS(A:A,A808,C:C,C808)=2,IF(K808="Mismatch","Value Mismatch","Matched"),IF(I808= "Tally","Missing in GST","Missing in Tally"))</f>
        <v>Missing in Tally</v>
      </c>
      <c r="M808" s="6" t="str">
        <f t="shared" si="38"/>
        <v/>
      </c>
    </row>
    <row r="809" spans="1:13" x14ac:dyDescent="0.2">
      <c r="A809" s="1" t="str">
        <v>INV2307</v>
      </c>
      <c r="B809" s="2" t="str">
        <v>02-04-2024</v>
      </c>
      <c r="C809" s="1" t="str">
        <v>24LMNOP4321K1Z7</v>
      </c>
      <c r="D809" s="4" t="str">
        <v>Patel Industries</v>
      </c>
      <c r="E809" s="6">
        <v>37788.15</v>
      </c>
      <c r="F809" s="6">
        <v>3400.93</v>
      </c>
      <c r="G809" s="6">
        <v>3400.93</v>
      </c>
      <c r="H809" s="6">
        <v>44590.01</v>
      </c>
      <c r="I809" s="19" t="str">
        <v>GST</v>
      </c>
      <c r="J809" s="1" t="str">
        <f t="shared" si="36"/>
        <v>Unique</v>
      </c>
      <c r="K809" s="21" t="str">
        <f t="shared" si="37"/>
        <v/>
      </c>
      <c r="L809" s="4" t="str">
        <f>IF(COUNTIFS(A:A,A809,C:C,C809)=2,IF(K809="Mismatch","Value Mismatch","Matched"),IF(I809= "Tally","Missing in GST","Missing in Tally"))</f>
        <v>Missing in Tally</v>
      </c>
      <c r="M809" s="6" t="str">
        <f t="shared" si="38"/>
        <v/>
      </c>
    </row>
    <row r="810" spans="1:13" x14ac:dyDescent="0.2">
      <c r="A810" s="1" t="str">
        <v>INV2308</v>
      </c>
      <c r="B810" s="2" t="str">
        <v>30-05-2024</v>
      </c>
      <c r="C810" s="1" t="str">
        <v>07ZXCVB9876M1Z3</v>
      </c>
      <c r="D810" s="4" t="str">
        <v>Gupta Supplies</v>
      </c>
      <c r="E810" s="6">
        <v>41136.22</v>
      </c>
      <c r="F810" s="6">
        <v>3702.26</v>
      </c>
      <c r="G810" s="6">
        <v>3702.26</v>
      </c>
      <c r="H810" s="6">
        <v>48540.74</v>
      </c>
      <c r="I810" s="19" t="str">
        <v>GST</v>
      </c>
      <c r="J810" s="1" t="str">
        <f t="shared" si="36"/>
        <v>Unique</v>
      </c>
      <c r="K810" s="21" t="str">
        <f t="shared" si="37"/>
        <v/>
      </c>
      <c r="L810" s="4" t="str">
        <f>IF(COUNTIFS(A:A,A810,C:C,C810)=2,IF(K810="Mismatch","Value Mismatch","Matched"),IF(I810= "Tally","Missing in GST","Missing in Tally"))</f>
        <v>Missing in Tally</v>
      </c>
      <c r="M810" s="6" t="str">
        <f t="shared" si="38"/>
        <v/>
      </c>
    </row>
    <row r="811" spans="1:13" x14ac:dyDescent="0.2">
      <c r="A811" s="1" t="str">
        <v>INV2309</v>
      </c>
      <c r="B811" s="2" t="str">
        <v>18-05-2024</v>
      </c>
      <c r="C811" s="1" t="str">
        <v>27ABCDE1234F1Z5</v>
      </c>
      <c r="D811" s="4" t="str">
        <v>Sharma Traders</v>
      </c>
      <c r="E811" s="6">
        <v>48426.080000000002</v>
      </c>
      <c r="F811" s="6">
        <v>4358.3500000000004</v>
      </c>
      <c r="G811" s="6">
        <v>4358.3500000000004</v>
      </c>
      <c r="H811" s="6">
        <v>57142.78</v>
      </c>
      <c r="I811" s="19" t="str">
        <v>GST</v>
      </c>
      <c r="J811" s="1" t="str">
        <f t="shared" si="36"/>
        <v>Unique</v>
      </c>
      <c r="K811" s="21" t="str">
        <f t="shared" si="37"/>
        <v/>
      </c>
      <c r="L811" s="4" t="str">
        <f>IF(COUNTIFS(A:A,A811,C:C,C811)=2,IF(K811="Mismatch","Value Mismatch","Matched"),IF(I811= "Tally","Missing in GST","Missing in Tally"))</f>
        <v>Missing in Tally</v>
      </c>
      <c r="M811" s="6" t="str">
        <f t="shared" si="38"/>
        <v/>
      </c>
    </row>
    <row r="812" spans="1:13" x14ac:dyDescent="0.2">
      <c r="A812" s="1" t="str">
        <v>INV2310</v>
      </c>
      <c r="B812" s="2" t="str">
        <v>25-04-2024</v>
      </c>
      <c r="C812" s="1" t="str">
        <v>07ZXCVB9876M1Z3</v>
      </c>
      <c r="D812" s="4" t="str">
        <v>Gupta Supplies</v>
      </c>
      <c r="E812" s="6">
        <v>42169.74</v>
      </c>
      <c r="F812" s="6">
        <v>3795.28</v>
      </c>
      <c r="G812" s="6">
        <v>3795.28</v>
      </c>
      <c r="H812" s="6">
        <v>49760.3</v>
      </c>
      <c r="I812" s="19" t="str">
        <v>GST</v>
      </c>
      <c r="J812" s="1" t="str">
        <f t="shared" si="36"/>
        <v>Unique</v>
      </c>
      <c r="K812" s="21" t="str">
        <f t="shared" si="37"/>
        <v/>
      </c>
      <c r="L812" s="4" t="str">
        <f>IF(COUNTIFS(A:A,A812,C:C,C812)=2,IF(K812="Mismatch","Value Mismatch","Matched"),IF(I812= "Tally","Missing in GST","Missing in Tally"))</f>
        <v>Missing in Tally</v>
      </c>
      <c r="M812" s="6" t="str">
        <f t="shared" si="38"/>
        <v/>
      </c>
    </row>
    <row r="813" spans="1:13" x14ac:dyDescent="0.2">
      <c r="A813" s="1" t="str">
        <v>INV2311</v>
      </c>
      <c r="B813" s="2" t="str">
        <v>05-05-2024</v>
      </c>
      <c r="C813" s="1" t="str">
        <v>07ZXCVB9876M1Z3</v>
      </c>
      <c r="D813" s="4" t="str">
        <v>Gupta Supplies</v>
      </c>
      <c r="E813" s="6">
        <v>36844.269999999997</v>
      </c>
      <c r="F813" s="6">
        <v>3315.98</v>
      </c>
      <c r="G813" s="6">
        <v>3315.98</v>
      </c>
      <c r="H813" s="6">
        <v>43476.23</v>
      </c>
      <c r="I813" s="19" t="str">
        <v>GST</v>
      </c>
      <c r="J813" s="1" t="str">
        <f t="shared" si="36"/>
        <v>Unique</v>
      </c>
      <c r="K813" s="21" t="str">
        <f t="shared" si="37"/>
        <v/>
      </c>
      <c r="L813" s="4" t="str">
        <f>IF(COUNTIFS(A:A,A813,C:C,C813)=2,IF(K813="Mismatch","Value Mismatch","Matched"),IF(I813= "Tally","Missing in GST","Missing in Tally"))</f>
        <v>Missing in Tally</v>
      </c>
      <c r="M813" s="6" t="str">
        <f t="shared" si="38"/>
        <v/>
      </c>
    </row>
    <row r="814" spans="1:13" x14ac:dyDescent="0.2">
      <c r="A814" s="1" t="str">
        <v>INV2312</v>
      </c>
      <c r="B814" s="2" t="str">
        <v>08-06-2024</v>
      </c>
      <c r="C814" s="1" t="str">
        <v>24LMNOP4321K1Z7</v>
      </c>
      <c r="D814" s="4" t="str">
        <v>Patel Industries</v>
      </c>
      <c r="E814" s="6">
        <v>40488.720000000001</v>
      </c>
      <c r="F814" s="6">
        <v>3643.98</v>
      </c>
      <c r="G814" s="6">
        <v>3643.98</v>
      </c>
      <c r="H814" s="6">
        <v>47776.68</v>
      </c>
      <c r="I814" s="19" t="str">
        <v>GST</v>
      </c>
      <c r="J814" s="1" t="str">
        <f t="shared" si="36"/>
        <v>Unique</v>
      </c>
      <c r="K814" s="21" t="str">
        <f t="shared" si="37"/>
        <v/>
      </c>
      <c r="L814" s="4" t="str">
        <f>IF(COUNTIFS(A:A,A814,C:C,C814)=2,IF(K814="Mismatch","Value Mismatch","Matched"),IF(I814= "Tally","Missing in GST","Missing in Tally"))</f>
        <v>Missing in Tally</v>
      </c>
      <c r="M814" s="6" t="str">
        <f t="shared" si="38"/>
        <v/>
      </c>
    </row>
    <row r="815" spans="1:13" x14ac:dyDescent="0.2">
      <c r="A815" s="1" t="str">
        <v>INV2313</v>
      </c>
      <c r="B815" s="2" t="str">
        <v>09-06-2024</v>
      </c>
      <c r="C815" s="1" t="str">
        <v>29PQRSX5678L1Z2</v>
      </c>
      <c r="D815" s="4" t="str">
        <v>Kiran Enterprises</v>
      </c>
      <c r="E815" s="6">
        <v>17250.009999999998</v>
      </c>
      <c r="F815" s="6">
        <v>1552.5</v>
      </c>
      <c r="G815" s="6">
        <v>1552.5</v>
      </c>
      <c r="H815" s="6">
        <v>20355.009999999998</v>
      </c>
      <c r="I815" s="19" t="str">
        <v>GST</v>
      </c>
      <c r="J815" s="1" t="str">
        <f t="shared" si="36"/>
        <v>Unique</v>
      </c>
      <c r="K815" s="21" t="str">
        <f t="shared" si="37"/>
        <v/>
      </c>
      <c r="L815" s="4" t="str">
        <f>IF(COUNTIFS(A:A,A815,C:C,C815)=2,IF(K815="Mismatch","Value Mismatch","Matched"),IF(I815= "Tally","Missing in GST","Missing in Tally"))</f>
        <v>Missing in Tally</v>
      </c>
      <c r="M815" s="6" t="str">
        <f t="shared" si="38"/>
        <v/>
      </c>
    </row>
    <row r="816" spans="1:13" x14ac:dyDescent="0.2">
      <c r="A816" s="1" t="str">
        <v>INV2314</v>
      </c>
      <c r="B816" s="2" t="str">
        <v>16-05-2024</v>
      </c>
      <c r="C816" s="1" t="str">
        <v>19ASDFG2468H1Z9</v>
      </c>
      <c r="D816" s="4" t="str">
        <v>Eastern Distributors</v>
      </c>
      <c r="E816" s="6">
        <v>22684.7</v>
      </c>
      <c r="F816" s="6">
        <v>2041.62</v>
      </c>
      <c r="G816" s="6">
        <v>2041.62</v>
      </c>
      <c r="H816" s="6">
        <v>26767.94</v>
      </c>
      <c r="I816" s="19" t="str">
        <v>GST</v>
      </c>
      <c r="J816" s="1" t="str">
        <f t="shared" si="36"/>
        <v>Unique</v>
      </c>
      <c r="K816" s="21" t="str">
        <f t="shared" si="37"/>
        <v/>
      </c>
      <c r="L816" s="4" t="str">
        <f>IF(COUNTIFS(A:A,A816,C:C,C816)=2,IF(K816="Mismatch","Value Mismatch","Matched"),IF(I816= "Tally","Missing in GST","Missing in Tally"))</f>
        <v>Missing in Tally</v>
      </c>
      <c r="M816" s="6" t="str">
        <f t="shared" si="38"/>
        <v/>
      </c>
    </row>
    <row r="817" spans="1:13" x14ac:dyDescent="0.2">
      <c r="A817" s="1" t="str">
        <v>INV2315</v>
      </c>
      <c r="B817" s="2" t="str">
        <v>16-06-2024</v>
      </c>
      <c r="C817" s="1" t="str">
        <v>19ASDFG2468H1Z9</v>
      </c>
      <c r="D817" s="4" t="str">
        <v>Eastern Distributors</v>
      </c>
      <c r="E817" s="6">
        <v>13694.52</v>
      </c>
      <c r="F817" s="6">
        <v>1232.51</v>
      </c>
      <c r="G817" s="6">
        <v>1232.51</v>
      </c>
      <c r="H817" s="6">
        <v>16159.54</v>
      </c>
      <c r="I817" s="19" t="str">
        <v>GST</v>
      </c>
      <c r="J817" s="1" t="str">
        <f t="shared" si="36"/>
        <v>Unique</v>
      </c>
      <c r="K817" s="21" t="str">
        <f t="shared" si="37"/>
        <v/>
      </c>
      <c r="L817" s="4" t="str">
        <f>IF(COUNTIFS(A:A,A817,C:C,C817)=2,IF(K817="Mismatch","Value Mismatch","Matched"),IF(I817= "Tally","Missing in GST","Missing in Tally"))</f>
        <v>Missing in Tally</v>
      </c>
      <c r="M817" s="6" t="str">
        <f t="shared" si="38"/>
        <v/>
      </c>
    </row>
    <row r="818" spans="1:13" x14ac:dyDescent="0.2">
      <c r="A818" s="1" t="str">
        <v>INV2316</v>
      </c>
      <c r="B818" s="2" t="str">
        <v>26-04-2024</v>
      </c>
      <c r="C818" s="1" t="str">
        <v>29PQRSX5678L1Z2</v>
      </c>
      <c r="D818" s="4" t="str">
        <v>Kiran Enterprises</v>
      </c>
      <c r="E818" s="6">
        <v>28805.91</v>
      </c>
      <c r="F818" s="6">
        <v>2592.5300000000002</v>
      </c>
      <c r="G818" s="6">
        <v>2592.5300000000002</v>
      </c>
      <c r="H818" s="6">
        <v>33990.97</v>
      </c>
      <c r="I818" s="19" t="str">
        <v>GST</v>
      </c>
      <c r="J818" s="1" t="str">
        <f t="shared" si="36"/>
        <v>Unique</v>
      </c>
      <c r="K818" s="21" t="str">
        <f t="shared" si="37"/>
        <v/>
      </c>
      <c r="L818" s="4" t="str">
        <f>IF(COUNTIFS(A:A,A818,C:C,C818)=2,IF(K818="Mismatch","Value Mismatch","Matched"),IF(I818= "Tally","Missing in GST","Missing in Tally"))</f>
        <v>Missing in Tally</v>
      </c>
      <c r="M818" s="6" t="str">
        <f t="shared" si="38"/>
        <v/>
      </c>
    </row>
    <row r="819" spans="1:13" x14ac:dyDescent="0.2">
      <c r="A819" s="1" t="str">
        <v>INV2317</v>
      </c>
      <c r="B819" s="2" t="str">
        <v>28-04-2024</v>
      </c>
      <c r="C819" s="1" t="str">
        <v>19ASDFG2468H1Z9</v>
      </c>
      <c r="D819" s="4" t="str">
        <v>Eastern Distributors</v>
      </c>
      <c r="E819" s="6">
        <v>7111.04</v>
      </c>
      <c r="F819" s="6">
        <v>639.99</v>
      </c>
      <c r="G819" s="6">
        <v>639.99</v>
      </c>
      <c r="H819" s="6">
        <v>8391.02</v>
      </c>
      <c r="I819" s="19" t="str">
        <v>GST</v>
      </c>
      <c r="J819" s="1" t="str">
        <f t="shared" si="36"/>
        <v>Unique</v>
      </c>
      <c r="K819" s="21" t="str">
        <f t="shared" si="37"/>
        <v/>
      </c>
      <c r="L819" s="4" t="str">
        <f>IF(COUNTIFS(A:A,A819,C:C,C819)=2,IF(K819="Mismatch","Value Mismatch","Matched"),IF(I819= "Tally","Missing in GST","Missing in Tally"))</f>
        <v>Missing in Tally</v>
      </c>
      <c r="M819" s="6" t="str">
        <f t="shared" si="38"/>
        <v/>
      </c>
    </row>
    <row r="820" spans="1:13" x14ac:dyDescent="0.2">
      <c r="A820" s="1" t="str">
        <v>INV2318</v>
      </c>
      <c r="B820" s="2" t="str">
        <v>14-05-2024</v>
      </c>
      <c r="C820" s="1" t="str">
        <v>29PQRSX5678L1Z2</v>
      </c>
      <c r="D820" s="4" t="str">
        <v>Kiran Enterprises</v>
      </c>
      <c r="E820" s="6">
        <v>20151.849999999999</v>
      </c>
      <c r="F820" s="6">
        <v>1813.67</v>
      </c>
      <c r="G820" s="6">
        <v>1813.67</v>
      </c>
      <c r="H820" s="6">
        <v>23779.19</v>
      </c>
      <c r="I820" s="19" t="str">
        <v>GST</v>
      </c>
      <c r="J820" s="1" t="str">
        <f t="shared" si="36"/>
        <v>Unique</v>
      </c>
      <c r="K820" s="21" t="str">
        <f t="shared" si="37"/>
        <v/>
      </c>
      <c r="L820" s="4" t="str">
        <f>IF(COUNTIFS(A:A,A820,C:C,C820)=2,IF(K820="Mismatch","Value Mismatch","Matched"),IF(I820= "Tally","Missing in GST","Missing in Tally"))</f>
        <v>Missing in Tally</v>
      </c>
      <c r="M820" s="6" t="str">
        <f t="shared" si="38"/>
        <v/>
      </c>
    </row>
    <row r="821" spans="1:13" x14ac:dyDescent="0.2">
      <c r="A821" s="1" t="str">
        <v>INV2319</v>
      </c>
      <c r="B821" s="2" t="str">
        <v>12-04-2024</v>
      </c>
      <c r="C821" s="1" t="str">
        <v>19ASDFG2468H1Z9</v>
      </c>
      <c r="D821" s="4" t="str">
        <v>Eastern Distributors</v>
      </c>
      <c r="E821" s="6">
        <v>18412.86</v>
      </c>
      <c r="F821" s="6">
        <v>1657.16</v>
      </c>
      <c r="G821" s="6">
        <v>1657.16</v>
      </c>
      <c r="H821" s="6">
        <v>21727.18</v>
      </c>
      <c r="I821" s="19" t="str">
        <v>GST</v>
      </c>
      <c r="J821" s="1" t="str">
        <f t="shared" si="36"/>
        <v>Unique</v>
      </c>
      <c r="K821" s="21" t="str">
        <f t="shared" si="37"/>
        <v/>
      </c>
      <c r="L821" s="4" t="str">
        <f>IF(COUNTIFS(A:A,A821,C:C,C821)=2,IF(K821="Mismatch","Value Mismatch","Matched"),IF(I821= "Tally","Missing in GST","Missing in Tally"))</f>
        <v>Missing in Tally</v>
      </c>
      <c r="M821" s="6" t="str">
        <f t="shared" si="38"/>
        <v/>
      </c>
    </row>
    <row r="822" spans="1:13" x14ac:dyDescent="0.2">
      <c r="A822" s="1" t="str">
        <v>INV2320</v>
      </c>
      <c r="B822" s="2" t="str">
        <v>18-06-2024</v>
      </c>
      <c r="C822" s="1" t="str">
        <v>19ASDFG2468H1Z9</v>
      </c>
      <c r="D822" s="4" t="str">
        <v>Eastern Distributors</v>
      </c>
      <c r="E822" s="6">
        <v>40194.92</v>
      </c>
      <c r="F822" s="6">
        <v>3617.54</v>
      </c>
      <c r="G822" s="6">
        <v>3617.54</v>
      </c>
      <c r="H822" s="6">
        <v>47430</v>
      </c>
      <c r="I822" s="19" t="str">
        <v>GST</v>
      </c>
      <c r="J822" s="1" t="str">
        <f t="shared" si="36"/>
        <v>Unique</v>
      </c>
      <c r="K822" s="21" t="str">
        <f t="shared" si="37"/>
        <v/>
      </c>
      <c r="L822" s="4" t="str">
        <f>IF(COUNTIFS(A:A,A822,C:C,C822)=2,IF(K822="Mismatch","Value Mismatch","Matched"),IF(I822= "Tally","Missing in GST","Missing in Tally"))</f>
        <v>Missing in Tally</v>
      </c>
      <c r="M822" s="6" t="str">
        <f t="shared" si="38"/>
        <v/>
      </c>
    </row>
    <row r="823" spans="1:13" x14ac:dyDescent="0.2">
      <c r="A823" s="1" t="str">
        <v>INV2321</v>
      </c>
      <c r="B823" s="2" t="str">
        <v>15-06-2024</v>
      </c>
      <c r="C823" s="1" t="str">
        <v>07ZXCVB9876M1Z3</v>
      </c>
      <c r="D823" s="4" t="str">
        <v>Gupta Supplies</v>
      </c>
      <c r="E823" s="6">
        <v>29034.58</v>
      </c>
      <c r="F823" s="6">
        <v>2613.11</v>
      </c>
      <c r="G823" s="6">
        <v>2613.11</v>
      </c>
      <c r="H823" s="6">
        <v>34260.800000000003</v>
      </c>
      <c r="I823" s="19" t="str">
        <v>GST</v>
      </c>
      <c r="J823" s="1" t="str">
        <f t="shared" si="36"/>
        <v>Unique</v>
      </c>
      <c r="K823" s="21" t="str">
        <f t="shared" si="37"/>
        <v/>
      </c>
      <c r="L823" s="4" t="str">
        <f>IF(COUNTIFS(A:A,A823,C:C,C823)=2,IF(K823="Mismatch","Value Mismatch","Matched"),IF(I823= "Tally","Missing in GST","Missing in Tally"))</f>
        <v>Missing in Tally</v>
      </c>
      <c r="M823" s="6" t="str">
        <f t="shared" si="38"/>
        <v/>
      </c>
    </row>
    <row r="824" spans="1:13" x14ac:dyDescent="0.2">
      <c r="A824" s="1" t="str">
        <v>INV2322</v>
      </c>
      <c r="B824" s="2" t="str">
        <v>28-04-2024</v>
      </c>
      <c r="C824" s="1" t="str">
        <v>29PQRSX5678L1Z2</v>
      </c>
      <c r="D824" s="4" t="str">
        <v>Kiran Enterprises</v>
      </c>
      <c r="E824" s="6">
        <v>8802.5400000000009</v>
      </c>
      <c r="F824" s="6">
        <v>792.23</v>
      </c>
      <c r="G824" s="6">
        <v>792.23</v>
      </c>
      <c r="H824" s="6">
        <v>10387</v>
      </c>
      <c r="I824" s="19" t="str">
        <v>GST</v>
      </c>
      <c r="J824" s="1" t="str">
        <f t="shared" si="36"/>
        <v>Unique</v>
      </c>
      <c r="K824" s="21" t="str">
        <f t="shared" si="37"/>
        <v/>
      </c>
      <c r="L824" s="4" t="str">
        <f>IF(COUNTIFS(A:A,A824,C:C,C824)=2,IF(K824="Mismatch","Value Mismatch","Matched"),IF(I824= "Tally","Missing in GST","Missing in Tally"))</f>
        <v>Missing in Tally</v>
      </c>
      <c r="M824" s="6" t="str">
        <f t="shared" si="38"/>
        <v/>
      </c>
    </row>
    <row r="825" spans="1:13" x14ac:dyDescent="0.2">
      <c r="A825" s="1" t="str">
        <v>INV2323</v>
      </c>
      <c r="B825" s="2" t="str">
        <v>11-06-2024</v>
      </c>
      <c r="C825" s="1" t="str">
        <v>24LMNOP4321K1Z7</v>
      </c>
      <c r="D825" s="4" t="str">
        <v>Patel Industries</v>
      </c>
      <c r="E825" s="6">
        <v>34270.129999999997</v>
      </c>
      <c r="F825" s="6">
        <v>3084.31</v>
      </c>
      <c r="G825" s="6">
        <v>3084.31</v>
      </c>
      <c r="H825" s="6">
        <v>40438.75</v>
      </c>
      <c r="I825" s="19" t="str">
        <v>GST</v>
      </c>
      <c r="J825" s="1" t="str">
        <f t="shared" si="36"/>
        <v>Unique</v>
      </c>
      <c r="K825" s="21" t="str">
        <f t="shared" si="37"/>
        <v/>
      </c>
      <c r="L825" s="4" t="str">
        <f>IF(COUNTIFS(A:A,A825,C:C,C825)=2,IF(K825="Mismatch","Value Mismatch","Matched"),IF(I825= "Tally","Missing in GST","Missing in Tally"))</f>
        <v>Missing in Tally</v>
      </c>
      <c r="M825" s="6" t="str">
        <f t="shared" si="38"/>
        <v/>
      </c>
    </row>
    <row r="826" spans="1:13" x14ac:dyDescent="0.2">
      <c r="A826" s="1" t="str">
        <v>INV2324</v>
      </c>
      <c r="B826" s="2" t="str">
        <v>06-06-2024</v>
      </c>
      <c r="C826" s="1" t="str">
        <v>29PQRSX5678L1Z2</v>
      </c>
      <c r="D826" s="4" t="str">
        <v>Kiran Enterprises</v>
      </c>
      <c r="E826" s="6">
        <v>19905.18</v>
      </c>
      <c r="F826" s="6">
        <v>1791.47</v>
      </c>
      <c r="G826" s="6">
        <v>1791.47</v>
      </c>
      <c r="H826" s="6">
        <v>23488.12</v>
      </c>
      <c r="I826" s="19" t="str">
        <v>GST</v>
      </c>
      <c r="J826" s="1" t="str">
        <f t="shared" si="36"/>
        <v>Unique</v>
      </c>
      <c r="K826" s="21" t="str">
        <f t="shared" si="37"/>
        <v/>
      </c>
      <c r="L826" s="4" t="str">
        <f>IF(COUNTIFS(A:A,A826,C:C,C826)=2,IF(K826="Mismatch","Value Mismatch","Matched"),IF(I826= "Tally","Missing in GST","Missing in Tally"))</f>
        <v>Missing in Tally</v>
      </c>
      <c r="M826" s="6" t="str">
        <f t="shared" si="38"/>
        <v/>
      </c>
    </row>
    <row r="827" spans="1:13" x14ac:dyDescent="0.2">
      <c r="A827" s="1" t="str">
        <v>INV2325</v>
      </c>
      <c r="B827" s="2" t="str">
        <v>09-06-2024</v>
      </c>
      <c r="C827" s="1" t="str">
        <v>24LMNOP4321K1Z7</v>
      </c>
      <c r="D827" s="4" t="str">
        <v>Patel Industries</v>
      </c>
      <c r="E827" s="6">
        <v>42462.38</v>
      </c>
      <c r="F827" s="6">
        <v>3821.61</v>
      </c>
      <c r="G827" s="6">
        <v>3821.61</v>
      </c>
      <c r="H827" s="6">
        <v>50105.599999999999</v>
      </c>
      <c r="I827" s="19" t="str">
        <v>GST</v>
      </c>
      <c r="J827" s="1" t="str">
        <f t="shared" si="36"/>
        <v>Unique</v>
      </c>
      <c r="K827" s="21" t="str">
        <f t="shared" si="37"/>
        <v/>
      </c>
      <c r="L827" s="4" t="str">
        <f>IF(COUNTIFS(A:A,A827,C:C,C827)=2,IF(K827="Mismatch","Value Mismatch","Matched"),IF(I827= "Tally","Missing in GST","Missing in Tally"))</f>
        <v>Missing in Tally</v>
      </c>
      <c r="M827" s="6" t="str">
        <f t="shared" si="38"/>
        <v/>
      </c>
    </row>
    <row r="828" spans="1:13" x14ac:dyDescent="0.2">
      <c r="A828" s="1" t="str">
        <v>INV2326</v>
      </c>
      <c r="B828" s="2" t="str">
        <v>04-04-2024</v>
      </c>
      <c r="C828" s="1" t="str">
        <v>24LMNOP4321K1Z7</v>
      </c>
      <c r="D828" s="4" t="str">
        <v>Patel Industries</v>
      </c>
      <c r="E828" s="6">
        <v>13408.97</v>
      </c>
      <c r="F828" s="6">
        <v>1206.81</v>
      </c>
      <c r="G828" s="6">
        <v>1206.81</v>
      </c>
      <c r="H828" s="6">
        <v>15822.59</v>
      </c>
      <c r="I828" s="19" t="str">
        <v>GST</v>
      </c>
      <c r="J828" s="1" t="str">
        <f t="shared" si="36"/>
        <v>Unique</v>
      </c>
      <c r="K828" s="21" t="str">
        <f t="shared" si="37"/>
        <v/>
      </c>
      <c r="L828" s="4" t="str">
        <f>IF(COUNTIFS(A:A,A828,C:C,C828)=2,IF(K828="Mismatch","Value Mismatch","Matched"),IF(I828= "Tally","Missing in GST","Missing in Tally"))</f>
        <v>Missing in Tally</v>
      </c>
      <c r="M828" s="6" t="str">
        <f t="shared" si="38"/>
        <v/>
      </c>
    </row>
    <row r="829" spans="1:13" x14ac:dyDescent="0.2">
      <c r="A829" s="1" t="str">
        <v>INV2327</v>
      </c>
      <c r="B829" s="2" t="str">
        <v>14-06-2024</v>
      </c>
      <c r="C829" s="1" t="str">
        <v>07ZXCVB9876M1Z3</v>
      </c>
      <c r="D829" s="4" t="str">
        <v>Gupta Supplies</v>
      </c>
      <c r="E829" s="6">
        <v>49941.73</v>
      </c>
      <c r="F829" s="6">
        <v>4494.76</v>
      </c>
      <c r="G829" s="6">
        <v>4494.76</v>
      </c>
      <c r="H829" s="6">
        <v>58931.25</v>
      </c>
      <c r="I829" s="19" t="str">
        <v>GST</v>
      </c>
      <c r="J829" s="1" t="str">
        <f t="shared" si="36"/>
        <v>Unique</v>
      </c>
      <c r="K829" s="21" t="str">
        <f t="shared" si="37"/>
        <v/>
      </c>
      <c r="L829" s="4" t="str">
        <f>IF(COUNTIFS(A:A,A829,C:C,C829)=2,IF(K829="Mismatch","Value Mismatch","Matched"),IF(I829= "Tally","Missing in GST","Missing in Tally"))</f>
        <v>Missing in Tally</v>
      </c>
      <c r="M829" s="6" t="str">
        <f t="shared" si="38"/>
        <v/>
      </c>
    </row>
    <row r="830" spans="1:13" x14ac:dyDescent="0.2">
      <c r="A830" s="1" t="str">
        <v>INV2328</v>
      </c>
      <c r="B830" s="2" t="str">
        <v>30-05-2024</v>
      </c>
      <c r="C830" s="1" t="str">
        <v>27ABCDE1234F1Z5</v>
      </c>
      <c r="D830" s="4" t="str">
        <v>Sharma Traders</v>
      </c>
      <c r="E830" s="6">
        <v>49452.67</v>
      </c>
      <c r="F830" s="6">
        <v>4450.74</v>
      </c>
      <c r="G830" s="6">
        <v>4450.74</v>
      </c>
      <c r="H830" s="6">
        <v>58354.15</v>
      </c>
      <c r="I830" s="19" t="str">
        <v>GST</v>
      </c>
      <c r="J830" s="1" t="str">
        <f t="shared" si="36"/>
        <v>Unique</v>
      </c>
      <c r="K830" s="21" t="str">
        <f t="shared" si="37"/>
        <v/>
      </c>
      <c r="L830" s="4" t="str">
        <f>IF(COUNTIFS(A:A,A830,C:C,C830)=2,IF(K830="Mismatch","Value Mismatch","Matched"),IF(I830= "Tally","Missing in GST","Missing in Tally"))</f>
        <v>Missing in Tally</v>
      </c>
      <c r="M830" s="6" t="str">
        <f t="shared" si="38"/>
        <v/>
      </c>
    </row>
    <row r="831" spans="1:13" x14ac:dyDescent="0.2">
      <c r="A831" s="1" t="str">
        <v>INV2329</v>
      </c>
      <c r="B831" s="2" t="str">
        <v>30-05-2024</v>
      </c>
      <c r="C831" s="1" t="str">
        <v>07ZXCVB9876M1Z3</v>
      </c>
      <c r="D831" s="4" t="str">
        <v>Gupta Supplies</v>
      </c>
      <c r="E831" s="6">
        <v>34915.65</v>
      </c>
      <c r="F831" s="6">
        <v>3142.41</v>
      </c>
      <c r="G831" s="6">
        <v>3142.41</v>
      </c>
      <c r="H831" s="6">
        <v>41200.47</v>
      </c>
      <c r="I831" s="19" t="str">
        <v>GST</v>
      </c>
      <c r="J831" s="1" t="str">
        <f t="shared" si="36"/>
        <v>Unique</v>
      </c>
      <c r="K831" s="21" t="str">
        <f t="shared" si="37"/>
        <v/>
      </c>
      <c r="L831" s="4" t="str">
        <f>IF(COUNTIFS(A:A,A831,C:C,C831)=2,IF(K831="Mismatch","Value Mismatch","Matched"),IF(I831= "Tally","Missing in GST","Missing in Tally"))</f>
        <v>Missing in Tally</v>
      </c>
      <c r="M831" s="6" t="str">
        <f t="shared" si="38"/>
        <v/>
      </c>
    </row>
    <row r="832" spans="1:13" x14ac:dyDescent="0.2">
      <c r="A832" s="1" t="str">
        <v>INV2330</v>
      </c>
      <c r="B832" s="2" t="str">
        <v>30-06-2024</v>
      </c>
      <c r="C832" s="1" t="str">
        <v>29PQRSX5678L1Z2</v>
      </c>
      <c r="D832" s="4" t="str">
        <v>Kiran Enterprises</v>
      </c>
      <c r="E832" s="6">
        <v>28423.31</v>
      </c>
      <c r="F832" s="6">
        <v>2558.1</v>
      </c>
      <c r="G832" s="6">
        <v>2558.1</v>
      </c>
      <c r="H832" s="6">
        <v>33539.51</v>
      </c>
      <c r="I832" s="19" t="str">
        <v>GST</v>
      </c>
      <c r="J832" s="1" t="str">
        <f t="shared" si="36"/>
        <v>Unique</v>
      </c>
      <c r="K832" s="21" t="str">
        <f t="shared" si="37"/>
        <v/>
      </c>
      <c r="L832" s="4" t="str">
        <f>IF(COUNTIFS(A:A,A832,C:C,C832)=2,IF(K832="Mismatch","Value Mismatch","Matched"),IF(I832= "Tally","Missing in GST","Missing in Tally"))</f>
        <v>Missing in Tally</v>
      </c>
      <c r="M832" s="6" t="str">
        <f t="shared" si="38"/>
        <v/>
      </c>
    </row>
    <row r="833" spans="1:13" x14ac:dyDescent="0.2">
      <c r="A833" s="1" t="str">
        <v>INV2331</v>
      </c>
      <c r="B833" s="2" t="str">
        <v>20-04-2024</v>
      </c>
      <c r="C833" s="1" t="str">
        <v>19ASDFG2468H1Z9</v>
      </c>
      <c r="D833" s="4" t="str">
        <v>Eastern Distributors</v>
      </c>
      <c r="E833" s="6">
        <v>18357.27</v>
      </c>
      <c r="F833" s="6">
        <v>1652.15</v>
      </c>
      <c r="G833" s="6">
        <v>1652.15</v>
      </c>
      <c r="H833" s="6">
        <v>21661.57</v>
      </c>
      <c r="I833" s="19" t="str">
        <v>GST</v>
      </c>
      <c r="J833" s="1" t="str">
        <f t="shared" si="36"/>
        <v>Unique</v>
      </c>
      <c r="K833" s="21" t="str">
        <f t="shared" si="37"/>
        <v/>
      </c>
      <c r="L833" s="4" t="str">
        <f>IF(COUNTIFS(A:A,A833,C:C,C833)=2,IF(K833="Mismatch","Value Mismatch","Matched"),IF(I833= "Tally","Missing in GST","Missing in Tally"))</f>
        <v>Missing in Tally</v>
      </c>
      <c r="M833" s="6" t="str">
        <f t="shared" si="38"/>
        <v/>
      </c>
    </row>
    <row r="834" spans="1:13" x14ac:dyDescent="0.2">
      <c r="A834" s="1" t="str">
        <v>INV2332</v>
      </c>
      <c r="B834" s="2" t="str">
        <v>06-05-2024</v>
      </c>
      <c r="C834" s="1" t="str">
        <v>24LMNOP4321K1Z7</v>
      </c>
      <c r="D834" s="4" t="str">
        <v>Patel Industries</v>
      </c>
      <c r="E834" s="6">
        <v>37579.83</v>
      </c>
      <c r="F834" s="6">
        <v>3382.18</v>
      </c>
      <c r="G834" s="6">
        <v>3382.18</v>
      </c>
      <c r="H834" s="6">
        <v>44344.19</v>
      </c>
      <c r="I834" s="19" t="str">
        <v>GST</v>
      </c>
      <c r="J834" s="1" t="str">
        <f t="shared" si="36"/>
        <v>Unique</v>
      </c>
      <c r="K834" s="21" t="str">
        <f t="shared" si="37"/>
        <v/>
      </c>
      <c r="L834" s="4" t="str">
        <f>IF(COUNTIFS(A:A,A834,C:C,C834)=2,IF(K834="Mismatch","Value Mismatch","Matched"),IF(I834= "Tally","Missing in GST","Missing in Tally"))</f>
        <v>Missing in Tally</v>
      </c>
      <c r="M834" s="6" t="str">
        <f t="shared" si="38"/>
        <v/>
      </c>
    </row>
    <row r="835" spans="1:13" x14ac:dyDescent="0.2">
      <c r="A835" s="1" t="str">
        <v>INV2333</v>
      </c>
      <c r="B835" s="2" t="str">
        <v>08-05-2024</v>
      </c>
      <c r="C835" s="1" t="str">
        <v>27ABCDE1234F1Z5</v>
      </c>
      <c r="D835" s="4" t="str">
        <v>Sharma Traders</v>
      </c>
      <c r="E835" s="6">
        <v>17301.59</v>
      </c>
      <c r="F835" s="6">
        <v>1557.14</v>
      </c>
      <c r="G835" s="6">
        <v>1557.14</v>
      </c>
      <c r="H835" s="6">
        <v>20415.87</v>
      </c>
      <c r="I835" s="19" t="str">
        <v>GST</v>
      </c>
      <c r="J835" s="1" t="str">
        <f t="shared" ref="J835:J898" si="39">IF(COUNTIFS(A:A,A835,D:D,D835,I:I,I835)&gt;1,"Duplicate","Unique")</f>
        <v>Unique</v>
      </c>
      <c r="K835" s="21" t="str">
        <f t="shared" ref="K835:K898" si="40">IF(COUNTIFS(A:A,A835,C:C,C835)=2,IF(SUMIFS(E:E,A:A,A835,C:C,C835)&lt;&gt;E835*2,"Mismatch","Matched"),"")</f>
        <v/>
      </c>
      <c r="L835" s="4" t="str">
        <f>IF(COUNTIFS(A:A,A835,C:C,C835)=2,IF(K835="Mismatch","Value Mismatch","Matched"),IF(I835= "Tally","Missing in GST","Missing in Tally"))</f>
        <v>Missing in Tally</v>
      </c>
      <c r="M835" s="6" t="str">
        <f t="shared" ref="M835:M898" si="41">IF(COUNTIFS(A:A,A835,C:C,C835)=2,SUMIFS(E:E,A:A,A835,C:C,C835)-E835*2,"")</f>
        <v/>
      </c>
    </row>
    <row r="836" spans="1:13" x14ac:dyDescent="0.2">
      <c r="A836" s="1" t="str">
        <v>INV2334</v>
      </c>
      <c r="B836" s="2" t="str">
        <v>22-04-2024</v>
      </c>
      <c r="C836" s="1" t="str">
        <v>27ABCDE1234F1Z5</v>
      </c>
      <c r="D836" s="4" t="str">
        <v>Sharma Traders</v>
      </c>
      <c r="E836" s="6">
        <v>7932.01</v>
      </c>
      <c r="F836" s="6">
        <v>713.88</v>
      </c>
      <c r="G836" s="6">
        <v>713.88</v>
      </c>
      <c r="H836" s="6">
        <v>9359.77</v>
      </c>
      <c r="I836" s="19" t="str">
        <v>GST</v>
      </c>
      <c r="J836" s="1" t="str">
        <f t="shared" si="39"/>
        <v>Unique</v>
      </c>
      <c r="K836" s="21" t="str">
        <f t="shared" si="40"/>
        <v/>
      </c>
      <c r="L836" s="4" t="str">
        <f>IF(COUNTIFS(A:A,A836,C:C,C836)=2,IF(K836="Mismatch","Value Mismatch","Matched"),IF(I836= "Tally","Missing in GST","Missing in Tally"))</f>
        <v>Missing in Tally</v>
      </c>
      <c r="M836" s="6" t="str">
        <f t="shared" si="41"/>
        <v/>
      </c>
    </row>
    <row r="837" spans="1:13" x14ac:dyDescent="0.2">
      <c r="A837" s="1" t="str">
        <v>INV2335</v>
      </c>
      <c r="B837" s="2" t="str">
        <v>09-05-2024</v>
      </c>
      <c r="C837" s="1" t="str">
        <v>29PQRSX5678L1Z2</v>
      </c>
      <c r="D837" s="4" t="str">
        <v>Kiran Enterprises</v>
      </c>
      <c r="E837" s="6">
        <v>2866.9</v>
      </c>
      <c r="F837" s="6">
        <v>258.02</v>
      </c>
      <c r="G837" s="6">
        <v>258.02</v>
      </c>
      <c r="H837" s="6">
        <v>3382.94</v>
      </c>
      <c r="I837" s="19" t="str">
        <v>GST</v>
      </c>
      <c r="J837" s="1" t="str">
        <f t="shared" si="39"/>
        <v>Unique</v>
      </c>
      <c r="K837" s="21" t="str">
        <f t="shared" si="40"/>
        <v/>
      </c>
      <c r="L837" s="4" t="str">
        <f>IF(COUNTIFS(A:A,A837,C:C,C837)=2,IF(K837="Mismatch","Value Mismatch","Matched"),IF(I837= "Tally","Missing in GST","Missing in Tally"))</f>
        <v>Missing in Tally</v>
      </c>
      <c r="M837" s="6" t="str">
        <f t="shared" si="41"/>
        <v/>
      </c>
    </row>
    <row r="838" spans="1:13" x14ac:dyDescent="0.2">
      <c r="A838" s="1" t="str">
        <v>INV2336</v>
      </c>
      <c r="B838" s="2" t="str">
        <v>11-05-2024</v>
      </c>
      <c r="C838" s="1" t="str">
        <v>29PQRSX5678L1Z2</v>
      </c>
      <c r="D838" s="4" t="str">
        <v>Kiran Enterprises</v>
      </c>
      <c r="E838" s="6">
        <v>40458.449999999997</v>
      </c>
      <c r="F838" s="6">
        <v>3641.26</v>
      </c>
      <c r="G838" s="6">
        <v>3641.26</v>
      </c>
      <c r="H838" s="6">
        <v>47740.97</v>
      </c>
      <c r="I838" s="19" t="str">
        <v>GST</v>
      </c>
      <c r="J838" s="1" t="str">
        <f t="shared" si="39"/>
        <v>Unique</v>
      </c>
      <c r="K838" s="21" t="str">
        <f t="shared" si="40"/>
        <v/>
      </c>
      <c r="L838" s="4" t="str">
        <f>IF(COUNTIFS(A:A,A838,C:C,C838)=2,IF(K838="Mismatch","Value Mismatch","Matched"),IF(I838= "Tally","Missing in GST","Missing in Tally"))</f>
        <v>Missing in Tally</v>
      </c>
      <c r="M838" s="6" t="str">
        <f t="shared" si="41"/>
        <v/>
      </c>
    </row>
    <row r="839" spans="1:13" x14ac:dyDescent="0.2">
      <c r="A839" s="1" t="str">
        <v>INV2337</v>
      </c>
      <c r="B839" s="2" t="str">
        <v>25-05-2024</v>
      </c>
      <c r="C839" s="1" t="str">
        <v>24LMNOP4321K1Z7</v>
      </c>
      <c r="D839" s="4" t="str">
        <v>Patel Industries</v>
      </c>
      <c r="E839" s="6">
        <v>43576.09</v>
      </c>
      <c r="F839" s="6">
        <v>3921.85</v>
      </c>
      <c r="G839" s="6">
        <v>3921.85</v>
      </c>
      <c r="H839" s="6">
        <v>51419.79</v>
      </c>
      <c r="I839" s="19" t="str">
        <v>GST</v>
      </c>
      <c r="J839" s="1" t="str">
        <f t="shared" si="39"/>
        <v>Unique</v>
      </c>
      <c r="K839" s="21" t="str">
        <f t="shared" si="40"/>
        <v/>
      </c>
      <c r="L839" s="4" t="str">
        <f>IF(COUNTIFS(A:A,A839,C:C,C839)=2,IF(K839="Mismatch","Value Mismatch","Matched"),IF(I839= "Tally","Missing in GST","Missing in Tally"))</f>
        <v>Missing in Tally</v>
      </c>
      <c r="M839" s="6" t="str">
        <f t="shared" si="41"/>
        <v/>
      </c>
    </row>
    <row r="840" spans="1:13" x14ac:dyDescent="0.2">
      <c r="A840" s="1" t="str">
        <v>INV2338</v>
      </c>
      <c r="B840" s="2" t="str">
        <v>02-05-2024</v>
      </c>
      <c r="C840" s="1" t="str">
        <v>07ZXCVB9876M1Z3</v>
      </c>
      <c r="D840" s="4" t="str">
        <v>Gupta Supplies</v>
      </c>
      <c r="E840" s="6">
        <v>35192.949999999997</v>
      </c>
      <c r="F840" s="6">
        <v>3167.37</v>
      </c>
      <c r="G840" s="6">
        <v>3167.37</v>
      </c>
      <c r="H840" s="6">
        <v>41527.69</v>
      </c>
      <c r="I840" s="19" t="str">
        <v>GST</v>
      </c>
      <c r="J840" s="1" t="str">
        <f t="shared" si="39"/>
        <v>Unique</v>
      </c>
      <c r="K840" s="21" t="str">
        <f t="shared" si="40"/>
        <v/>
      </c>
      <c r="L840" s="4" t="str">
        <f>IF(COUNTIFS(A:A,A840,C:C,C840)=2,IF(K840="Mismatch","Value Mismatch","Matched"),IF(I840= "Tally","Missing in GST","Missing in Tally"))</f>
        <v>Missing in Tally</v>
      </c>
      <c r="M840" s="6" t="str">
        <f t="shared" si="41"/>
        <v/>
      </c>
    </row>
    <row r="841" spans="1:13" x14ac:dyDescent="0.2">
      <c r="A841" s="1" t="str">
        <v>INV2339</v>
      </c>
      <c r="B841" s="2" t="str">
        <v>12-06-2024</v>
      </c>
      <c r="C841" s="1" t="str">
        <v>19ASDFG2468H1Z9</v>
      </c>
      <c r="D841" s="4" t="str">
        <v>Eastern Distributors</v>
      </c>
      <c r="E841" s="6">
        <v>1416.77</v>
      </c>
      <c r="F841" s="6">
        <v>127.51</v>
      </c>
      <c r="G841" s="6">
        <v>127.51</v>
      </c>
      <c r="H841" s="6">
        <v>1671.79</v>
      </c>
      <c r="I841" s="19" t="str">
        <v>GST</v>
      </c>
      <c r="J841" s="1" t="str">
        <f t="shared" si="39"/>
        <v>Unique</v>
      </c>
      <c r="K841" s="21" t="str">
        <f t="shared" si="40"/>
        <v/>
      </c>
      <c r="L841" s="4" t="str">
        <f>IF(COUNTIFS(A:A,A841,C:C,C841)=2,IF(K841="Mismatch","Value Mismatch","Matched"),IF(I841= "Tally","Missing in GST","Missing in Tally"))</f>
        <v>Missing in Tally</v>
      </c>
      <c r="M841" s="6" t="str">
        <f t="shared" si="41"/>
        <v/>
      </c>
    </row>
    <row r="842" spans="1:13" x14ac:dyDescent="0.2">
      <c r="A842" s="1" t="str">
        <v>INV2340</v>
      </c>
      <c r="B842" s="2" t="str">
        <v>02-04-2024</v>
      </c>
      <c r="C842" s="1" t="str">
        <v>19ASDFG2468H1Z9</v>
      </c>
      <c r="D842" s="4" t="str">
        <v>Eastern Distributors</v>
      </c>
      <c r="E842" s="6">
        <v>39056.339999999997</v>
      </c>
      <c r="F842" s="6">
        <v>3515.07</v>
      </c>
      <c r="G842" s="6">
        <v>3515.07</v>
      </c>
      <c r="H842" s="6">
        <v>46086.48</v>
      </c>
      <c r="I842" s="19" t="str">
        <v>GST</v>
      </c>
      <c r="J842" s="1" t="str">
        <f t="shared" si="39"/>
        <v>Unique</v>
      </c>
      <c r="K842" s="21" t="str">
        <f t="shared" si="40"/>
        <v/>
      </c>
      <c r="L842" s="4" t="str">
        <f>IF(COUNTIFS(A:A,A842,C:C,C842)=2,IF(K842="Mismatch","Value Mismatch","Matched"),IF(I842= "Tally","Missing in GST","Missing in Tally"))</f>
        <v>Missing in Tally</v>
      </c>
      <c r="M842" s="6" t="str">
        <f t="shared" si="41"/>
        <v/>
      </c>
    </row>
    <row r="843" spans="1:13" x14ac:dyDescent="0.2">
      <c r="A843" s="1" t="str">
        <v>INV2341</v>
      </c>
      <c r="B843" s="2" t="str">
        <v>01-06-2024</v>
      </c>
      <c r="C843" s="1" t="str">
        <v>27ABCDE1234F1Z5</v>
      </c>
      <c r="D843" s="4" t="str">
        <v>Sharma Traders</v>
      </c>
      <c r="E843" s="6">
        <v>4756.8599999999997</v>
      </c>
      <c r="F843" s="6">
        <v>428.12</v>
      </c>
      <c r="G843" s="6">
        <v>428.12</v>
      </c>
      <c r="H843" s="6">
        <v>5613.1</v>
      </c>
      <c r="I843" s="19" t="str">
        <v>GST</v>
      </c>
      <c r="J843" s="1" t="str">
        <f t="shared" si="39"/>
        <v>Unique</v>
      </c>
      <c r="K843" s="21" t="str">
        <f t="shared" si="40"/>
        <v/>
      </c>
      <c r="L843" s="4" t="str">
        <f>IF(COUNTIFS(A:A,A843,C:C,C843)=2,IF(K843="Mismatch","Value Mismatch","Matched"),IF(I843= "Tally","Missing in GST","Missing in Tally"))</f>
        <v>Missing in Tally</v>
      </c>
      <c r="M843" s="6" t="str">
        <f t="shared" si="41"/>
        <v/>
      </c>
    </row>
    <row r="844" spans="1:13" x14ac:dyDescent="0.2">
      <c r="A844" s="1" t="str">
        <v>INV2342</v>
      </c>
      <c r="B844" s="2" t="str">
        <v>25-04-2024</v>
      </c>
      <c r="C844" s="1" t="str">
        <v>29PQRSX5678L1Z2</v>
      </c>
      <c r="D844" s="4" t="str">
        <v>Kiran Enterprises</v>
      </c>
      <c r="E844" s="6">
        <v>18375.88</v>
      </c>
      <c r="F844" s="6">
        <v>1653.83</v>
      </c>
      <c r="G844" s="6">
        <v>1653.83</v>
      </c>
      <c r="H844" s="6">
        <v>21683.54</v>
      </c>
      <c r="I844" s="19" t="str">
        <v>GST</v>
      </c>
      <c r="J844" s="1" t="str">
        <f t="shared" si="39"/>
        <v>Unique</v>
      </c>
      <c r="K844" s="21" t="str">
        <f t="shared" si="40"/>
        <v/>
      </c>
      <c r="L844" s="4" t="str">
        <f>IF(COUNTIFS(A:A,A844,C:C,C844)=2,IF(K844="Mismatch","Value Mismatch","Matched"),IF(I844= "Tally","Missing in GST","Missing in Tally"))</f>
        <v>Missing in Tally</v>
      </c>
      <c r="M844" s="6" t="str">
        <f t="shared" si="41"/>
        <v/>
      </c>
    </row>
    <row r="845" spans="1:13" x14ac:dyDescent="0.2">
      <c r="A845" s="1" t="str">
        <v>INV2343</v>
      </c>
      <c r="B845" s="2" t="str">
        <v>02-04-2024</v>
      </c>
      <c r="C845" s="1" t="str">
        <v>07ZXCVB9876M1Z3</v>
      </c>
      <c r="D845" s="4" t="str">
        <v>Gupta Supplies</v>
      </c>
      <c r="E845" s="6">
        <v>14645.85</v>
      </c>
      <c r="F845" s="6">
        <v>1318.13</v>
      </c>
      <c r="G845" s="6">
        <v>1318.13</v>
      </c>
      <c r="H845" s="6">
        <v>17282.11</v>
      </c>
      <c r="I845" s="19" t="str">
        <v>GST</v>
      </c>
      <c r="J845" s="1" t="str">
        <f t="shared" si="39"/>
        <v>Unique</v>
      </c>
      <c r="K845" s="21" t="str">
        <f t="shared" si="40"/>
        <v/>
      </c>
      <c r="L845" s="4" t="str">
        <f>IF(COUNTIFS(A:A,A845,C:C,C845)=2,IF(K845="Mismatch","Value Mismatch","Matched"),IF(I845= "Tally","Missing in GST","Missing in Tally"))</f>
        <v>Missing in Tally</v>
      </c>
      <c r="M845" s="6" t="str">
        <f t="shared" si="41"/>
        <v/>
      </c>
    </row>
    <row r="846" spans="1:13" x14ac:dyDescent="0.2">
      <c r="A846" s="1" t="str">
        <v>INV2344</v>
      </c>
      <c r="B846" s="2" t="str">
        <v>20-04-2024</v>
      </c>
      <c r="C846" s="1" t="str">
        <v>19ASDFG2468H1Z9</v>
      </c>
      <c r="D846" s="4" t="str">
        <v>Eastern Distributors</v>
      </c>
      <c r="E846" s="6">
        <v>39246.03</v>
      </c>
      <c r="F846" s="6">
        <v>3532.14</v>
      </c>
      <c r="G846" s="6">
        <v>3532.14</v>
      </c>
      <c r="H846" s="6">
        <v>46310.31</v>
      </c>
      <c r="I846" s="19" t="str">
        <v>GST</v>
      </c>
      <c r="J846" s="1" t="str">
        <f t="shared" si="39"/>
        <v>Unique</v>
      </c>
      <c r="K846" s="21" t="str">
        <f t="shared" si="40"/>
        <v/>
      </c>
      <c r="L846" s="4" t="str">
        <f>IF(COUNTIFS(A:A,A846,C:C,C846)=2,IF(K846="Mismatch","Value Mismatch","Matched"),IF(I846= "Tally","Missing in GST","Missing in Tally"))</f>
        <v>Missing in Tally</v>
      </c>
      <c r="M846" s="6" t="str">
        <f t="shared" si="41"/>
        <v/>
      </c>
    </row>
    <row r="847" spans="1:13" x14ac:dyDescent="0.2">
      <c r="A847" s="1" t="str">
        <v>INV2345</v>
      </c>
      <c r="B847" s="2" t="str">
        <v>30-04-2024</v>
      </c>
      <c r="C847" s="1" t="str">
        <v>07ZXCVB9876M1Z3</v>
      </c>
      <c r="D847" s="4" t="str">
        <v>Gupta Supplies</v>
      </c>
      <c r="E847" s="6">
        <v>34893.82</v>
      </c>
      <c r="F847" s="6">
        <v>3140.44</v>
      </c>
      <c r="G847" s="6">
        <v>3140.44</v>
      </c>
      <c r="H847" s="6">
        <v>41174.699999999997</v>
      </c>
      <c r="I847" s="19" t="str">
        <v>GST</v>
      </c>
      <c r="J847" s="1" t="str">
        <f t="shared" si="39"/>
        <v>Unique</v>
      </c>
      <c r="K847" s="21" t="str">
        <f t="shared" si="40"/>
        <v/>
      </c>
      <c r="L847" s="4" t="str">
        <f>IF(COUNTIFS(A:A,A847,C:C,C847)=2,IF(K847="Mismatch","Value Mismatch","Matched"),IF(I847= "Tally","Missing in GST","Missing in Tally"))</f>
        <v>Missing in Tally</v>
      </c>
      <c r="M847" s="6" t="str">
        <f t="shared" si="41"/>
        <v/>
      </c>
    </row>
    <row r="848" spans="1:13" x14ac:dyDescent="0.2">
      <c r="A848" s="1" t="str">
        <v>INV2346</v>
      </c>
      <c r="B848" s="2" t="str">
        <v>30-04-2024</v>
      </c>
      <c r="C848" s="1" t="str">
        <v>19ASDFG2468H1Z9</v>
      </c>
      <c r="D848" s="4" t="str">
        <v>Eastern Distributors</v>
      </c>
      <c r="E848" s="6">
        <v>48711.99</v>
      </c>
      <c r="F848" s="6">
        <v>4384.08</v>
      </c>
      <c r="G848" s="6">
        <v>4384.08</v>
      </c>
      <c r="H848" s="6">
        <v>57480.15</v>
      </c>
      <c r="I848" s="19" t="str">
        <v>GST</v>
      </c>
      <c r="J848" s="1" t="str">
        <f t="shared" si="39"/>
        <v>Unique</v>
      </c>
      <c r="K848" s="21" t="str">
        <f t="shared" si="40"/>
        <v/>
      </c>
      <c r="L848" s="4" t="str">
        <f>IF(COUNTIFS(A:A,A848,C:C,C848)=2,IF(K848="Mismatch","Value Mismatch","Matched"),IF(I848= "Tally","Missing in GST","Missing in Tally"))</f>
        <v>Missing in Tally</v>
      </c>
      <c r="M848" s="6" t="str">
        <f t="shared" si="41"/>
        <v/>
      </c>
    </row>
    <row r="849" spans="1:13" x14ac:dyDescent="0.2">
      <c r="A849" s="1" t="str">
        <v>INV2347</v>
      </c>
      <c r="B849" s="2" t="str">
        <v>06-05-2024</v>
      </c>
      <c r="C849" s="1" t="str">
        <v>07ZXCVB9876M1Z3</v>
      </c>
      <c r="D849" s="4" t="str">
        <v>Gupta Supplies</v>
      </c>
      <c r="E849" s="6">
        <v>39338.160000000003</v>
      </c>
      <c r="F849" s="6">
        <v>3540.43</v>
      </c>
      <c r="G849" s="6">
        <v>3540.43</v>
      </c>
      <c r="H849" s="6">
        <v>46419.02</v>
      </c>
      <c r="I849" s="19" t="str">
        <v>GST</v>
      </c>
      <c r="J849" s="1" t="str">
        <f t="shared" si="39"/>
        <v>Unique</v>
      </c>
      <c r="K849" s="21" t="str">
        <f t="shared" si="40"/>
        <v/>
      </c>
      <c r="L849" s="4" t="str">
        <f>IF(COUNTIFS(A:A,A849,C:C,C849)=2,IF(K849="Mismatch","Value Mismatch","Matched"),IF(I849= "Tally","Missing in GST","Missing in Tally"))</f>
        <v>Missing in Tally</v>
      </c>
      <c r="M849" s="6" t="str">
        <f t="shared" si="41"/>
        <v/>
      </c>
    </row>
    <row r="850" spans="1:13" x14ac:dyDescent="0.2">
      <c r="A850" s="1" t="str">
        <v>INV2348</v>
      </c>
      <c r="B850" s="2" t="str">
        <v>13-06-2024</v>
      </c>
      <c r="C850" s="1" t="str">
        <v>27ABCDE1234F1Z5</v>
      </c>
      <c r="D850" s="4" t="str">
        <v>Sharma Traders</v>
      </c>
      <c r="E850" s="6">
        <v>12625.4</v>
      </c>
      <c r="F850" s="6">
        <v>1136.29</v>
      </c>
      <c r="G850" s="6">
        <v>1136.29</v>
      </c>
      <c r="H850" s="6">
        <v>14897.98</v>
      </c>
      <c r="I850" s="19" t="str">
        <v>GST</v>
      </c>
      <c r="J850" s="1" t="str">
        <f t="shared" si="39"/>
        <v>Unique</v>
      </c>
      <c r="K850" s="21" t="str">
        <f t="shared" si="40"/>
        <v/>
      </c>
      <c r="L850" s="4" t="str">
        <f>IF(COUNTIFS(A:A,A850,C:C,C850)=2,IF(K850="Mismatch","Value Mismatch","Matched"),IF(I850= "Tally","Missing in GST","Missing in Tally"))</f>
        <v>Missing in Tally</v>
      </c>
      <c r="M850" s="6" t="str">
        <f t="shared" si="41"/>
        <v/>
      </c>
    </row>
    <row r="851" spans="1:13" x14ac:dyDescent="0.2">
      <c r="A851" s="1" t="str">
        <v>INV2349</v>
      </c>
      <c r="B851" s="2" t="str">
        <v>19-04-2024</v>
      </c>
      <c r="C851" s="1" t="str">
        <v>19ASDFG2468H1Z9</v>
      </c>
      <c r="D851" s="4" t="str">
        <v>Eastern Distributors</v>
      </c>
      <c r="E851" s="6">
        <v>25415.56</v>
      </c>
      <c r="F851" s="6">
        <v>2287.4</v>
      </c>
      <c r="G851" s="6">
        <v>2287.4</v>
      </c>
      <c r="H851" s="6">
        <v>29990.36</v>
      </c>
      <c r="I851" s="19" t="str">
        <v>GST</v>
      </c>
      <c r="J851" s="1" t="str">
        <f t="shared" si="39"/>
        <v>Unique</v>
      </c>
      <c r="K851" s="21" t="str">
        <f t="shared" si="40"/>
        <v/>
      </c>
      <c r="L851" s="4" t="str">
        <f>IF(COUNTIFS(A:A,A851,C:C,C851)=2,IF(K851="Mismatch","Value Mismatch","Matched"),IF(I851= "Tally","Missing in GST","Missing in Tally"))</f>
        <v>Missing in Tally</v>
      </c>
      <c r="M851" s="6" t="str">
        <f t="shared" si="41"/>
        <v/>
      </c>
    </row>
    <row r="852" spans="1:13" x14ac:dyDescent="0.2">
      <c r="A852" s="1" t="str">
        <v>INV2350</v>
      </c>
      <c r="B852" s="2" t="str">
        <v>26-06-2024</v>
      </c>
      <c r="C852" s="1" t="str">
        <v>27ABCDE1234F1Z5</v>
      </c>
      <c r="D852" s="4" t="str">
        <v>Sharma Traders</v>
      </c>
      <c r="E852" s="6">
        <v>6939.01</v>
      </c>
      <c r="F852" s="6">
        <v>624.51</v>
      </c>
      <c r="G852" s="6">
        <v>624.51</v>
      </c>
      <c r="H852" s="6">
        <v>8188.03</v>
      </c>
      <c r="I852" s="19" t="str">
        <v>GST</v>
      </c>
      <c r="J852" s="1" t="str">
        <f t="shared" si="39"/>
        <v>Unique</v>
      </c>
      <c r="K852" s="21" t="str">
        <f t="shared" si="40"/>
        <v/>
      </c>
      <c r="L852" s="4" t="str">
        <f>IF(COUNTIFS(A:A,A852,C:C,C852)=2,IF(K852="Mismatch","Value Mismatch","Matched"),IF(I852= "Tally","Missing in GST","Missing in Tally"))</f>
        <v>Missing in Tally</v>
      </c>
      <c r="M852" s="6" t="str">
        <f t="shared" si="41"/>
        <v/>
      </c>
    </row>
    <row r="853" spans="1:13" x14ac:dyDescent="0.2">
      <c r="A853" s="1" t="str">
        <v>INV2351</v>
      </c>
      <c r="B853" s="2" t="str">
        <v>29-05-2024</v>
      </c>
      <c r="C853" s="1" t="str">
        <v>27ABCDE1234F1Z5</v>
      </c>
      <c r="D853" s="4" t="str">
        <v>Sharma Traders</v>
      </c>
      <c r="E853" s="6">
        <v>18967.04</v>
      </c>
      <c r="F853" s="6">
        <v>1707.03</v>
      </c>
      <c r="G853" s="6">
        <v>1707.03</v>
      </c>
      <c r="H853" s="6">
        <v>22381.1</v>
      </c>
      <c r="I853" s="19" t="str">
        <v>GST</v>
      </c>
      <c r="J853" s="1" t="str">
        <f t="shared" si="39"/>
        <v>Unique</v>
      </c>
      <c r="K853" s="21" t="str">
        <f t="shared" si="40"/>
        <v/>
      </c>
      <c r="L853" s="4" t="str">
        <f>IF(COUNTIFS(A:A,A853,C:C,C853)=2,IF(K853="Mismatch","Value Mismatch","Matched"),IF(I853= "Tally","Missing in GST","Missing in Tally"))</f>
        <v>Missing in Tally</v>
      </c>
      <c r="M853" s="6" t="str">
        <f t="shared" si="41"/>
        <v/>
      </c>
    </row>
    <row r="854" spans="1:13" x14ac:dyDescent="0.2">
      <c r="A854" s="1" t="str">
        <v>INV2352</v>
      </c>
      <c r="B854" s="2" t="str">
        <v>02-04-2024</v>
      </c>
      <c r="C854" s="1" t="str">
        <v>07ZXCVB9876M1Z3</v>
      </c>
      <c r="D854" s="4" t="str">
        <v>Gupta Supplies</v>
      </c>
      <c r="E854" s="6">
        <v>35327.72</v>
      </c>
      <c r="F854" s="6">
        <v>3179.49</v>
      </c>
      <c r="G854" s="6">
        <v>3179.49</v>
      </c>
      <c r="H854" s="6">
        <v>41686.699999999997</v>
      </c>
      <c r="I854" s="19" t="str">
        <v>GST</v>
      </c>
      <c r="J854" s="1" t="str">
        <f t="shared" si="39"/>
        <v>Unique</v>
      </c>
      <c r="K854" s="21" t="str">
        <f t="shared" si="40"/>
        <v/>
      </c>
      <c r="L854" s="4" t="str">
        <f>IF(COUNTIFS(A:A,A854,C:C,C854)=2,IF(K854="Mismatch","Value Mismatch","Matched"),IF(I854= "Tally","Missing in GST","Missing in Tally"))</f>
        <v>Missing in Tally</v>
      </c>
      <c r="M854" s="6" t="str">
        <f t="shared" si="41"/>
        <v/>
      </c>
    </row>
    <row r="855" spans="1:13" x14ac:dyDescent="0.2">
      <c r="A855" s="1" t="str">
        <v>INV2353</v>
      </c>
      <c r="B855" s="2" t="str">
        <v>16-05-2024</v>
      </c>
      <c r="C855" s="1" t="str">
        <v>27ABCDE1234F1Z5</v>
      </c>
      <c r="D855" s="4" t="str">
        <v>Sharma Traders</v>
      </c>
      <c r="E855" s="6">
        <v>23718.78</v>
      </c>
      <c r="F855" s="6">
        <v>2134.69</v>
      </c>
      <c r="G855" s="6">
        <v>2134.69</v>
      </c>
      <c r="H855" s="6">
        <v>27988.16</v>
      </c>
      <c r="I855" s="19" t="str">
        <v>GST</v>
      </c>
      <c r="J855" s="1" t="str">
        <f t="shared" si="39"/>
        <v>Unique</v>
      </c>
      <c r="K855" s="21" t="str">
        <f t="shared" si="40"/>
        <v/>
      </c>
      <c r="L855" s="4" t="str">
        <f>IF(COUNTIFS(A:A,A855,C:C,C855)=2,IF(K855="Mismatch","Value Mismatch","Matched"),IF(I855= "Tally","Missing in GST","Missing in Tally"))</f>
        <v>Missing in Tally</v>
      </c>
      <c r="M855" s="6" t="str">
        <f t="shared" si="41"/>
        <v/>
      </c>
    </row>
    <row r="856" spans="1:13" x14ac:dyDescent="0.2">
      <c r="A856" s="1" t="str">
        <v>INV2354</v>
      </c>
      <c r="B856" s="2" t="str">
        <v>28-05-2024</v>
      </c>
      <c r="C856" s="1" t="str">
        <v>07ZXCVB9876M1Z3</v>
      </c>
      <c r="D856" s="4" t="str">
        <v>Gupta Supplies</v>
      </c>
      <c r="E856" s="6">
        <v>17249.93</v>
      </c>
      <c r="F856" s="6">
        <v>1552.49</v>
      </c>
      <c r="G856" s="6">
        <v>1552.49</v>
      </c>
      <c r="H856" s="6">
        <v>20354.91</v>
      </c>
      <c r="I856" s="19" t="str">
        <v>GST</v>
      </c>
      <c r="J856" s="1" t="str">
        <f t="shared" si="39"/>
        <v>Unique</v>
      </c>
      <c r="K856" s="21" t="str">
        <f t="shared" si="40"/>
        <v/>
      </c>
      <c r="L856" s="4" t="str">
        <f>IF(COUNTIFS(A:A,A856,C:C,C856)=2,IF(K856="Mismatch","Value Mismatch","Matched"),IF(I856= "Tally","Missing in GST","Missing in Tally"))</f>
        <v>Missing in Tally</v>
      </c>
      <c r="M856" s="6" t="str">
        <f t="shared" si="41"/>
        <v/>
      </c>
    </row>
    <row r="857" spans="1:13" x14ac:dyDescent="0.2">
      <c r="A857" s="1" t="str">
        <v>INV2355</v>
      </c>
      <c r="B857" s="2" t="str">
        <v>15-06-2024</v>
      </c>
      <c r="C857" s="1" t="str">
        <v>24LMNOP4321K1Z7</v>
      </c>
      <c r="D857" s="4" t="str">
        <v>Patel Industries</v>
      </c>
      <c r="E857" s="6">
        <v>24709.23</v>
      </c>
      <c r="F857" s="6">
        <v>2223.83</v>
      </c>
      <c r="G857" s="6">
        <v>2223.83</v>
      </c>
      <c r="H857" s="6">
        <v>29156.89</v>
      </c>
      <c r="I857" s="19" t="str">
        <v>GST</v>
      </c>
      <c r="J857" s="1" t="str">
        <f t="shared" si="39"/>
        <v>Unique</v>
      </c>
      <c r="K857" s="21" t="str">
        <f t="shared" si="40"/>
        <v/>
      </c>
      <c r="L857" s="4" t="str">
        <f>IF(COUNTIFS(A:A,A857,C:C,C857)=2,IF(K857="Mismatch","Value Mismatch","Matched"),IF(I857= "Tally","Missing in GST","Missing in Tally"))</f>
        <v>Missing in Tally</v>
      </c>
      <c r="M857" s="6" t="str">
        <f t="shared" si="41"/>
        <v/>
      </c>
    </row>
    <row r="858" spans="1:13" x14ac:dyDescent="0.2">
      <c r="A858" s="1" t="str">
        <v>INV2356</v>
      </c>
      <c r="B858" s="2" t="str">
        <v>07-05-2024</v>
      </c>
      <c r="C858" s="1" t="str">
        <v>24LMNOP4321K1Z7</v>
      </c>
      <c r="D858" s="4" t="str">
        <v>Patel Industries</v>
      </c>
      <c r="E858" s="6">
        <v>45622.83</v>
      </c>
      <c r="F858" s="6">
        <v>4106.05</v>
      </c>
      <c r="G858" s="6">
        <v>4106.05</v>
      </c>
      <c r="H858" s="6">
        <v>53834.93</v>
      </c>
      <c r="I858" s="19" t="str">
        <v>GST</v>
      </c>
      <c r="J858" s="1" t="str">
        <f t="shared" si="39"/>
        <v>Unique</v>
      </c>
      <c r="K858" s="21" t="str">
        <f t="shared" si="40"/>
        <v/>
      </c>
      <c r="L858" s="4" t="str">
        <f>IF(COUNTIFS(A:A,A858,C:C,C858)=2,IF(K858="Mismatch","Value Mismatch","Matched"),IF(I858= "Tally","Missing in GST","Missing in Tally"))</f>
        <v>Missing in Tally</v>
      </c>
      <c r="M858" s="6" t="str">
        <f t="shared" si="41"/>
        <v/>
      </c>
    </row>
    <row r="859" spans="1:13" x14ac:dyDescent="0.2">
      <c r="A859" s="1" t="str">
        <v>INV2357</v>
      </c>
      <c r="B859" s="2" t="str">
        <v>20-04-2024</v>
      </c>
      <c r="C859" s="1" t="str">
        <v>27ABCDE1234F1Z5</v>
      </c>
      <c r="D859" s="4" t="str">
        <v>Sharma Traders</v>
      </c>
      <c r="E859" s="6">
        <v>25796.01</v>
      </c>
      <c r="F859" s="6">
        <v>2321.64</v>
      </c>
      <c r="G859" s="6">
        <v>2321.64</v>
      </c>
      <c r="H859" s="6">
        <v>30439.29</v>
      </c>
      <c r="I859" s="19" t="str">
        <v>GST</v>
      </c>
      <c r="J859" s="1" t="str">
        <f t="shared" si="39"/>
        <v>Unique</v>
      </c>
      <c r="K859" s="21" t="str">
        <f t="shared" si="40"/>
        <v/>
      </c>
      <c r="L859" s="4" t="str">
        <f>IF(COUNTIFS(A:A,A859,C:C,C859)=2,IF(K859="Mismatch","Value Mismatch","Matched"),IF(I859= "Tally","Missing in GST","Missing in Tally"))</f>
        <v>Missing in Tally</v>
      </c>
      <c r="M859" s="6" t="str">
        <f t="shared" si="41"/>
        <v/>
      </c>
    </row>
    <row r="860" spans="1:13" x14ac:dyDescent="0.2">
      <c r="A860" s="1" t="str">
        <v>INV2358</v>
      </c>
      <c r="B860" s="2" t="str">
        <v>29-06-2024</v>
      </c>
      <c r="C860" s="1" t="str">
        <v>07ZXCVB9876M1Z3</v>
      </c>
      <c r="D860" s="4" t="str">
        <v>Gupta Supplies</v>
      </c>
      <c r="E860" s="6">
        <v>21695.54</v>
      </c>
      <c r="F860" s="6">
        <v>1952.6</v>
      </c>
      <c r="G860" s="6">
        <v>1952.6</v>
      </c>
      <c r="H860" s="6">
        <v>25600.74</v>
      </c>
      <c r="I860" s="19" t="str">
        <v>GST</v>
      </c>
      <c r="J860" s="1" t="str">
        <f t="shared" si="39"/>
        <v>Unique</v>
      </c>
      <c r="K860" s="21" t="str">
        <f t="shared" si="40"/>
        <v/>
      </c>
      <c r="L860" s="4" t="str">
        <f>IF(COUNTIFS(A:A,A860,C:C,C860)=2,IF(K860="Mismatch","Value Mismatch","Matched"),IF(I860= "Tally","Missing in GST","Missing in Tally"))</f>
        <v>Missing in Tally</v>
      </c>
      <c r="M860" s="6" t="str">
        <f t="shared" si="41"/>
        <v/>
      </c>
    </row>
    <row r="861" spans="1:13" x14ac:dyDescent="0.2">
      <c r="A861" s="1" t="str">
        <v>INV2359</v>
      </c>
      <c r="B861" s="2" t="str">
        <v>12-04-2024</v>
      </c>
      <c r="C861" s="1" t="str">
        <v>19ASDFG2468H1Z9</v>
      </c>
      <c r="D861" s="4" t="str">
        <v>Eastern Distributors</v>
      </c>
      <c r="E861" s="6">
        <v>9066.16</v>
      </c>
      <c r="F861" s="6">
        <v>815.95</v>
      </c>
      <c r="G861" s="6">
        <v>815.95</v>
      </c>
      <c r="H861" s="6">
        <v>10698.06</v>
      </c>
      <c r="I861" s="19" t="str">
        <v>GST</v>
      </c>
      <c r="J861" s="1" t="str">
        <f t="shared" si="39"/>
        <v>Unique</v>
      </c>
      <c r="K861" s="21" t="str">
        <f t="shared" si="40"/>
        <v/>
      </c>
      <c r="L861" s="4" t="str">
        <f>IF(COUNTIFS(A:A,A861,C:C,C861)=2,IF(K861="Mismatch","Value Mismatch","Matched"),IF(I861= "Tally","Missing in GST","Missing in Tally"))</f>
        <v>Missing in Tally</v>
      </c>
      <c r="M861" s="6" t="str">
        <f t="shared" si="41"/>
        <v/>
      </c>
    </row>
    <row r="862" spans="1:13" x14ac:dyDescent="0.2">
      <c r="A862" s="1" t="str">
        <v>INV2360</v>
      </c>
      <c r="B862" s="2" t="str">
        <v>24-05-2024</v>
      </c>
      <c r="C862" s="1" t="str">
        <v>19ASDFG2468H1Z9</v>
      </c>
      <c r="D862" s="4" t="str">
        <v>Eastern Distributors</v>
      </c>
      <c r="E862" s="6">
        <v>35315.29</v>
      </c>
      <c r="F862" s="6">
        <v>3178.38</v>
      </c>
      <c r="G862" s="6">
        <v>3178.38</v>
      </c>
      <c r="H862" s="6">
        <v>41672.050000000003</v>
      </c>
      <c r="I862" s="19" t="str">
        <v>GST</v>
      </c>
      <c r="J862" s="1" t="str">
        <f t="shared" si="39"/>
        <v>Unique</v>
      </c>
      <c r="K862" s="21" t="str">
        <f t="shared" si="40"/>
        <v/>
      </c>
      <c r="L862" s="4" t="str">
        <f>IF(COUNTIFS(A:A,A862,C:C,C862)=2,IF(K862="Mismatch","Value Mismatch","Matched"),IF(I862= "Tally","Missing in GST","Missing in Tally"))</f>
        <v>Missing in Tally</v>
      </c>
      <c r="M862" s="6" t="str">
        <f t="shared" si="41"/>
        <v/>
      </c>
    </row>
    <row r="863" spans="1:13" x14ac:dyDescent="0.2">
      <c r="A863" s="1" t="str">
        <v>INV2361</v>
      </c>
      <c r="B863" s="2" t="str">
        <v>27-05-2024</v>
      </c>
      <c r="C863" s="1" t="str">
        <v>27ABCDE1234F1Z5</v>
      </c>
      <c r="D863" s="4" t="str">
        <v>Sharma Traders</v>
      </c>
      <c r="E863" s="6">
        <v>14839.83</v>
      </c>
      <c r="F863" s="6">
        <v>1335.58</v>
      </c>
      <c r="G863" s="6">
        <v>1335.58</v>
      </c>
      <c r="H863" s="6">
        <v>17510.990000000002</v>
      </c>
      <c r="I863" s="19" t="str">
        <v>GST</v>
      </c>
      <c r="J863" s="1" t="str">
        <f t="shared" si="39"/>
        <v>Unique</v>
      </c>
      <c r="K863" s="21" t="str">
        <f t="shared" si="40"/>
        <v/>
      </c>
      <c r="L863" s="4" t="str">
        <f>IF(COUNTIFS(A:A,A863,C:C,C863)=2,IF(K863="Mismatch","Value Mismatch","Matched"),IF(I863= "Tally","Missing in GST","Missing in Tally"))</f>
        <v>Missing in Tally</v>
      </c>
      <c r="M863" s="6" t="str">
        <f t="shared" si="41"/>
        <v/>
      </c>
    </row>
    <row r="864" spans="1:13" x14ac:dyDescent="0.2">
      <c r="A864" s="1" t="str">
        <v>INV2362</v>
      </c>
      <c r="B864" s="2" t="str">
        <v>17-06-2024</v>
      </c>
      <c r="C864" s="1" t="str">
        <v>24LMNOP4321K1Z7</v>
      </c>
      <c r="D864" s="4" t="str">
        <v>Patel Industries</v>
      </c>
      <c r="E864" s="6">
        <v>40599.67</v>
      </c>
      <c r="F864" s="6">
        <v>3653.97</v>
      </c>
      <c r="G864" s="6">
        <v>3653.97</v>
      </c>
      <c r="H864" s="6">
        <v>47907.61</v>
      </c>
      <c r="I864" s="19" t="str">
        <v>GST</v>
      </c>
      <c r="J864" s="1" t="str">
        <f t="shared" si="39"/>
        <v>Unique</v>
      </c>
      <c r="K864" s="21" t="str">
        <f t="shared" si="40"/>
        <v/>
      </c>
      <c r="L864" s="4" t="str">
        <f>IF(COUNTIFS(A:A,A864,C:C,C864)=2,IF(K864="Mismatch","Value Mismatch","Matched"),IF(I864= "Tally","Missing in GST","Missing in Tally"))</f>
        <v>Missing in Tally</v>
      </c>
      <c r="M864" s="6" t="str">
        <f t="shared" si="41"/>
        <v/>
      </c>
    </row>
    <row r="865" spans="1:13" x14ac:dyDescent="0.2">
      <c r="A865" s="1" t="str">
        <v>INV2363</v>
      </c>
      <c r="B865" s="2" t="str">
        <v>24-06-2024</v>
      </c>
      <c r="C865" s="1" t="str">
        <v>29PQRSX5678L1Z2</v>
      </c>
      <c r="D865" s="4" t="str">
        <v>Kiran Enterprises</v>
      </c>
      <c r="E865" s="6">
        <v>17426.22</v>
      </c>
      <c r="F865" s="6">
        <v>1568.36</v>
      </c>
      <c r="G865" s="6">
        <v>1568.36</v>
      </c>
      <c r="H865" s="6">
        <v>20562.939999999999</v>
      </c>
      <c r="I865" s="19" t="str">
        <v>GST</v>
      </c>
      <c r="J865" s="1" t="str">
        <f t="shared" si="39"/>
        <v>Unique</v>
      </c>
      <c r="K865" s="21" t="str">
        <f t="shared" si="40"/>
        <v/>
      </c>
      <c r="L865" s="4" t="str">
        <f>IF(COUNTIFS(A:A,A865,C:C,C865)=2,IF(K865="Mismatch","Value Mismatch","Matched"),IF(I865= "Tally","Missing in GST","Missing in Tally"))</f>
        <v>Missing in Tally</v>
      </c>
      <c r="M865" s="6" t="str">
        <f t="shared" si="41"/>
        <v/>
      </c>
    </row>
    <row r="866" spans="1:13" x14ac:dyDescent="0.2">
      <c r="A866" s="1" t="str">
        <v>INV2364</v>
      </c>
      <c r="B866" s="2" t="str">
        <v>03-06-2024</v>
      </c>
      <c r="C866" s="1" t="str">
        <v>27ABCDE1234F1Z5</v>
      </c>
      <c r="D866" s="4" t="str">
        <v>Sharma Traders</v>
      </c>
      <c r="E866" s="6">
        <v>24770.82</v>
      </c>
      <c r="F866" s="6">
        <v>2229.37</v>
      </c>
      <c r="G866" s="6">
        <v>2229.37</v>
      </c>
      <c r="H866" s="6">
        <v>29229.56</v>
      </c>
      <c r="I866" s="19" t="str">
        <v>GST</v>
      </c>
      <c r="J866" s="1" t="str">
        <f t="shared" si="39"/>
        <v>Unique</v>
      </c>
      <c r="K866" s="21" t="str">
        <f t="shared" si="40"/>
        <v/>
      </c>
      <c r="L866" s="4" t="str">
        <f>IF(COUNTIFS(A:A,A866,C:C,C866)=2,IF(K866="Mismatch","Value Mismatch","Matched"),IF(I866= "Tally","Missing in GST","Missing in Tally"))</f>
        <v>Missing in Tally</v>
      </c>
      <c r="M866" s="6" t="str">
        <f t="shared" si="41"/>
        <v/>
      </c>
    </row>
    <row r="867" spans="1:13" x14ac:dyDescent="0.2">
      <c r="A867" s="1" t="str">
        <v>INV2365</v>
      </c>
      <c r="B867" s="2" t="str">
        <v>03-04-2024</v>
      </c>
      <c r="C867" s="1" t="str">
        <v>07ZXCVB9876M1Z3</v>
      </c>
      <c r="D867" s="4" t="str">
        <v>Gupta Supplies</v>
      </c>
      <c r="E867" s="6">
        <v>15199</v>
      </c>
      <c r="F867" s="6">
        <v>1367.91</v>
      </c>
      <c r="G867" s="6">
        <v>1367.91</v>
      </c>
      <c r="H867" s="6">
        <v>17934.82</v>
      </c>
      <c r="I867" s="19" t="str">
        <v>GST</v>
      </c>
      <c r="J867" s="1" t="str">
        <f t="shared" si="39"/>
        <v>Unique</v>
      </c>
      <c r="K867" s="21" t="str">
        <f t="shared" si="40"/>
        <v/>
      </c>
      <c r="L867" s="4" t="str">
        <f>IF(COUNTIFS(A:A,A867,C:C,C867)=2,IF(K867="Mismatch","Value Mismatch","Matched"),IF(I867= "Tally","Missing in GST","Missing in Tally"))</f>
        <v>Missing in Tally</v>
      </c>
      <c r="M867" s="6" t="str">
        <f t="shared" si="41"/>
        <v/>
      </c>
    </row>
    <row r="868" spans="1:13" x14ac:dyDescent="0.2">
      <c r="A868" s="1" t="str">
        <v>INV2366</v>
      </c>
      <c r="B868" s="2" t="str">
        <v>25-05-2024</v>
      </c>
      <c r="C868" s="1" t="str">
        <v>19ASDFG2468H1Z9</v>
      </c>
      <c r="D868" s="4" t="str">
        <v>Eastern Distributors</v>
      </c>
      <c r="E868" s="6">
        <v>31513.13</v>
      </c>
      <c r="F868" s="6">
        <v>2836.18</v>
      </c>
      <c r="G868" s="6">
        <v>2836.18</v>
      </c>
      <c r="H868" s="6">
        <v>37185.49</v>
      </c>
      <c r="I868" s="19" t="str">
        <v>GST</v>
      </c>
      <c r="J868" s="1" t="str">
        <f t="shared" si="39"/>
        <v>Unique</v>
      </c>
      <c r="K868" s="21" t="str">
        <f t="shared" si="40"/>
        <v/>
      </c>
      <c r="L868" s="4" t="str">
        <f>IF(COUNTIFS(A:A,A868,C:C,C868)=2,IF(K868="Mismatch","Value Mismatch","Matched"),IF(I868= "Tally","Missing in GST","Missing in Tally"))</f>
        <v>Missing in Tally</v>
      </c>
      <c r="M868" s="6" t="str">
        <f t="shared" si="41"/>
        <v/>
      </c>
    </row>
    <row r="869" spans="1:13" x14ac:dyDescent="0.2">
      <c r="A869" s="1" t="str">
        <v>INV2367</v>
      </c>
      <c r="B869" s="2" t="str">
        <v>24-04-2024</v>
      </c>
      <c r="C869" s="1" t="str">
        <v>24LMNOP4321K1Z7</v>
      </c>
      <c r="D869" s="4" t="str">
        <v>Patel Industries</v>
      </c>
      <c r="E869" s="6">
        <v>26683.3</v>
      </c>
      <c r="F869" s="6">
        <v>2401.5</v>
      </c>
      <c r="G869" s="6">
        <v>2401.5</v>
      </c>
      <c r="H869" s="6">
        <v>31486.3</v>
      </c>
      <c r="I869" s="19" t="str">
        <v>GST</v>
      </c>
      <c r="J869" s="1" t="str">
        <f t="shared" si="39"/>
        <v>Unique</v>
      </c>
      <c r="K869" s="21" t="str">
        <f t="shared" si="40"/>
        <v/>
      </c>
      <c r="L869" s="4" t="str">
        <f>IF(COUNTIFS(A:A,A869,C:C,C869)=2,IF(K869="Mismatch","Value Mismatch","Matched"),IF(I869= "Tally","Missing in GST","Missing in Tally"))</f>
        <v>Missing in Tally</v>
      </c>
      <c r="M869" s="6" t="str">
        <f t="shared" si="41"/>
        <v/>
      </c>
    </row>
    <row r="870" spans="1:13" x14ac:dyDescent="0.2">
      <c r="A870" s="1" t="str">
        <v>INV2368</v>
      </c>
      <c r="B870" s="2" t="str">
        <v>16-05-2024</v>
      </c>
      <c r="C870" s="1" t="str">
        <v>27ABCDE1234F1Z5</v>
      </c>
      <c r="D870" s="4" t="str">
        <v>Sharma Traders</v>
      </c>
      <c r="E870" s="6">
        <v>32798.01</v>
      </c>
      <c r="F870" s="6">
        <v>2951.82</v>
      </c>
      <c r="G870" s="6">
        <v>2951.82</v>
      </c>
      <c r="H870" s="6">
        <v>38701.65</v>
      </c>
      <c r="I870" s="19" t="str">
        <v>GST</v>
      </c>
      <c r="J870" s="1" t="str">
        <f t="shared" si="39"/>
        <v>Unique</v>
      </c>
      <c r="K870" s="21" t="str">
        <f t="shared" si="40"/>
        <v/>
      </c>
      <c r="L870" s="4" t="str">
        <f>IF(COUNTIFS(A:A,A870,C:C,C870)=2,IF(K870="Mismatch","Value Mismatch","Matched"),IF(I870= "Tally","Missing in GST","Missing in Tally"))</f>
        <v>Missing in Tally</v>
      </c>
      <c r="M870" s="6" t="str">
        <f t="shared" si="41"/>
        <v/>
      </c>
    </row>
    <row r="871" spans="1:13" x14ac:dyDescent="0.2">
      <c r="A871" s="1" t="str">
        <v>INV2369</v>
      </c>
      <c r="B871" s="2" t="str">
        <v>16-04-2024</v>
      </c>
      <c r="C871" s="1" t="str">
        <v>27ABCDE1234F1Z5</v>
      </c>
      <c r="D871" s="4" t="str">
        <v>Sharma Traders</v>
      </c>
      <c r="E871" s="6">
        <v>33741.019999999997</v>
      </c>
      <c r="F871" s="6">
        <v>3036.69</v>
      </c>
      <c r="G871" s="6">
        <v>3036.69</v>
      </c>
      <c r="H871" s="6">
        <v>39814.400000000001</v>
      </c>
      <c r="I871" s="19" t="str">
        <v>GST</v>
      </c>
      <c r="J871" s="1" t="str">
        <f t="shared" si="39"/>
        <v>Unique</v>
      </c>
      <c r="K871" s="21" t="str">
        <f t="shared" si="40"/>
        <v/>
      </c>
      <c r="L871" s="4" t="str">
        <f>IF(COUNTIFS(A:A,A871,C:C,C871)=2,IF(K871="Mismatch","Value Mismatch","Matched"),IF(I871= "Tally","Missing in GST","Missing in Tally"))</f>
        <v>Missing in Tally</v>
      </c>
      <c r="M871" s="6" t="str">
        <f t="shared" si="41"/>
        <v/>
      </c>
    </row>
    <row r="872" spans="1:13" x14ac:dyDescent="0.2">
      <c r="A872" s="1" t="str">
        <v>INV2370</v>
      </c>
      <c r="B872" s="2" t="str">
        <v>16-06-2024</v>
      </c>
      <c r="C872" s="1" t="str">
        <v>27ABCDE1234F1Z5</v>
      </c>
      <c r="D872" s="4" t="str">
        <v>Sharma Traders</v>
      </c>
      <c r="E872" s="6">
        <v>18476.330000000002</v>
      </c>
      <c r="F872" s="6">
        <v>1662.87</v>
      </c>
      <c r="G872" s="6">
        <v>1662.87</v>
      </c>
      <c r="H872" s="6">
        <v>21802.07</v>
      </c>
      <c r="I872" s="19" t="str">
        <v>GST</v>
      </c>
      <c r="J872" s="1" t="str">
        <f t="shared" si="39"/>
        <v>Unique</v>
      </c>
      <c r="K872" s="21" t="str">
        <f t="shared" si="40"/>
        <v/>
      </c>
      <c r="L872" s="4" t="str">
        <f>IF(COUNTIFS(A:A,A872,C:C,C872)=2,IF(K872="Mismatch","Value Mismatch","Matched"),IF(I872= "Tally","Missing in GST","Missing in Tally"))</f>
        <v>Missing in Tally</v>
      </c>
      <c r="M872" s="6" t="str">
        <f t="shared" si="41"/>
        <v/>
      </c>
    </row>
    <row r="873" spans="1:13" x14ac:dyDescent="0.2">
      <c r="A873" s="1" t="str">
        <v>INV2371</v>
      </c>
      <c r="B873" s="2" t="str">
        <v>06-06-2024</v>
      </c>
      <c r="C873" s="1" t="str">
        <v>07ZXCVB9876M1Z3</v>
      </c>
      <c r="D873" s="4" t="str">
        <v>Gupta Supplies</v>
      </c>
      <c r="E873" s="6">
        <v>9938.24</v>
      </c>
      <c r="F873" s="6">
        <v>894.44</v>
      </c>
      <c r="G873" s="6">
        <v>894.44</v>
      </c>
      <c r="H873" s="6">
        <v>11727.12</v>
      </c>
      <c r="I873" s="19" t="str">
        <v>GST</v>
      </c>
      <c r="J873" s="1" t="str">
        <f t="shared" si="39"/>
        <v>Unique</v>
      </c>
      <c r="K873" s="21" t="str">
        <f t="shared" si="40"/>
        <v/>
      </c>
      <c r="L873" s="4" t="str">
        <f>IF(COUNTIFS(A:A,A873,C:C,C873)=2,IF(K873="Mismatch","Value Mismatch","Matched"),IF(I873= "Tally","Missing in GST","Missing in Tally"))</f>
        <v>Missing in Tally</v>
      </c>
      <c r="M873" s="6" t="str">
        <f t="shared" si="41"/>
        <v/>
      </c>
    </row>
    <row r="874" spans="1:13" x14ac:dyDescent="0.2">
      <c r="A874" s="1" t="str">
        <v>INV2372</v>
      </c>
      <c r="B874" s="2" t="str">
        <v>22-04-2024</v>
      </c>
      <c r="C874" s="1" t="str">
        <v>19ASDFG2468H1Z9</v>
      </c>
      <c r="D874" s="4" t="str">
        <v>Eastern Distributors</v>
      </c>
      <c r="E874" s="6">
        <v>41064.839999999997</v>
      </c>
      <c r="F874" s="6">
        <v>3695.84</v>
      </c>
      <c r="G874" s="6">
        <v>3695.84</v>
      </c>
      <c r="H874" s="6">
        <v>48456.52</v>
      </c>
      <c r="I874" s="19" t="str">
        <v>GST</v>
      </c>
      <c r="J874" s="1" t="str">
        <f t="shared" si="39"/>
        <v>Unique</v>
      </c>
      <c r="K874" s="21" t="str">
        <f t="shared" si="40"/>
        <v/>
      </c>
      <c r="L874" s="4" t="str">
        <f>IF(COUNTIFS(A:A,A874,C:C,C874)=2,IF(K874="Mismatch","Value Mismatch","Matched"),IF(I874= "Tally","Missing in GST","Missing in Tally"))</f>
        <v>Missing in Tally</v>
      </c>
      <c r="M874" s="6" t="str">
        <f t="shared" si="41"/>
        <v/>
      </c>
    </row>
    <row r="875" spans="1:13" x14ac:dyDescent="0.2">
      <c r="A875" s="1" t="str">
        <v>INV2373</v>
      </c>
      <c r="B875" s="2" t="str">
        <v>02-06-2024</v>
      </c>
      <c r="C875" s="1" t="str">
        <v>07ZXCVB9876M1Z3</v>
      </c>
      <c r="D875" s="4" t="str">
        <v>Gupta Supplies</v>
      </c>
      <c r="E875" s="6">
        <v>34284.36</v>
      </c>
      <c r="F875" s="6">
        <v>3085.59</v>
      </c>
      <c r="G875" s="6">
        <v>3085.59</v>
      </c>
      <c r="H875" s="6">
        <v>40455.54</v>
      </c>
      <c r="I875" s="19" t="str">
        <v>GST</v>
      </c>
      <c r="J875" s="1" t="str">
        <f t="shared" si="39"/>
        <v>Unique</v>
      </c>
      <c r="K875" s="21" t="str">
        <f t="shared" si="40"/>
        <v/>
      </c>
      <c r="L875" s="4" t="str">
        <f>IF(COUNTIFS(A:A,A875,C:C,C875)=2,IF(K875="Mismatch","Value Mismatch","Matched"),IF(I875= "Tally","Missing in GST","Missing in Tally"))</f>
        <v>Missing in Tally</v>
      </c>
      <c r="M875" s="6" t="str">
        <f t="shared" si="41"/>
        <v/>
      </c>
    </row>
    <row r="876" spans="1:13" x14ac:dyDescent="0.2">
      <c r="A876" s="1" t="str">
        <v>INV2374</v>
      </c>
      <c r="B876" s="2" t="str">
        <v>24-04-2024</v>
      </c>
      <c r="C876" s="1" t="str">
        <v>19ASDFG2468H1Z9</v>
      </c>
      <c r="D876" s="4" t="str">
        <v>Eastern Distributors</v>
      </c>
      <c r="E876" s="6">
        <v>20161.95</v>
      </c>
      <c r="F876" s="6">
        <v>1814.58</v>
      </c>
      <c r="G876" s="6">
        <v>1814.58</v>
      </c>
      <c r="H876" s="6">
        <v>23791.11</v>
      </c>
      <c r="I876" s="19" t="str">
        <v>GST</v>
      </c>
      <c r="J876" s="1" t="str">
        <f t="shared" si="39"/>
        <v>Unique</v>
      </c>
      <c r="K876" s="21" t="str">
        <f t="shared" si="40"/>
        <v/>
      </c>
      <c r="L876" s="4" t="str">
        <f>IF(COUNTIFS(A:A,A876,C:C,C876)=2,IF(K876="Mismatch","Value Mismatch","Matched"),IF(I876= "Tally","Missing in GST","Missing in Tally"))</f>
        <v>Missing in Tally</v>
      </c>
      <c r="M876" s="6" t="str">
        <f t="shared" si="41"/>
        <v/>
      </c>
    </row>
    <row r="877" spans="1:13" x14ac:dyDescent="0.2">
      <c r="A877" s="1" t="str">
        <v>INV2375</v>
      </c>
      <c r="B877" s="2" t="str">
        <v>01-04-2024</v>
      </c>
      <c r="C877" s="1" t="str">
        <v>24LMNOP4321K1Z7</v>
      </c>
      <c r="D877" s="4" t="str">
        <v>Patel Industries</v>
      </c>
      <c r="E877" s="6">
        <v>19973.330000000002</v>
      </c>
      <c r="F877" s="6">
        <v>1797.6</v>
      </c>
      <c r="G877" s="6">
        <v>1797.6</v>
      </c>
      <c r="H877" s="6">
        <v>23568.53</v>
      </c>
      <c r="I877" s="19" t="str">
        <v>GST</v>
      </c>
      <c r="J877" s="1" t="str">
        <f t="shared" si="39"/>
        <v>Unique</v>
      </c>
      <c r="K877" s="21" t="str">
        <f t="shared" si="40"/>
        <v/>
      </c>
      <c r="L877" s="4" t="str">
        <f>IF(COUNTIFS(A:A,A877,C:C,C877)=2,IF(K877="Mismatch","Value Mismatch","Matched"),IF(I877= "Tally","Missing in GST","Missing in Tally"))</f>
        <v>Missing in Tally</v>
      </c>
      <c r="M877" s="6" t="str">
        <f t="shared" si="41"/>
        <v/>
      </c>
    </row>
    <row r="878" spans="1:13" x14ac:dyDescent="0.2">
      <c r="A878" s="1" t="str">
        <v>INV2376</v>
      </c>
      <c r="B878" s="2" t="str">
        <v>18-06-2024</v>
      </c>
      <c r="C878" s="1" t="str">
        <v>19ASDFG2468H1Z9</v>
      </c>
      <c r="D878" s="4" t="str">
        <v>Eastern Distributors</v>
      </c>
      <c r="E878" s="6">
        <v>23987.82</v>
      </c>
      <c r="F878" s="6">
        <v>2158.9</v>
      </c>
      <c r="G878" s="6">
        <v>2158.9</v>
      </c>
      <c r="H878" s="6">
        <v>28305.62</v>
      </c>
      <c r="I878" s="19" t="str">
        <v>GST</v>
      </c>
      <c r="J878" s="1" t="str">
        <f t="shared" si="39"/>
        <v>Unique</v>
      </c>
      <c r="K878" s="21" t="str">
        <f t="shared" si="40"/>
        <v/>
      </c>
      <c r="L878" s="4" t="str">
        <f>IF(COUNTIFS(A:A,A878,C:C,C878)=2,IF(K878="Mismatch","Value Mismatch","Matched"),IF(I878= "Tally","Missing in GST","Missing in Tally"))</f>
        <v>Missing in Tally</v>
      </c>
      <c r="M878" s="6" t="str">
        <f t="shared" si="41"/>
        <v/>
      </c>
    </row>
    <row r="879" spans="1:13" x14ac:dyDescent="0.2">
      <c r="A879" s="1" t="str">
        <v>INV2377</v>
      </c>
      <c r="B879" s="2" t="str">
        <v>09-06-2024</v>
      </c>
      <c r="C879" s="1" t="str">
        <v>27ABCDE1234F1Z5</v>
      </c>
      <c r="D879" s="4" t="str">
        <v>Sharma Traders</v>
      </c>
      <c r="E879" s="6">
        <v>19630.3</v>
      </c>
      <c r="F879" s="6">
        <v>1766.73</v>
      </c>
      <c r="G879" s="6">
        <v>1766.73</v>
      </c>
      <c r="H879" s="6">
        <v>23163.759999999998</v>
      </c>
      <c r="I879" s="19" t="str">
        <v>GST</v>
      </c>
      <c r="J879" s="1" t="str">
        <f t="shared" si="39"/>
        <v>Unique</v>
      </c>
      <c r="K879" s="21" t="str">
        <f t="shared" si="40"/>
        <v/>
      </c>
      <c r="L879" s="4" t="str">
        <f>IF(COUNTIFS(A:A,A879,C:C,C879)=2,IF(K879="Mismatch","Value Mismatch","Matched"),IF(I879= "Tally","Missing in GST","Missing in Tally"))</f>
        <v>Missing in Tally</v>
      </c>
      <c r="M879" s="6" t="str">
        <f t="shared" si="41"/>
        <v/>
      </c>
    </row>
    <row r="880" spans="1:13" x14ac:dyDescent="0.2">
      <c r="A880" s="1" t="str">
        <v>INV2378</v>
      </c>
      <c r="B880" s="2" t="str">
        <v>15-04-2024</v>
      </c>
      <c r="C880" s="1" t="str">
        <v>24LMNOP4321K1Z7</v>
      </c>
      <c r="D880" s="4" t="str">
        <v>Patel Industries</v>
      </c>
      <c r="E880" s="6">
        <v>3343.83</v>
      </c>
      <c r="F880" s="6">
        <v>300.94</v>
      </c>
      <c r="G880" s="6">
        <v>300.94</v>
      </c>
      <c r="H880" s="6">
        <v>3945.71</v>
      </c>
      <c r="I880" s="19" t="str">
        <v>GST</v>
      </c>
      <c r="J880" s="1" t="str">
        <f t="shared" si="39"/>
        <v>Unique</v>
      </c>
      <c r="K880" s="21" t="str">
        <f t="shared" si="40"/>
        <v/>
      </c>
      <c r="L880" s="4" t="str">
        <f>IF(COUNTIFS(A:A,A880,C:C,C880)=2,IF(K880="Mismatch","Value Mismatch","Matched"),IF(I880= "Tally","Missing in GST","Missing in Tally"))</f>
        <v>Missing in Tally</v>
      </c>
      <c r="M880" s="6" t="str">
        <f t="shared" si="41"/>
        <v/>
      </c>
    </row>
    <row r="881" spans="1:13" x14ac:dyDescent="0.2">
      <c r="A881" s="1" t="str">
        <v>INV2379</v>
      </c>
      <c r="B881" s="2" t="str">
        <v>17-06-2024</v>
      </c>
      <c r="C881" s="1" t="str">
        <v>27ABCDE1234F1Z5</v>
      </c>
      <c r="D881" s="4" t="str">
        <v>Sharma Traders</v>
      </c>
      <c r="E881" s="6">
        <v>25139.599999999999</v>
      </c>
      <c r="F881" s="6">
        <v>2262.56</v>
      </c>
      <c r="G881" s="6">
        <v>2262.56</v>
      </c>
      <c r="H881" s="6">
        <v>29664.720000000001</v>
      </c>
      <c r="I881" s="19" t="str">
        <v>GST</v>
      </c>
      <c r="J881" s="1" t="str">
        <f t="shared" si="39"/>
        <v>Unique</v>
      </c>
      <c r="K881" s="21" t="str">
        <f t="shared" si="40"/>
        <v/>
      </c>
      <c r="L881" s="4" t="str">
        <f>IF(COUNTIFS(A:A,A881,C:C,C881)=2,IF(K881="Mismatch","Value Mismatch","Matched"),IF(I881= "Tally","Missing in GST","Missing in Tally"))</f>
        <v>Missing in Tally</v>
      </c>
      <c r="M881" s="6" t="str">
        <f t="shared" si="41"/>
        <v/>
      </c>
    </row>
    <row r="882" spans="1:13" x14ac:dyDescent="0.2">
      <c r="A882" s="1" t="str">
        <v>INV2380</v>
      </c>
      <c r="B882" s="2" t="str">
        <v>23-04-2024</v>
      </c>
      <c r="C882" s="1" t="str">
        <v>24LMNOP4321K1Z7</v>
      </c>
      <c r="D882" s="4" t="str">
        <v>Patel Industries</v>
      </c>
      <c r="E882" s="6">
        <v>41385.699999999997</v>
      </c>
      <c r="F882" s="6">
        <v>3724.71</v>
      </c>
      <c r="G882" s="6">
        <v>3724.71</v>
      </c>
      <c r="H882" s="6">
        <v>48835.12</v>
      </c>
      <c r="I882" s="19" t="str">
        <v>GST</v>
      </c>
      <c r="J882" s="1" t="str">
        <f t="shared" si="39"/>
        <v>Unique</v>
      </c>
      <c r="K882" s="21" t="str">
        <f t="shared" si="40"/>
        <v/>
      </c>
      <c r="L882" s="4" t="str">
        <f>IF(COUNTIFS(A:A,A882,C:C,C882)=2,IF(K882="Mismatch","Value Mismatch","Matched"),IF(I882= "Tally","Missing in GST","Missing in Tally"))</f>
        <v>Missing in Tally</v>
      </c>
      <c r="M882" s="6" t="str">
        <f t="shared" si="41"/>
        <v/>
      </c>
    </row>
    <row r="883" spans="1:13" x14ac:dyDescent="0.2">
      <c r="A883" s="1" t="str">
        <v>INV2381</v>
      </c>
      <c r="B883" s="2" t="str">
        <v>16-04-2024</v>
      </c>
      <c r="C883" s="1" t="str">
        <v>07ZXCVB9876M1Z3</v>
      </c>
      <c r="D883" s="4" t="str">
        <v>Gupta Supplies</v>
      </c>
      <c r="E883" s="6">
        <v>38278.26</v>
      </c>
      <c r="F883" s="6">
        <v>3445.04</v>
      </c>
      <c r="G883" s="6">
        <v>3445.04</v>
      </c>
      <c r="H883" s="6">
        <v>45168.34</v>
      </c>
      <c r="I883" s="19" t="str">
        <v>GST</v>
      </c>
      <c r="J883" s="1" t="str">
        <f t="shared" si="39"/>
        <v>Unique</v>
      </c>
      <c r="K883" s="21" t="str">
        <f t="shared" si="40"/>
        <v/>
      </c>
      <c r="L883" s="4" t="str">
        <f>IF(COUNTIFS(A:A,A883,C:C,C883)=2,IF(K883="Mismatch","Value Mismatch","Matched"),IF(I883= "Tally","Missing in GST","Missing in Tally"))</f>
        <v>Missing in Tally</v>
      </c>
      <c r="M883" s="6" t="str">
        <f t="shared" si="41"/>
        <v/>
      </c>
    </row>
    <row r="884" spans="1:13" x14ac:dyDescent="0.2">
      <c r="A884" s="1" t="str">
        <v>INV2382</v>
      </c>
      <c r="B884" s="2" t="str">
        <v>13-06-2024</v>
      </c>
      <c r="C884" s="1" t="str">
        <v>24LMNOP4321K1Z7</v>
      </c>
      <c r="D884" s="4" t="str">
        <v>Patel Industries</v>
      </c>
      <c r="E884" s="6">
        <v>40208.99</v>
      </c>
      <c r="F884" s="6">
        <v>3618.81</v>
      </c>
      <c r="G884" s="6">
        <v>3618.81</v>
      </c>
      <c r="H884" s="6">
        <v>47446.61</v>
      </c>
      <c r="I884" s="19" t="str">
        <v>GST</v>
      </c>
      <c r="J884" s="1" t="str">
        <f t="shared" si="39"/>
        <v>Unique</v>
      </c>
      <c r="K884" s="21" t="str">
        <f t="shared" si="40"/>
        <v/>
      </c>
      <c r="L884" s="4" t="str">
        <f>IF(COUNTIFS(A:A,A884,C:C,C884)=2,IF(K884="Mismatch","Value Mismatch","Matched"),IF(I884= "Tally","Missing in GST","Missing in Tally"))</f>
        <v>Missing in Tally</v>
      </c>
      <c r="M884" s="6" t="str">
        <f t="shared" si="41"/>
        <v/>
      </c>
    </row>
    <row r="885" spans="1:13" x14ac:dyDescent="0.2">
      <c r="A885" s="1" t="str">
        <v>INV2383</v>
      </c>
      <c r="B885" s="2" t="str">
        <v>04-05-2024</v>
      </c>
      <c r="C885" s="1" t="str">
        <v>19ASDFG2468H1Z9</v>
      </c>
      <c r="D885" s="4" t="str">
        <v>Eastern Distributors</v>
      </c>
      <c r="E885" s="6">
        <v>48323.040000000001</v>
      </c>
      <c r="F885" s="6">
        <v>4349.07</v>
      </c>
      <c r="G885" s="6">
        <v>4349.07</v>
      </c>
      <c r="H885" s="6">
        <v>57021.18</v>
      </c>
      <c r="I885" s="19" t="str">
        <v>GST</v>
      </c>
      <c r="J885" s="1" t="str">
        <f t="shared" si="39"/>
        <v>Unique</v>
      </c>
      <c r="K885" s="21" t="str">
        <f t="shared" si="40"/>
        <v/>
      </c>
      <c r="L885" s="4" t="str">
        <f>IF(COUNTIFS(A:A,A885,C:C,C885)=2,IF(K885="Mismatch","Value Mismatch","Matched"),IF(I885= "Tally","Missing in GST","Missing in Tally"))</f>
        <v>Missing in Tally</v>
      </c>
      <c r="M885" s="6" t="str">
        <f t="shared" si="41"/>
        <v/>
      </c>
    </row>
    <row r="886" spans="1:13" x14ac:dyDescent="0.2">
      <c r="A886" s="1" t="str">
        <v>INV2384</v>
      </c>
      <c r="B886" s="2" t="str">
        <v>01-05-2024</v>
      </c>
      <c r="C886" s="1" t="str">
        <v>07ZXCVB9876M1Z3</v>
      </c>
      <c r="D886" s="4" t="str">
        <v>Gupta Supplies</v>
      </c>
      <c r="E886" s="6">
        <v>12523.43</v>
      </c>
      <c r="F886" s="6">
        <v>1127.1099999999999</v>
      </c>
      <c r="G886" s="6">
        <v>1127.1099999999999</v>
      </c>
      <c r="H886" s="6">
        <v>14777.65</v>
      </c>
      <c r="I886" s="19" t="str">
        <v>GST</v>
      </c>
      <c r="J886" s="1" t="str">
        <f t="shared" si="39"/>
        <v>Unique</v>
      </c>
      <c r="K886" s="21" t="str">
        <f t="shared" si="40"/>
        <v/>
      </c>
      <c r="L886" s="4" t="str">
        <f>IF(COUNTIFS(A:A,A886,C:C,C886)=2,IF(K886="Mismatch","Value Mismatch","Matched"),IF(I886= "Tally","Missing in GST","Missing in Tally"))</f>
        <v>Missing in Tally</v>
      </c>
      <c r="M886" s="6" t="str">
        <f t="shared" si="41"/>
        <v/>
      </c>
    </row>
    <row r="887" spans="1:13" x14ac:dyDescent="0.2">
      <c r="A887" s="1" t="str">
        <v>INV2385</v>
      </c>
      <c r="B887" s="2" t="str">
        <v>23-05-2024</v>
      </c>
      <c r="C887" s="1" t="str">
        <v>19ASDFG2468H1Z9</v>
      </c>
      <c r="D887" s="4" t="str">
        <v>Eastern Distributors</v>
      </c>
      <c r="E887" s="6">
        <v>5843.35</v>
      </c>
      <c r="F887" s="6">
        <v>525.9</v>
      </c>
      <c r="G887" s="6">
        <v>525.9</v>
      </c>
      <c r="H887" s="6">
        <v>6895.15</v>
      </c>
      <c r="I887" s="19" t="str">
        <v>GST</v>
      </c>
      <c r="J887" s="1" t="str">
        <f t="shared" si="39"/>
        <v>Unique</v>
      </c>
      <c r="K887" s="21" t="str">
        <f t="shared" si="40"/>
        <v/>
      </c>
      <c r="L887" s="4" t="str">
        <f>IF(COUNTIFS(A:A,A887,C:C,C887)=2,IF(K887="Mismatch","Value Mismatch","Matched"),IF(I887= "Tally","Missing in GST","Missing in Tally"))</f>
        <v>Missing in Tally</v>
      </c>
      <c r="M887" s="6" t="str">
        <f t="shared" si="41"/>
        <v/>
      </c>
    </row>
    <row r="888" spans="1:13" x14ac:dyDescent="0.2">
      <c r="A888" s="1" t="str">
        <v>INV2386</v>
      </c>
      <c r="B888" s="2" t="str">
        <v>27-05-2024</v>
      </c>
      <c r="C888" s="1" t="str">
        <v>27ABCDE1234F1Z5</v>
      </c>
      <c r="D888" s="4" t="str">
        <v>Sharma Traders</v>
      </c>
      <c r="E888" s="6">
        <v>8670.34</v>
      </c>
      <c r="F888" s="6">
        <v>780.33</v>
      </c>
      <c r="G888" s="6">
        <v>780.33</v>
      </c>
      <c r="H888" s="6">
        <v>10231</v>
      </c>
      <c r="I888" s="19" t="str">
        <v>GST</v>
      </c>
      <c r="J888" s="1" t="str">
        <f t="shared" si="39"/>
        <v>Unique</v>
      </c>
      <c r="K888" s="21" t="str">
        <f t="shared" si="40"/>
        <v/>
      </c>
      <c r="L888" s="4" t="str">
        <f>IF(COUNTIFS(A:A,A888,C:C,C888)=2,IF(K888="Mismatch","Value Mismatch","Matched"),IF(I888= "Tally","Missing in GST","Missing in Tally"))</f>
        <v>Missing in Tally</v>
      </c>
      <c r="M888" s="6" t="str">
        <f t="shared" si="41"/>
        <v/>
      </c>
    </row>
    <row r="889" spans="1:13" x14ac:dyDescent="0.2">
      <c r="A889" s="1" t="str">
        <v>INV2387</v>
      </c>
      <c r="B889" s="2" t="str">
        <v>19-06-2024</v>
      </c>
      <c r="C889" s="1" t="str">
        <v>19ASDFG2468H1Z9</v>
      </c>
      <c r="D889" s="4" t="str">
        <v>Eastern Distributors</v>
      </c>
      <c r="E889" s="6">
        <v>1187.3</v>
      </c>
      <c r="F889" s="6">
        <v>106.86</v>
      </c>
      <c r="G889" s="6">
        <v>106.86</v>
      </c>
      <c r="H889" s="6">
        <v>1401.02</v>
      </c>
      <c r="I889" s="19" t="str">
        <v>GST</v>
      </c>
      <c r="J889" s="1" t="str">
        <f t="shared" si="39"/>
        <v>Unique</v>
      </c>
      <c r="K889" s="21" t="str">
        <f t="shared" si="40"/>
        <v/>
      </c>
      <c r="L889" s="4" t="str">
        <f>IF(COUNTIFS(A:A,A889,C:C,C889)=2,IF(K889="Mismatch","Value Mismatch","Matched"),IF(I889= "Tally","Missing in GST","Missing in Tally"))</f>
        <v>Missing in Tally</v>
      </c>
      <c r="M889" s="6" t="str">
        <f t="shared" si="41"/>
        <v/>
      </c>
    </row>
    <row r="890" spans="1:13" x14ac:dyDescent="0.2">
      <c r="A890" s="1" t="str">
        <v>INV2388</v>
      </c>
      <c r="B890" s="2" t="str">
        <v>19-04-2024</v>
      </c>
      <c r="C890" s="1" t="str">
        <v>19ASDFG2468H1Z9</v>
      </c>
      <c r="D890" s="4" t="str">
        <v>Eastern Distributors</v>
      </c>
      <c r="E890" s="6">
        <v>15537.02</v>
      </c>
      <c r="F890" s="6">
        <v>1398.33</v>
      </c>
      <c r="G890" s="6">
        <v>1398.33</v>
      </c>
      <c r="H890" s="6">
        <v>18333.68</v>
      </c>
      <c r="I890" s="19" t="str">
        <v>GST</v>
      </c>
      <c r="J890" s="1" t="str">
        <f t="shared" si="39"/>
        <v>Unique</v>
      </c>
      <c r="K890" s="21" t="str">
        <f t="shared" si="40"/>
        <v/>
      </c>
      <c r="L890" s="4" t="str">
        <f>IF(COUNTIFS(A:A,A890,C:C,C890)=2,IF(K890="Mismatch","Value Mismatch","Matched"),IF(I890= "Tally","Missing in GST","Missing in Tally"))</f>
        <v>Missing in Tally</v>
      </c>
      <c r="M890" s="6" t="str">
        <f t="shared" si="41"/>
        <v/>
      </c>
    </row>
    <row r="891" spans="1:13" x14ac:dyDescent="0.2">
      <c r="A891" s="1" t="str">
        <v>INV2389</v>
      </c>
      <c r="B891" s="2" t="str">
        <v>24-05-2024</v>
      </c>
      <c r="C891" s="1" t="str">
        <v>29PQRSX5678L1Z2</v>
      </c>
      <c r="D891" s="4" t="str">
        <v>Kiran Enterprises</v>
      </c>
      <c r="E891" s="6">
        <v>29432.09</v>
      </c>
      <c r="F891" s="6">
        <v>2648.89</v>
      </c>
      <c r="G891" s="6">
        <v>2648.89</v>
      </c>
      <c r="H891" s="6">
        <v>34729.870000000003</v>
      </c>
      <c r="I891" s="19" t="str">
        <v>GST</v>
      </c>
      <c r="J891" s="1" t="str">
        <f t="shared" si="39"/>
        <v>Unique</v>
      </c>
      <c r="K891" s="21" t="str">
        <f t="shared" si="40"/>
        <v/>
      </c>
      <c r="L891" s="4" t="str">
        <f>IF(COUNTIFS(A:A,A891,C:C,C891)=2,IF(K891="Mismatch","Value Mismatch","Matched"),IF(I891= "Tally","Missing in GST","Missing in Tally"))</f>
        <v>Missing in Tally</v>
      </c>
      <c r="M891" s="6" t="str">
        <f t="shared" si="41"/>
        <v/>
      </c>
    </row>
    <row r="892" spans="1:13" x14ac:dyDescent="0.2">
      <c r="A892" s="1" t="str">
        <v>INV2390</v>
      </c>
      <c r="B892" s="2" t="str">
        <v>04-04-2024</v>
      </c>
      <c r="C892" s="1" t="str">
        <v>29PQRSX5678L1Z2</v>
      </c>
      <c r="D892" s="4" t="str">
        <v>Kiran Enterprises</v>
      </c>
      <c r="E892" s="6">
        <v>27651.91</v>
      </c>
      <c r="F892" s="6">
        <v>2488.67</v>
      </c>
      <c r="G892" s="6">
        <v>2488.67</v>
      </c>
      <c r="H892" s="6">
        <v>32629.25</v>
      </c>
      <c r="I892" s="19" t="str">
        <v>GST</v>
      </c>
      <c r="J892" s="1" t="str">
        <f t="shared" si="39"/>
        <v>Unique</v>
      </c>
      <c r="K892" s="21" t="str">
        <f t="shared" si="40"/>
        <v/>
      </c>
      <c r="L892" s="4" t="str">
        <f>IF(COUNTIFS(A:A,A892,C:C,C892)=2,IF(K892="Mismatch","Value Mismatch","Matched"),IF(I892= "Tally","Missing in GST","Missing in Tally"))</f>
        <v>Missing in Tally</v>
      </c>
      <c r="M892" s="6" t="str">
        <f t="shared" si="41"/>
        <v/>
      </c>
    </row>
    <row r="893" spans="1:13" x14ac:dyDescent="0.2">
      <c r="A893" s="1" t="str">
        <v>INV2391</v>
      </c>
      <c r="B893" s="2" t="str">
        <v>29-06-2024</v>
      </c>
      <c r="C893" s="1" t="str">
        <v>07ZXCVB9876M1Z3</v>
      </c>
      <c r="D893" s="4" t="str">
        <v>Gupta Supplies</v>
      </c>
      <c r="E893" s="6">
        <v>38578</v>
      </c>
      <c r="F893" s="6">
        <v>3472.02</v>
      </c>
      <c r="G893" s="6">
        <v>3472.02</v>
      </c>
      <c r="H893" s="6">
        <v>45522.04</v>
      </c>
      <c r="I893" s="19" t="str">
        <v>GST</v>
      </c>
      <c r="J893" s="1" t="str">
        <f t="shared" si="39"/>
        <v>Unique</v>
      </c>
      <c r="K893" s="21" t="str">
        <f t="shared" si="40"/>
        <v/>
      </c>
      <c r="L893" s="4" t="str">
        <f>IF(COUNTIFS(A:A,A893,C:C,C893)=2,IF(K893="Mismatch","Value Mismatch","Matched"),IF(I893= "Tally","Missing in GST","Missing in Tally"))</f>
        <v>Missing in Tally</v>
      </c>
      <c r="M893" s="6" t="str">
        <f t="shared" si="41"/>
        <v/>
      </c>
    </row>
    <row r="894" spans="1:13" x14ac:dyDescent="0.2">
      <c r="A894" s="1" t="str">
        <v>INV2392</v>
      </c>
      <c r="B894" s="2" t="str">
        <v>19-04-2024</v>
      </c>
      <c r="C894" s="1" t="str">
        <v>07ZXCVB9876M1Z3</v>
      </c>
      <c r="D894" s="4" t="str">
        <v>Gupta Supplies</v>
      </c>
      <c r="E894" s="6">
        <v>2988.56</v>
      </c>
      <c r="F894" s="6">
        <v>268.97000000000003</v>
      </c>
      <c r="G894" s="6">
        <v>268.97000000000003</v>
      </c>
      <c r="H894" s="6">
        <v>3526.5</v>
      </c>
      <c r="I894" s="19" t="str">
        <v>GST</v>
      </c>
      <c r="J894" s="1" t="str">
        <f t="shared" si="39"/>
        <v>Unique</v>
      </c>
      <c r="K894" s="21" t="str">
        <f t="shared" si="40"/>
        <v/>
      </c>
      <c r="L894" s="4" t="str">
        <f>IF(COUNTIFS(A:A,A894,C:C,C894)=2,IF(K894="Mismatch","Value Mismatch","Matched"),IF(I894= "Tally","Missing in GST","Missing in Tally"))</f>
        <v>Missing in Tally</v>
      </c>
      <c r="M894" s="6" t="str">
        <f t="shared" si="41"/>
        <v/>
      </c>
    </row>
    <row r="895" spans="1:13" x14ac:dyDescent="0.2">
      <c r="A895" s="1" t="str">
        <v>INV2393</v>
      </c>
      <c r="B895" s="2" t="str">
        <v>24-05-2024</v>
      </c>
      <c r="C895" s="1" t="str">
        <v>29PQRSX5678L1Z2</v>
      </c>
      <c r="D895" s="4" t="str">
        <v>Kiran Enterprises</v>
      </c>
      <c r="E895" s="6">
        <v>25672.52</v>
      </c>
      <c r="F895" s="6">
        <v>2310.5300000000002</v>
      </c>
      <c r="G895" s="6">
        <v>2310.5300000000002</v>
      </c>
      <c r="H895" s="6">
        <v>30293.58</v>
      </c>
      <c r="I895" s="19" t="str">
        <v>GST</v>
      </c>
      <c r="J895" s="1" t="str">
        <f t="shared" si="39"/>
        <v>Unique</v>
      </c>
      <c r="K895" s="21" t="str">
        <f t="shared" si="40"/>
        <v/>
      </c>
      <c r="L895" s="4" t="str">
        <f>IF(COUNTIFS(A:A,A895,C:C,C895)=2,IF(K895="Mismatch","Value Mismatch","Matched"),IF(I895= "Tally","Missing in GST","Missing in Tally"))</f>
        <v>Missing in Tally</v>
      </c>
      <c r="M895" s="6" t="str">
        <f t="shared" si="41"/>
        <v/>
      </c>
    </row>
    <row r="896" spans="1:13" x14ac:dyDescent="0.2">
      <c r="A896" s="1" t="str">
        <v>INV2394</v>
      </c>
      <c r="B896" s="2" t="str">
        <v>05-06-2024</v>
      </c>
      <c r="C896" s="1" t="str">
        <v>19ASDFG2468H1Z9</v>
      </c>
      <c r="D896" s="4" t="str">
        <v>Eastern Distributors</v>
      </c>
      <c r="E896" s="6">
        <v>48402.76</v>
      </c>
      <c r="F896" s="6">
        <v>4356.25</v>
      </c>
      <c r="G896" s="6">
        <v>4356.25</v>
      </c>
      <c r="H896" s="6">
        <v>57115.26</v>
      </c>
      <c r="I896" s="19" t="str">
        <v>GST</v>
      </c>
      <c r="J896" s="1" t="str">
        <f t="shared" si="39"/>
        <v>Unique</v>
      </c>
      <c r="K896" s="21" t="str">
        <f t="shared" si="40"/>
        <v/>
      </c>
      <c r="L896" s="4" t="str">
        <f>IF(COUNTIFS(A:A,A896,C:C,C896)=2,IF(K896="Mismatch","Value Mismatch","Matched"),IF(I896= "Tally","Missing in GST","Missing in Tally"))</f>
        <v>Missing in Tally</v>
      </c>
      <c r="M896" s="6" t="str">
        <f t="shared" si="41"/>
        <v/>
      </c>
    </row>
    <row r="897" spans="1:13" x14ac:dyDescent="0.2">
      <c r="A897" s="1" t="str">
        <v>INV2395</v>
      </c>
      <c r="B897" s="2" t="str">
        <v>26-06-2024</v>
      </c>
      <c r="C897" s="1" t="str">
        <v>29PQRSX5678L1Z2</v>
      </c>
      <c r="D897" s="4" t="str">
        <v>Kiran Enterprises</v>
      </c>
      <c r="E897" s="6">
        <v>48114.559999999998</v>
      </c>
      <c r="F897" s="6">
        <v>4330.3100000000004</v>
      </c>
      <c r="G897" s="6">
        <v>4330.3100000000004</v>
      </c>
      <c r="H897" s="6">
        <v>56775.18</v>
      </c>
      <c r="I897" s="19" t="str">
        <v>GST</v>
      </c>
      <c r="J897" s="1" t="str">
        <f t="shared" si="39"/>
        <v>Unique</v>
      </c>
      <c r="K897" s="21" t="str">
        <f t="shared" si="40"/>
        <v/>
      </c>
      <c r="L897" s="4" t="str">
        <f>IF(COUNTIFS(A:A,A897,C:C,C897)=2,IF(K897="Mismatch","Value Mismatch","Matched"),IF(I897= "Tally","Missing in GST","Missing in Tally"))</f>
        <v>Missing in Tally</v>
      </c>
      <c r="M897" s="6" t="str">
        <f t="shared" si="41"/>
        <v/>
      </c>
    </row>
    <row r="898" spans="1:13" x14ac:dyDescent="0.2">
      <c r="A898" s="1" t="str">
        <v>INV2396</v>
      </c>
      <c r="B898" s="2" t="str">
        <v>23-05-2024</v>
      </c>
      <c r="C898" s="1" t="str">
        <v>27ABCDE1234F1Z5</v>
      </c>
      <c r="D898" s="4" t="str">
        <v>Sharma Traders</v>
      </c>
      <c r="E898" s="6">
        <v>20040.52</v>
      </c>
      <c r="F898" s="6">
        <v>1803.65</v>
      </c>
      <c r="G898" s="6">
        <v>1803.65</v>
      </c>
      <c r="H898" s="6">
        <v>23647.82</v>
      </c>
      <c r="I898" s="19" t="str">
        <v>GST</v>
      </c>
      <c r="J898" s="1" t="str">
        <f t="shared" si="39"/>
        <v>Unique</v>
      </c>
      <c r="K898" s="21" t="str">
        <f t="shared" si="40"/>
        <v/>
      </c>
      <c r="L898" s="4" t="str">
        <f>IF(COUNTIFS(A:A,A898,C:C,C898)=2,IF(K898="Mismatch","Value Mismatch","Matched"),IF(I898= "Tally","Missing in GST","Missing in Tally"))</f>
        <v>Missing in Tally</v>
      </c>
      <c r="M898" s="6" t="str">
        <f t="shared" si="41"/>
        <v/>
      </c>
    </row>
    <row r="899" spans="1:13" x14ac:dyDescent="0.2">
      <c r="A899" s="1" t="str">
        <v>INV2397</v>
      </c>
      <c r="B899" s="2" t="str">
        <v>13-04-2024</v>
      </c>
      <c r="C899" s="1" t="str">
        <v>29PQRSX5678L1Z2</v>
      </c>
      <c r="D899" s="4" t="str">
        <v>Kiran Enterprises</v>
      </c>
      <c r="E899" s="6">
        <v>45288.4</v>
      </c>
      <c r="F899" s="6">
        <v>4075.96</v>
      </c>
      <c r="G899" s="6">
        <v>4075.96</v>
      </c>
      <c r="H899" s="6">
        <v>53440.32</v>
      </c>
      <c r="I899" s="19" t="str">
        <v>GST</v>
      </c>
      <c r="J899" s="1" t="str">
        <f t="shared" ref="J899:J962" si="42">IF(COUNTIFS(A:A,A899,D:D,D899,I:I,I899)&gt;1,"Duplicate","Unique")</f>
        <v>Unique</v>
      </c>
      <c r="K899" s="21" t="str">
        <f t="shared" ref="K899:K962" si="43">IF(COUNTIFS(A:A,A899,C:C,C899)=2,IF(SUMIFS(E:E,A:A,A899,C:C,C899)&lt;&gt;E899*2,"Mismatch","Matched"),"")</f>
        <v/>
      </c>
      <c r="L899" s="4" t="str">
        <f>IF(COUNTIFS(A:A,A899,C:C,C899)=2,IF(K899="Mismatch","Value Mismatch","Matched"),IF(I899= "Tally","Missing in GST","Missing in Tally"))</f>
        <v>Missing in Tally</v>
      </c>
      <c r="M899" s="6" t="str">
        <f t="shared" ref="M899:M962" si="44">IF(COUNTIFS(A:A,A899,C:C,C899)=2,SUMIFS(E:E,A:A,A899,C:C,C899)-E899*2,"")</f>
        <v/>
      </c>
    </row>
    <row r="900" spans="1:13" x14ac:dyDescent="0.2">
      <c r="A900" s="1" t="str">
        <v>INV2398</v>
      </c>
      <c r="B900" s="2" t="str">
        <v>25-05-2024</v>
      </c>
      <c r="C900" s="1" t="str">
        <v>29PQRSX5678L1Z2</v>
      </c>
      <c r="D900" s="4" t="str">
        <v>Kiran Enterprises</v>
      </c>
      <c r="E900" s="6">
        <v>48052.91</v>
      </c>
      <c r="F900" s="6">
        <v>4324.76</v>
      </c>
      <c r="G900" s="6">
        <v>4324.76</v>
      </c>
      <c r="H900" s="6">
        <v>56702.43</v>
      </c>
      <c r="I900" s="19" t="str">
        <v>GST</v>
      </c>
      <c r="J900" s="1" t="str">
        <f t="shared" si="42"/>
        <v>Unique</v>
      </c>
      <c r="K900" s="21" t="str">
        <f t="shared" si="43"/>
        <v/>
      </c>
      <c r="L900" s="4" t="str">
        <f>IF(COUNTIFS(A:A,A900,C:C,C900)=2,IF(K900="Mismatch","Value Mismatch","Matched"),IF(I900= "Tally","Missing in GST","Missing in Tally"))</f>
        <v>Missing in Tally</v>
      </c>
      <c r="M900" s="6" t="str">
        <f t="shared" si="44"/>
        <v/>
      </c>
    </row>
    <row r="901" spans="1:13" x14ac:dyDescent="0.2">
      <c r="A901" s="1" t="str">
        <v>INV2399</v>
      </c>
      <c r="B901" s="2" t="str">
        <v>19-05-2024</v>
      </c>
      <c r="C901" s="1" t="str">
        <v>27ABCDE1234F1Z5</v>
      </c>
      <c r="D901" s="4" t="str">
        <v>Sharma Traders</v>
      </c>
      <c r="E901" s="6">
        <v>11562.9</v>
      </c>
      <c r="F901" s="6">
        <v>1040.6600000000001</v>
      </c>
      <c r="G901" s="6">
        <v>1040.6600000000001</v>
      </c>
      <c r="H901" s="6">
        <v>13644.22</v>
      </c>
      <c r="I901" s="19" t="str">
        <v>GST</v>
      </c>
      <c r="J901" s="1" t="str">
        <f t="shared" si="42"/>
        <v>Unique</v>
      </c>
      <c r="K901" s="21" t="str">
        <f t="shared" si="43"/>
        <v/>
      </c>
      <c r="L901" s="4" t="str">
        <f>IF(COUNTIFS(A:A,A901,C:C,C901)=2,IF(K901="Mismatch","Value Mismatch","Matched"),IF(I901= "Tally","Missing in GST","Missing in Tally"))</f>
        <v>Missing in Tally</v>
      </c>
      <c r="M901" s="6" t="str">
        <f t="shared" si="44"/>
        <v/>
      </c>
    </row>
    <row r="902" spans="1:13" x14ac:dyDescent="0.2">
      <c r="A902" s="1" t="str">
        <v>INV2400</v>
      </c>
      <c r="B902" s="2" t="str">
        <v>09-04-2024</v>
      </c>
      <c r="C902" s="1" t="str">
        <v>27ABCDE1234F1Z5</v>
      </c>
      <c r="D902" s="4" t="str">
        <v>Sharma Traders</v>
      </c>
      <c r="E902" s="6">
        <v>46816.65</v>
      </c>
      <c r="F902" s="6">
        <v>4213.5</v>
      </c>
      <c r="G902" s="6">
        <v>4213.5</v>
      </c>
      <c r="H902" s="6">
        <v>55243.65</v>
      </c>
      <c r="I902" s="19" t="str">
        <v>GST</v>
      </c>
      <c r="J902" s="1" t="str">
        <f t="shared" si="42"/>
        <v>Unique</v>
      </c>
      <c r="K902" s="21" t="str">
        <f t="shared" si="43"/>
        <v/>
      </c>
      <c r="L902" s="4" t="str">
        <f>IF(COUNTIFS(A:A,A902,C:C,C902)=2,IF(K902="Mismatch","Value Mismatch","Matched"),IF(I902= "Tally","Missing in GST","Missing in Tally"))</f>
        <v>Missing in Tally</v>
      </c>
      <c r="M902" s="6" t="str">
        <f t="shared" si="44"/>
        <v/>
      </c>
    </row>
    <row r="903" spans="1:13" x14ac:dyDescent="0.2">
      <c r="A903" s="1" t="str">
        <v>INV2401</v>
      </c>
      <c r="B903" s="2" t="str">
        <v>06-04-2024</v>
      </c>
      <c r="C903" s="1" t="str">
        <v>07ZXCVB9876M1Z3</v>
      </c>
      <c r="D903" s="4" t="str">
        <v>Gupta Supplies</v>
      </c>
      <c r="E903" s="6">
        <v>17679.53</v>
      </c>
      <c r="F903" s="6">
        <v>1591.16</v>
      </c>
      <c r="G903" s="6">
        <v>1591.16</v>
      </c>
      <c r="H903" s="6">
        <v>20861.849999999999</v>
      </c>
      <c r="I903" s="19" t="str">
        <v>GST</v>
      </c>
      <c r="J903" s="1" t="str">
        <f t="shared" si="42"/>
        <v>Unique</v>
      </c>
      <c r="K903" s="21" t="str">
        <f t="shared" si="43"/>
        <v/>
      </c>
      <c r="L903" s="4" t="str">
        <f>IF(COUNTIFS(A:A,A903,C:C,C903)=2,IF(K903="Mismatch","Value Mismatch","Matched"),IF(I903= "Tally","Missing in GST","Missing in Tally"))</f>
        <v>Missing in Tally</v>
      </c>
      <c r="M903" s="6" t="str">
        <f t="shared" si="44"/>
        <v/>
      </c>
    </row>
    <row r="904" spans="1:13" x14ac:dyDescent="0.2">
      <c r="A904" s="1" t="str">
        <v>INV2402</v>
      </c>
      <c r="B904" s="2" t="str">
        <v>20-05-2024</v>
      </c>
      <c r="C904" s="1" t="str">
        <v>27ABCDE1234F1Z5</v>
      </c>
      <c r="D904" s="4" t="str">
        <v>Sharma Traders</v>
      </c>
      <c r="E904" s="6">
        <v>43452.44</v>
      </c>
      <c r="F904" s="6">
        <v>3910.72</v>
      </c>
      <c r="G904" s="6">
        <v>3910.72</v>
      </c>
      <c r="H904" s="6">
        <v>51273.88</v>
      </c>
      <c r="I904" s="19" t="str">
        <v>GST</v>
      </c>
      <c r="J904" s="1" t="str">
        <f t="shared" si="42"/>
        <v>Unique</v>
      </c>
      <c r="K904" s="21" t="str">
        <f t="shared" si="43"/>
        <v/>
      </c>
      <c r="L904" s="4" t="str">
        <f>IF(COUNTIFS(A:A,A904,C:C,C904)=2,IF(K904="Mismatch","Value Mismatch","Matched"),IF(I904= "Tally","Missing in GST","Missing in Tally"))</f>
        <v>Missing in Tally</v>
      </c>
      <c r="M904" s="6" t="str">
        <f t="shared" si="44"/>
        <v/>
      </c>
    </row>
    <row r="905" spans="1:13" x14ac:dyDescent="0.2">
      <c r="A905" s="1" t="str">
        <v>INV2403</v>
      </c>
      <c r="B905" s="2" t="str">
        <v>21-05-2024</v>
      </c>
      <c r="C905" s="1" t="str">
        <v>27ABCDE1234F1Z5</v>
      </c>
      <c r="D905" s="4" t="str">
        <v>Sharma Traders</v>
      </c>
      <c r="E905" s="6">
        <v>4010.04</v>
      </c>
      <c r="F905" s="6">
        <v>360.9</v>
      </c>
      <c r="G905" s="6">
        <v>360.9</v>
      </c>
      <c r="H905" s="6">
        <v>4731.84</v>
      </c>
      <c r="I905" s="19" t="str">
        <v>GST</v>
      </c>
      <c r="J905" s="1" t="str">
        <f t="shared" si="42"/>
        <v>Unique</v>
      </c>
      <c r="K905" s="21" t="str">
        <f t="shared" si="43"/>
        <v/>
      </c>
      <c r="L905" s="4" t="str">
        <f>IF(COUNTIFS(A:A,A905,C:C,C905)=2,IF(K905="Mismatch","Value Mismatch","Matched"),IF(I905= "Tally","Missing in GST","Missing in Tally"))</f>
        <v>Missing in Tally</v>
      </c>
      <c r="M905" s="6" t="str">
        <f t="shared" si="44"/>
        <v/>
      </c>
    </row>
    <row r="906" spans="1:13" x14ac:dyDescent="0.2">
      <c r="A906" s="1" t="str">
        <v>INV2404</v>
      </c>
      <c r="B906" s="2" t="str">
        <v>22-04-2024</v>
      </c>
      <c r="C906" s="1" t="str">
        <v>19ASDFG2468H1Z9</v>
      </c>
      <c r="D906" s="4" t="str">
        <v>Eastern Distributors</v>
      </c>
      <c r="E906" s="6">
        <v>25998.06</v>
      </c>
      <c r="F906" s="6">
        <v>2339.83</v>
      </c>
      <c r="G906" s="6">
        <v>2339.83</v>
      </c>
      <c r="H906" s="6">
        <v>30677.72</v>
      </c>
      <c r="I906" s="19" t="str">
        <v>GST</v>
      </c>
      <c r="J906" s="1" t="str">
        <f t="shared" si="42"/>
        <v>Unique</v>
      </c>
      <c r="K906" s="21" t="str">
        <f t="shared" si="43"/>
        <v/>
      </c>
      <c r="L906" s="4" t="str">
        <f>IF(COUNTIFS(A:A,A906,C:C,C906)=2,IF(K906="Mismatch","Value Mismatch","Matched"),IF(I906= "Tally","Missing in GST","Missing in Tally"))</f>
        <v>Missing in Tally</v>
      </c>
      <c r="M906" s="6" t="str">
        <f t="shared" si="44"/>
        <v/>
      </c>
    </row>
    <row r="907" spans="1:13" x14ac:dyDescent="0.2">
      <c r="A907" s="1" t="str">
        <v>INV2405</v>
      </c>
      <c r="B907" s="2" t="str">
        <v>14-05-2024</v>
      </c>
      <c r="C907" s="1" t="str">
        <v>27ABCDE1234F1Z5</v>
      </c>
      <c r="D907" s="4" t="str">
        <v>Sharma Traders</v>
      </c>
      <c r="E907" s="6">
        <v>47904.82</v>
      </c>
      <c r="F907" s="6">
        <v>4311.43</v>
      </c>
      <c r="G907" s="6">
        <v>4311.43</v>
      </c>
      <c r="H907" s="6">
        <v>56527.68</v>
      </c>
      <c r="I907" s="19" t="str">
        <v>GST</v>
      </c>
      <c r="J907" s="1" t="str">
        <f t="shared" si="42"/>
        <v>Unique</v>
      </c>
      <c r="K907" s="21" t="str">
        <f t="shared" si="43"/>
        <v/>
      </c>
      <c r="L907" s="4" t="str">
        <f>IF(COUNTIFS(A:A,A907,C:C,C907)=2,IF(K907="Mismatch","Value Mismatch","Matched"),IF(I907= "Tally","Missing in GST","Missing in Tally"))</f>
        <v>Missing in Tally</v>
      </c>
      <c r="M907" s="6" t="str">
        <f t="shared" si="44"/>
        <v/>
      </c>
    </row>
    <row r="908" spans="1:13" x14ac:dyDescent="0.2">
      <c r="A908" s="1" t="str">
        <v>INV2406</v>
      </c>
      <c r="B908" s="2" t="str">
        <v>20-04-2024</v>
      </c>
      <c r="C908" s="1" t="str">
        <v>07ZXCVB9876M1Z3</v>
      </c>
      <c r="D908" s="4" t="str">
        <v>Gupta Supplies</v>
      </c>
      <c r="E908" s="6">
        <v>34858</v>
      </c>
      <c r="F908" s="6">
        <v>3137.22</v>
      </c>
      <c r="G908" s="6">
        <v>3137.22</v>
      </c>
      <c r="H908" s="6">
        <v>41132.44</v>
      </c>
      <c r="I908" s="19" t="str">
        <v>GST</v>
      </c>
      <c r="J908" s="1" t="str">
        <f t="shared" si="42"/>
        <v>Unique</v>
      </c>
      <c r="K908" s="21" t="str">
        <f t="shared" si="43"/>
        <v/>
      </c>
      <c r="L908" s="4" t="str">
        <f>IF(COUNTIFS(A:A,A908,C:C,C908)=2,IF(K908="Mismatch","Value Mismatch","Matched"),IF(I908= "Tally","Missing in GST","Missing in Tally"))</f>
        <v>Missing in Tally</v>
      </c>
      <c r="M908" s="6" t="str">
        <f t="shared" si="44"/>
        <v/>
      </c>
    </row>
    <row r="909" spans="1:13" x14ac:dyDescent="0.2">
      <c r="A909" s="1" t="str">
        <v>INV2407</v>
      </c>
      <c r="B909" s="2" t="str">
        <v>02-05-2024</v>
      </c>
      <c r="C909" s="1" t="str">
        <v>24LMNOP4321K1Z7</v>
      </c>
      <c r="D909" s="4" t="str">
        <v>Patel Industries</v>
      </c>
      <c r="E909" s="6">
        <v>9508.69</v>
      </c>
      <c r="F909" s="6">
        <v>855.78</v>
      </c>
      <c r="G909" s="6">
        <v>855.78</v>
      </c>
      <c r="H909" s="6">
        <v>11220.25</v>
      </c>
      <c r="I909" s="19" t="str">
        <v>GST</v>
      </c>
      <c r="J909" s="1" t="str">
        <f t="shared" si="42"/>
        <v>Unique</v>
      </c>
      <c r="K909" s="21" t="str">
        <f t="shared" si="43"/>
        <v/>
      </c>
      <c r="L909" s="4" t="str">
        <f>IF(COUNTIFS(A:A,A909,C:C,C909)=2,IF(K909="Mismatch","Value Mismatch","Matched"),IF(I909= "Tally","Missing in GST","Missing in Tally"))</f>
        <v>Missing in Tally</v>
      </c>
      <c r="M909" s="6" t="str">
        <f t="shared" si="44"/>
        <v/>
      </c>
    </row>
    <row r="910" spans="1:13" x14ac:dyDescent="0.2">
      <c r="A910" s="1" t="str">
        <v>INV2408</v>
      </c>
      <c r="B910" s="2" t="str">
        <v>08-04-2024</v>
      </c>
      <c r="C910" s="1" t="str">
        <v>27ABCDE1234F1Z5</v>
      </c>
      <c r="D910" s="4" t="str">
        <v>Sharma Traders</v>
      </c>
      <c r="E910" s="6">
        <v>14980.88</v>
      </c>
      <c r="F910" s="6">
        <v>1348.28</v>
      </c>
      <c r="G910" s="6">
        <v>1348.28</v>
      </c>
      <c r="H910" s="6">
        <v>17677.439999999999</v>
      </c>
      <c r="I910" s="19" t="str">
        <v>GST</v>
      </c>
      <c r="J910" s="1" t="str">
        <f t="shared" si="42"/>
        <v>Unique</v>
      </c>
      <c r="K910" s="21" t="str">
        <f t="shared" si="43"/>
        <v/>
      </c>
      <c r="L910" s="4" t="str">
        <f>IF(COUNTIFS(A:A,A910,C:C,C910)=2,IF(K910="Mismatch","Value Mismatch","Matched"),IF(I910= "Tally","Missing in GST","Missing in Tally"))</f>
        <v>Missing in Tally</v>
      </c>
      <c r="M910" s="6" t="str">
        <f t="shared" si="44"/>
        <v/>
      </c>
    </row>
    <row r="911" spans="1:13" x14ac:dyDescent="0.2">
      <c r="A911" s="1" t="str">
        <v>INV2409</v>
      </c>
      <c r="B911" s="2" t="str">
        <v>18-05-2024</v>
      </c>
      <c r="C911" s="1" t="str">
        <v>07ZXCVB9876M1Z3</v>
      </c>
      <c r="D911" s="4" t="str">
        <v>Gupta Supplies</v>
      </c>
      <c r="E911" s="6">
        <v>45111.16</v>
      </c>
      <c r="F911" s="6">
        <v>4060</v>
      </c>
      <c r="G911" s="6">
        <v>4060</v>
      </c>
      <c r="H911" s="6">
        <v>53231.16</v>
      </c>
      <c r="I911" s="19" t="str">
        <v>GST</v>
      </c>
      <c r="J911" s="1" t="str">
        <f t="shared" si="42"/>
        <v>Unique</v>
      </c>
      <c r="K911" s="21" t="str">
        <f t="shared" si="43"/>
        <v/>
      </c>
      <c r="L911" s="4" t="str">
        <f>IF(COUNTIFS(A:A,A911,C:C,C911)=2,IF(K911="Mismatch","Value Mismatch","Matched"),IF(I911= "Tally","Missing in GST","Missing in Tally"))</f>
        <v>Missing in Tally</v>
      </c>
      <c r="M911" s="6" t="str">
        <f t="shared" si="44"/>
        <v/>
      </c>
    </row>
    <row r="912" spans="1:13" x14ac:dyDescent="0.2">
      <c r="A912" s="1" t="str">
        <v>INV2410</v>
      </c>
      <c r="B912" s="2" t="str">
        <v>06-05-2024</v>
      </c>
      <c r="C912" s="1" t="str">
        <v>24LMNOP4321K1Z7</v>
      </c>
      <c r="D912" s="4" t="str">
        <v>Patel Industries</v>
      </c>
      <c r="E912" s="6">
        <v>9184.32</v>
      </c>
      <c r="F912" s="6">
        <v>826.59</v>
      </c>
      <c r="G912" s="6">
        <v>826.59</v>
      </c>
      <c r="H912" s="6">
        <v>10837.5</v>
      </c>
      <c r="I912" s="19" t="str">
        <v>GST</v>
      </c>
      <c r="J912" s="1" t="str">
        <f t="shared" si="42"/>
        <v>Unique</v>
      </c>
      <c r="K912" s="21" t="str">
        <f t="shared" si="43"/>
        <v/>
      </c>
      <c r="L912" s="4" t="str">
        <f>IF(COUNTIFS(A:A,A912,C:C,C912)=2,IF(K912="Mismatch","Value Mismatch","Matched"),IF(I912= "Tally","Missing in GST","Missing in Tally"))</f>
        <v>Missing in Tally</v>
      </c>
      <c r="M912" s="6" t="str">
        <f t="shared" si="44"/>
        <v/>
      </c>
    </row>
    <row r="913" spans="1:13" x14ac:dyDescent="0.2">
      <c r="A913" s="1" t="str">
        <v>INV2411</v>
      </c>
      <c r="B913" s="2" t="str">
        <v>09-06-2024</v>
      </c>
      <c r="C913" s="1" t="str">
        <v>24LMNOP4321K1Z7</v>
      </c>
      <c r="D913" s="4" t="str">
        <v>Patel Industries</v>
      </c>
      <c r="E913" s="6">
        <v>4985.6499999999996</v>
      </c>
      <c r="F913" s="6">
        <v>448.71</v>
      </c>
      <c r="G913" s="6">
        <v>448.71</v>
      </c>
      <c r="H913" s="6">
        <v>5883.07</v>
      </c>
      <c r="I913" s="19" t="str">
        <v>GST</v>
      </c>
      <c r="J913" s="1" t="str">
        <f t="shared" si="42"/>
        <v>Unique</v>
      </c>
      <c r="K913" s="21" t="str">
        <f t="shared" si="43"/>
        <v/>
      </c>
      <c r="L913" s="4" t="str">
        <f>IF(COUNTIFS(A:A,A913,C:C,C913)=2,IF(K913="Mismatch","Value Mismatch","Matched"),IF(I913= "Tally","Missing in GST","Missing in Tally"))</f>
        <v>Missing in Tally</v>
      </c>
      <c r="M913" s="6" t="str">
        <f t="shared" si="44"/>
        <v/>
      </c>
    </row>
    <row r="914" spans="1:13" x14ac:dyDescent="0.2">
      <c r="A914" s="1" t="str">
        <v>INV2412</v>
      </c>
      <c r="B914" s="2" t="str">
        <v>19-05-2024</v>
      </c>
      <c r="C914" s="1" t="str">
        <v>24LMNOP4321K1Z7</v>
      </c>
      <c r="D914" s="4" t="str">
        <v>Patel Industries</v>
      </c>
      <c r="E914" s="6">
        <v>41285.03</v>
      </c>
      <c r="F914" s="6">
        <v>3715.65</v>
      </c>
      <c r="G914" s="6">
        <v>3715.65</v>
      </c>
      <c r="H914" s="6">
        <v>48716.33</v>
      </c>
      <c r="I914" s="19" t="str">
        <v>GST</v>
      </c>
      <c r="J914" s="1" t="str">
        <f t="shared" si="42"/>
        <v>Unique</v>
      </c>
      <c r="K914" s="21" t="str">
        <f t="shared" si="43"/>
        <v/>
      </c>
      <c r="L914" s="4" t="str">
        <f>IF(COUNTIFS(A:A,A914,C:C,C914)=2,IF(K914="Mismatch","Value Mismatch","Matched"),IF(I914= "Tally","Missing in GST","Missing in Tally"))</f>
        <v>Missing in Tally</v>
      </c>
      <c r="M914" s="6" t="str">
        <f t="shared" si="44"/>
        <v/>
      </c>
    </row>
    <row r="915" spans="1:13" x14ac:dyDescent="0.2">
      <c r="A915" s="1" t="str">
        <v>INV2413</v>
      </c>
      <c r="B915" s="2" t="str">
        <v>06-05-2024</v>
      </c>
      <c r="C915" s="1" t="str">
        <v>24LMNOP4321K1Z7</v>
      </c>
      <c r="D915" s="4" t="str">
        <v>Patel Industries</v>
      </c>
      <c r="E915" s="6">
        <v>1928.67</v>
      </c>
      <c r="F915" s="6">
        <v>173.58</v>
      </c>
      <c r="G915" s="6">
        <v>173.58</v>
      </c>
      <c r="H915" s="6">
        <v>2275.83</v>
      </c>
      <c r="I915" s="19" t="str">
        <v>GST</v>
      </c>
      <c r="J915" s="1" t="str">
        <f t="shared" si="42"/>
        <v>Unique</v>
      </c>
      <c r="K915" s="21" t="str">
        <f t="shared" si="43"/>
        <v/>
      </c>
      <c r="L915" s="4" t="str">
        <f>IF(COUNTIFS(A:A,A915,C:C,C915)=2,IF(K915="Mismatch","Value Mismatch","Matched"),IF(I915= "Tally","Missing in GST","Missing in Tally"))</f>
        <v>Missing in Tally</v>
      </c>
      <c r="M915" s="6" t="str">
        <f t="shared" si="44"/>
        <v/>
      </c>
    </row>
    <row r="916" spans="1:13" x14ac:dyDescent="0.2">
      <c r="A916" s="1" t="str">
        <v>INV2414</v>
      </c>
      <c r="B916" s="2" t="str">
        <v>17-06-2024</v>
      </c>
      <c r="C916" s="1" t="str">
        <v>07ZXCVB9876M1Z3</v>
      </c>
      <c r="D916" s="4" t="str">
        <v>Gupta Supplies</v>
      </c>
      <c r="E916" s="6">
        <v>3819.2</v>
      </c>
      <c r="F916" s="6">
        <v>343.73</v>
      </c>
      <c r="G916" s="6">
        <v>343.73</v>
      </c>
      <c r="H916" s="6">
        <v>4506.66</v>
      </c>
      <c r="I916" s="19" t="str">
        <v>GST</v>
      </c>
      <c r="J916" s="1" t="str">
        <f t="shared" si="42"/>
        <v>Unique</v>
      </c>
      <c r="K916" s="21" t="str">
        <f t="shared" si="43"/>
        <v/>
      </c>
      <c r="L916" s="4" t="str">
        <f>IF(COUNTIFS(A:A,A916,C:C,C916)=2,IF(K916="Mismatch","Value Mismatch","Matched"),IF(I916= "Tally","Missing in GST","Missing in Tally"))</f>
        <v>Missing in Tally</v>
      </c>
      <c r="M916" s="6" t="str">
        <f t="shared" si="44"/>
        <v/>
      </c>
    </row>
    <row r="917" spans="1:13" x14ac:dyDescent="0.2">
      <c r="A917" s="1" t="str">
        <v>INV2415</v>
      </c>
      <c r="B917" s="2" t="str">
        <v>15-05-2024</v>
      </c>
      <c r="C917" s="1" t="str">
        <v>24LMNOP4321K1Z7</v>
      </c>
      <c r="D917" s="4" t="str">
        <v>Patel Industries</v>
      </c>
      <c r="E917" s="6">
        <v>17300.53</v>
      </c>
      <c r="F917" s="6">
        <v>1557.05</v>
      </c>
      <c r="G917" s="6">
        <v>1557.05</v>
      </c>
      <c r="H917" s="6">
        <v>20414.63</v>
      </c>
      <c r="I917" s="19" t="str">
        <v>GST</v>
      </c>
      <c r="J917" s="1" t="str">
        <f t="shared" si="42"/>
        <v>Unique</v>
      </c>
      <c r="K917" s="21" t="str">
        <f t="shared" si="43"/>
        <v/>
      </c>
      <c r="L917" s="4" t="str">
        <f>IF(COUNTIFS(A:A,A917,C:C,C917)=2,IF(K917="Mismatch","Value Mismatch","Matched"),IF(I917= "Tally","Missing in GST","Missing in Tally"))</f>
        <v>Missing in Tally</v>
      </c>
      <c r="M917" s="6" t="str">
        <f t="shared" si="44"/>
        <v/>
      </c>
    </row>
    <row r="918" spans="1:13" x14ac:dyDescent="0.2">
      <c r="A918" s="1" t="str">
        <v>INV2416</v>
      </c>
      <c r="B918" s="2" t="str">
        <v>09-06-2024</v>
      </c>
      <c r="C918" s="1" t="str">
        <v>19ASDFG2468H1Z9</v>
      </c>
      <c r="D918" s="4" t="str">
        <v>Eastern Distributors</v>
      </c>
      <c r="E918" s="6">
        <v>32124.95</v>
      </c>
      <c r="F918" s="6">
        <v>2891.25</v>
      </c>
      <c r="G918" s="6">
        <v>2891.25</v>
      </c>
      <c r="H918" s="6">
        <v>37907.449999999997</v>
      </c>
      <c r="I918" s="19" t="str">
        <v>GST</v>
      </c>
      <c r="J918" s="1" t="str">
        <f t="shared" si="42"/>
        <v>Unique</v>
      </c>
      <c r="K918" s="21" t="str">
        <f t="shared" si="43"/>
        <v/>
      </c>
      <c r="L918" s="4" t="str">
        <f>IF(COUNTIFS(A:A,A918,C:C,C918)=2,IF(K918="Mismatch","Value Mismatch","Matched"),IF(I918= "Tally","Missing in GST","Missing in Tally"))</f>
        <v>Missing in Tally</v>
      </c>
      <c r="M918" s="6" t="str">
        <f t="shared" si="44"/>
        <v/>
      </c>
    </row>
    <row r="919" spans="1:13" x14ac:dyDescent="0.2">
      <c r="A919" s="1" t="str">
        <v>INV2417</v>
      </c>
      <c r="B919" s="2" t="str">
        <v>14-04-2024</v>
      </c>
      <c r="C919" s="1" t="str">
        <v>24LMNOP4321K1Z7</v>
      </c>
      <c r="D919" s="4" t="str">
        <v>Patel Industries</v>
      </c>
      <c r="E919" s="6">
        <v>31593.57</v>
      </c>
      <c r="F919" s="6">
        <v>2843.42</v>
      </c>
      <c r="G919" s="6">
        <v>2843.42</v>
      </c>
      <c r="H919" s="6">
        <v>37280.410000000003</v>
      </c>
      <c r="I919" s="19" t="str">
        <v>GST</v>
      </c>
      <c r="J919" s="1" t="str">
        <f t="shared" si="42"/>
        <v>Unique</v>
      </c>
      <c r="K919" s="21" t="str">
        <f t="shared" si="43"/>
        <v/>
      </c>
      <c r="L919" s="4" t="str">
        <f>IF(COUNTIFS(A:A,A919,C:C,C919)=2,IF(K919="Mismatch","Value Mismatch","Matched"),IF(I919= "Tally","Missing in GST","Missing in Tally"))</f>
        <v>Missing in Tally</v>
      </c>
      <c r="M919" s="6" t="str">
        <f t="shared" si="44"/>
        <v/>
      </c>
    </row>
    <row r="920" spans="1:13" x14ac:dyDescent="0.2">
      <c r="A920" s="1" t="str">
        <v>INV2418</v>
      </c>
      <c r="B920" s="2" t="str">
        <v>06-06-2024</v>
      </c>
      <c r="C920" s="1" t="str">
        <v>19ASDFG2468H1Z9</v>
      </c>
      <c r="D920" s="4" t="str">
        <v>Eastern Distributors</v>
      </c>
      <c r="E920" s="6">
        <v>38131.85</v>
      </c>
      <c r="F920" s="6">
        <v>3431.87</v>
      </c>
      <c r="G920" s="6">
        <v>3431.87</v>
      </c>
      <c r="H920" s="6">
        <v>44995.59</v>
      </c>
      <c r="I920" s="19" t="str">
        <v>GST</v>
      </c>
      <c r="J920" s="1" t="str">
        <f t="shared" si="42"/>
        <v>Unique</v>
      </c>
      <c r="K920" s="21" t="str">
        <f t="shared" si="43"/>
        <v/>
      </c>
      <c r="L920" s="4" t="str">
        <f>IF(COUNTIFS(A:A,A920,C:C,C920)=2,IF(K920="Mismatch","Value Mismatch","Matched"),IF(I920= "Tally","Missing in GST","Missing in Tally"))</f>
        <v>Missing in Tally</v>
      </c>
      <c r="M920" s="6" t="str">
        <f t="shared" si="44"/>
        <v/>
      </c>
    </row>
    <row r="921" spans="1:13" x14ac:dyDescent="0.2">
      <c r="A921" s="1" t="str">
        <v>INV2419</v>
      </c>
      <c r="B921" s="2" t="str">
        <v>15-04-2024</v>
      </c>
      <c r="C921" s="1" t="str">
        <v>29PQRSX5678L1Z2</v>
      </c>
      <c r="D921" s="4" t="str">
        <v>Kiran Enterprises</v>
      </c>
      <c r="E921" s="6">
        <v>36652.720000000001</v>
      </c>
      <c r="F921" s="6">
        <v>3298.74</v>
      </c>
      <c r="G921" s="6">
        <v>3298.74</v>
      </c>
      <c r="H921" s="6">
        <v>43250.2</v>
      </c>
      <c r="I921" s="19" t="str">
        <v>GST</v>
      </c>
      <c r="J921" s="1" t="str">
        <f t="shared" si="42"/>
        <v>Unique</v>
      </c>
      <c r="K921" s="21" t="str">
        <f t="shared" si="43"/>
        <v/>
      </c>
      <c r="L921" s="4" t="str">
        <f>IF(COUNTIFS(A:A,A921,C:C,C921)=2,IF(K921="Mismatch","Value Mismatch","Matched"),IF(I921= "Tally","Missing in GST","Missing in Tally"))</f>
        <v>Missing in Tally</v>
      </c>
      <c r="M921" s="6" t="str">
        <f t="shared" si="44"/>
        <v/>
      </c>
    </row>
    <row r="922" spans="1:13" x14ac:dyDescent="0.2">
      <c r="A922" s="1" t="str">
        <v>INV2420</v>
      </c>
      <c r="B922" s="2" t="str">
        <v>07-06-2024</v>
      </c>
      <c r="C922" s="1" t="str">
        <v>19ASDFG2468H1Z9</v>
      </c>
      <c r="D922" s="4" t="str">
        <v>Eastern Distributors</v>
      </c>
      <c r="E922" s="6">
        <v>11882.59</v>
      </c>
      <c r="F922" s="6">
        <v>1069.43</v>
      </c>
      <c r="G922" s="6">
        <v>1069.43</v>
      </c>
      <c r="H922" s="6">
        <v>14021.45</v>
      </c>
      <c r="I922" s="19" t="str">
        <v>GST</v>
      </c>
      <c r="J922" s="1" t="str">
        <f t="shared" si="42"/>
        <v>Unique</v>
      </c>
      <c r="K922" s="21" t="str">
        <f t="shared" si="43"/>
        <v/>
      </c>
      <c r="L922" s="4" t="str">
        <f>IF(COUNTIFS(A:A,A922,C:C,C922)=2,IF(K922="Mismatch","Value Mismatch","Matched"),IF(I922= "Tally","Missing in GST","Missing in Tally"))</f>
        <v>Missing in Tally</v>
      </c>
      <c r="M922" s="6" t="str">
        <f t="shared" si="44"/>
        <v/>
      </c>
    </row>
    <row r="923" spans="1:13" x14ac:dyDescent="0.2">
      <c r="A923" s="1" t="str">
        <v>INV2421</v>
      </c>
      <c r="B923" s="2" t="str">
        <v>02-05-2024</v>
      </c>
      <c r="C923" s="1" t="str">
        <v>07ZXCVB9876M1Z3</v>
      </c>
      <c r="D923" s="4" t="str">
        <v>Gupta Supplies</v>
      </c>
      <c r="E923" s="6">
        <v>35967.410000000003</v>
      </c>
      <c r="F923" s="6">
        <v>3237.07</v>
      </c>
      <c r="G923" s="6">
        <v>3237.07</v>
      </c>
      <c r="H923" s="6">
        <v>42441.55</v>
      </c>
      <c r="I923" s="19" t="str">
        <v>GST</v>
      </c>
      <c r="J923" s="1" t="str">
        <f t="shared" si="42"/>
        <v>Unique</v>
      </c>
      <c r="K923" s="21" t="str">
        <f t="shared" si="43"/>
        <v/>
      </c>
      <c r="L923" s="4" t="str">
        <f>IF(COUNTIFS(A:A,A923,C:C,C923)=2,IF(K923="Mismatch","Value Mismatch","Matched"),IF(I923= "Tally","Missing in GST","Missing in Tally"))</f>
        <v>Missing in Tally</v>
      </c>
      <c r="M923" s="6" t="str">
        <f t="shared" si="44"/>
        <v/>
      </c>
    </row>
    <row r="924" spans="1:13" x14ac:dyDescent="0.2">
      <c r="A924" s="1" t="str">
        <v>INV2422</v>
      </c>
      <c r="B924" s="2" t="str">
        <v>11-06-2024</v>
      </c>
      <c r="C924" s="1" t="str">
        <v>19ASDFG2468H1Z9</v>
      </c>
      <c r="D924" s="4" t="str">
        <v>Eastern Distributors</v>
      </c>
      <c r="E924" s="6">
        <v>20282.09</v>
      </c>
      <c r="F924" s="6">
        <v>1825.39</v>
      </c>
      <c r="G924" s="6">
        <v>1825.39</v>
      </c>
      <c r="H924" s="6">
        <v>23932.87</v>
      </c>
      <c r="I924" s="19" t="str">
        <v>GST</v>
      </c>
      <c r="J924" s="1" t="str">
        <f t="shared" si="42"/>
        <v>Unique</v>
      </c>
      <c r="K924" s="21" t="str">
        <f t="shared" si="43"/>
        <v/>
      </c>
      <c r="L924" s="4" t="str">
        <f>IF(COUNTIFS(A:A,A924,C:C,C924)=2,IF(K924="Mismatch","Value Mismatch","Matched"),IF(I924= "Tally","Missing in GST","Missing in Tally"))</f>
        <v>Missing in Tally</v>
      </c>
      <c r="M924" s="6" t="str">
        <f t="shared" si="44"/>
        <v/>
      </c>
    </row>
    <row r="925" spans="1:13" x14ac:dyDescent="0.2">
      <c r="A925" s="1" t="str">
        <v>INV2423</v>
      </c>
      <c r="B925" s="2" t="str">
        <v>17-06-2024</v>
      </c>
      <c r="C925" s="1" t="str">
        <v>29PQRSX5678L1Z2</v>
      </c>
      <c r="D925" s="4" t="str">
        <v>Kiran Enterprises</v>
      </c>
      <c r="E925" s="6">
        <v>1527.06</v>
      </c>
      <c r="F925" s="6">
        <v>137.44</v>
      </c>
      <c r="G925" s="6">
        <v>137.44</v>
      </c>
      <c r="H925" s="6">
        <v>1801.94</v>
      </c>
      <c r="I925" s="19" t="str">
        <v>GST</v>
      </c>
      <c r="J925" s="1" t="str">
        <f t="shared" si="42"/>
        <v>Unique</v>
      </c>
      <c r="K925" s="21" t="str">
        <f t="shared" si="43"/>
        <v/>
      </c>
      <c r="L925" s="4" t="str">
        <f>IF(COUNTIFS(A:A,A925,C:C,C925)=2,IF(K925="Mismatch","Value Mismatch","Matched"),IF(I925= "Tally","Missing in GST","Missing in Tally"))</f>
        <v>Missing in Tally</v>
      </c>
      <c r="M925" s="6" t="str">
        <f t="shared" si="44"/>
        <v/>
      </c>
    </row>
    <row r="926" spans="1:13" x14ac:dyDescent="0.2">
      <c r="A926" s="1" t="str">
        <v>INV2424</v>
      </c>
      <c r="B926" s="2" t="str">
        <v>01-04-2024</v>
      </c>
      <c r="C926" s="1" t="str">
        <v>19ASDFG2468H1Z9</v>
      </c>
      <c r="D926" s="4" t="str">
        <v>Eastern Distributors</v>
      </c>
      <c r="E926" s="6">
        <v>21380.639999999999</v>
      </c>
      <c r="F926" s="6">
        <v>1924.26</v>
      </c>
      <c r="G926" s="6">
        <v>1924.26</v>
      </c>
      <c r="H926" s="6">
        <v>25229.16</v>
      </c>
      <c r="I926" s="19" t="str">
        <v>GST</v>
      </c>
      <c r="J926" s="1" t="str">
        <f t="shared" si="42"/>
        <v>Unique</v>
      </c>
      <c r="K926" s="21" t="str">
        <f t="shared" si="43"/>
        <v/>
      </c>
      <c r="L926" s="4" t="str">
        <f>IF(COUNTIFS(A:A,A926,C:C,C926)=2,IF(K926="Mismatch","Value Mismatch","Matched"),IF(I926= "Tally","Missing in GST","Missing in Tally"))</f>
        <v>Missing in Tally</v>
      </c>
      <c r="M926" s="6" t="str">
        <f t="shared" si="44"/>
        <v/>
      </c>
    </row>
    <row r="927" spans="1:13" x14ac:dyDescent="0.2">
      <c r="A927" s="1" t="str">
        <v>INV2425</v>
      </c>
      <c r="B927" s="2" t="str">
        <v>15-05-2024</v>
      </c>
      <c r="C927" s="1" t="str">
        <v>19ASDFG2468H1Z9</v>
      </c>
      <c r="D927" s="4" t="str">
        <v>Eastern Distributors</v>
      </c>
      <c r="E927" s="6">
        <v>22362.55</v>
      </c>
      <c r="F927" s="6">
        <v>2012.63</v>
      </c>
      <c r="G927" s="6">
        <v>2012.63</v>
      </c>
      <c r="H927" s="6">
        <v>26387.81</v>
      </c>
      <c r="I927" s="19" t="str">
        <v>GST</v>
      </c>
      <c r="J927" s="1" t="str">
        <f t="shared" si="42"/>
        <v>Unique</v>
      </c>
      <c r="K927" s="21" t="str">
        <f t="shared" si="43"/>
        <v/>
      </c>
      <c r="L927" s="4" t="str">
        <f>IF(COUNTIFS(A:A,A927,C:C,C927)=2,IF(K927="Mismatch","Value Mismatch","Matched"),IF(I927= "Tally","Missing in GST","Missing in Tally"))</f>
        <v>Missing in Tally</v>
      </c>
      <c r="M927" s="6" t="str">
        <f t="shared" si="44"/>
        <v/>
      </c>
    </row>
    <row r="928" spans="1:13" x14ac:dyDescent="0.2">
      <c r="A928" s="1" t="str">
        <v>INV2426</v>
      </c>
      <c r="B928" s="2" t="str">
        <v>26-05-2024</v>
      </c>
      <c r="C928" s="1" t="str">
        <v>24LMNOP4321K1Z7</v>
      </c>
      <c r="D928" s="4" t="str">
        <v>Patel Industries</v>
      </c>
      <c r="E928" s="6">
        <v>9963.94</v>
      </c>
      <c r="F928" s="6">
        <v>896.75</v>
      </c>
      <c r="G928" s="6">
        <v>896.75</v>
      </c>
      <c r="H928" s="6">
        <v>11757.44</v>
      </c>
      <c r="I928" s="19" t="str">
        <v>GST</v>
      </c>
      <c r="J928" s="1" t="str">
        <f t="shared" si="42"/>
        <v>Unique</v>
      </c>
      <c r="K928" s="21" t="str">
        <f t="shared" si="43"/>
        <v/>
      </c>
      <c r="L928" s="4" t="str">
        <f>IF(COUNTIFS(A:A,A928,C:C,C928)=2,IF(K928="Mismatch","Value Mismatch","Matched"),IF(I928= "Tally","Missing in GST","Missing in Tally"))</f>
        <v>Missing in Tally</v>
      </c>
      <c r="M928" s="6" t="str">
        <f t="shared" si="44"/>
        <v/>
      </c>
    </row>
    <row r="929" spans="1:13" x14ac:dyDescent="0.2">
      <c r="A929" s="1" t="str">
        <v>INV2427</v>
      </c>
      <c r="B929" s="2" t="str">
        <v>07-06-2024</v>
      </c>
      <c r="C929" s="1" t="str">
        <v>27ABCDE1234F1Z5</v>
      </c>
      <c r="D929" s="4" t="str">
        <v>Sharma Traders</v>
      </c>
      <c r="E929" s="6">
        <v>41173.769999999997</v>
      </c>
      <c r="F929" s="6">
        <v>3705.64</v>
      </c>
      <c r="G929" s="6">
        <v>3705.64</v>
      </c>
      <c r="H929" s="6">
        <v>48585.05</v>
      </c>
      <c r="I929" s="19" t="str">
        <v>GST</v>
      </c>
      <c r="J929" s="1" t="str">
        <f t="shared" si="42"/>
        <v>Unique</v>
      </c>
      <c r="K929" s="21" t="str">
        <f t="shared" si="43"/>
        <v/>
      </c>
      <c r="L929" s="4" t="str">
        <f>IF(COUNTIFS(A:A,A929,C:C,C929)=2,IF(K929="Mismatch","Value Mismatch","Matched"),IF(I929= "Tally","Missing in GST","Missing in Tally"))</f>
        <v>Missing in Tally</v>
      </c>
      <c r="M929" s="6" t="str">
        <f t="shared" si="44"/>
        <v/>
      </c>
    </row>
    <row r="930" spans="1:13" x14ac:dyDescent="0.2">
      <c r="A930" s="1" t="str">
        <v>INV2428</v>
      </c>
      <c r="B930" s="2" t="str">
        <v>25-04-2024</v>
      </c>
      <c r="C930" s="1" t="str">
        <v>27ABCDE1234F1Z5</v>
      </c>
      <c r="D930" s="4" t="str">
        <v>Sharma Traders</v>
      </c>
      <c r="E930" s="6">
        <v>7969.74</v>
      </c>
      <c r="F930" s="6">
        <v>717.28</v>
      </c>
      <c r="G930" s="6">
        <v>717.28</v>
      </c>
      <c r="H930" s="6">
        <v>9404.2999999999993</v>
      </c>
      <c r="I930" s="19" t="str">
        <v>GST</v>
      </c>
      <c r="J930" s="1" t="str">
        <f t="shared" si="42"/>
        <v>Unique</v>
      </c>
      <c r="K930" s="21" t="str">
        <f t="shared" si="43"/>
        <v/>
      </c>
      <c r="L930" s="4" t="str">
        <f>IF(COUNTIFS(A:A,A930,C:C,C930)=2,IF(K930="Mismatch","Value Mismatch","Matched"),IF(I930= "Tally","Missing in GST","Missing in Tally"))</f>
        <v>Missing in Tally</v>
      </c>
      <c r="M930" s="6" t="str">
        <f t="shared" si="44"/>
        <v/>
      </c>
    </row>
    <row r="931" spans="1:13" x14ac:dyDescent="0.2">
      <c r="A931" s="1" t="str">
        <v>INV2429</v>
      </c>
      <c r="B931" s="2" t="str">
        <v>13-06-2024</v>
      </c>
      <c r="C931" s="1" t="str">
        <v>19ASDFG2468H1Z9</v>
      </c>
      <c r="D931" s="4" t="str">
        <v>Eastern Distributors</v>
      </c>
      <c r="E931" s="6">
        <v>12078.59</v>
      </c>
      <c r="F931" s="6">
        <v>1087.07</v>
      </c>
      <c r="G931" s="6">
        <v>1087.07</v>
      </c>
      <c r="H931" s="6">
        <v>14252.73</v>
      </c>
      <c r="I931" s="19" t="str">
        <v>GST</v>
      </c>
      <c r="J931" s="1" t="str">
        <f t="shared" si="42"/>
        <v>Unique</v>
      </c>
      <c r="K931" s="21" t="str">
        <f t="shared" si="43"/>
        <v/>
      </c>
      <c r="L931" s="4" t="str">
        <f>IF(COUNTIFS(A:A,A931,C:C,C931)=2,IF(K931="Mismatch","Value Mismatch","Matched"),IF(I931= "Tally","Missing in GST","Missing in Tally"))</f>
        <v>Missing in Tally</v>
      </c>
      <c r="M931" s="6" t="str">
        <f t="shared" si="44"/>
        <v/>
      </c>
    </row>
    <row r="932" spans="1:13" x14ac:dyDescent="0.2">
      <c r="A932" s="1" t="str">
        <v>INV2430</v>
      </c>
      <c r="B932" s="2" t="str">
        <v>02-05-2024</v>
      </c>
      <c r="C932" s="1" t="str">
        <v>24LMNOP4321K1Z7</v>
      </c>
      <c r="D932" s="4" t="str">
        <v>Patel Industries</v>
      </c>
      <c r="E932" s="6">
        <v>4595.75</v>
      </c>
      <c r="F932" s="6">
        <v>413.62</v>
      </c>
      <c r="G932" s="6">
        <v>413.62</v>
      </c>
      <c r="H932" s="6">
        <v>5422.99</v>
      </c>
      <c r="I932" s="19" t="str">
        <v>GST</v>
      </c>
      <c r="J932" s="1" t="str">
        <f t="shared" si="42"/>
        <v>Unique</v>
      </c>
      <c r="K932" s="21" t="str">
        <f t="shared" si="43"/>
        <v/>
      </c>
      <c r="L932" s="4" t="str">
        <f>IF(COUNTIFS(A:A,A932,C:C,C932)=2,IF(K932="Mismatch","Value Mismatch","Matched"),IF(I932= "Tally","Missing in GST","Missing in Tally"))</f>
        <v>Missing in Tally</v>
      </c>
      <c r="M932" s="6" t="str">
        <f t="shared" si="44"/>
        <v/>
      </c>
    </row>
    <row r="933" spans="1:13" x14ac:dyDescent="0.2">
      <c r="A933" s="1" t="str">
        <v>INV2431</v>
      </c>
      <c r="B933" s="2" t="str">
        <v>25-05-2024</v>
      </c>
      <c r="C933" s="1" t="str">
        <v>29PQRSX5678L1Z2</v>
      </c>
      <c r="D933" s="4" t="str">
        <v>Kiran Enterprises</v>
      </c>
      <c r="E933" s="6">
        <v>1744.68</v>
      </c>
      <c r="F933" s="6">
        <v>157.02000000000001</v>
      </c>
      <c r="G933" s="6">
        <v>157.02000000000001</v>
      </c>
      <c r="H933" s="6">
        <v>2058.7199999999998</v>
      </c>
      <c r="I933" s="19" t="str">
        <v>GST</v>
      </c>
      <c r="J933" s="1" t="str">
        <f t="shared" si="42"/>
        <v>Unique</v>
      </c>
      <c r="K933" s="21" t="str">
        <f t="shared" si="43"/>
        <v/>
      </c>
      <c r="L933" s="4" t="str">
        <f>IF(COUNTIFS(A:A,A933,C:C,C933)=2,IF(K933="Mismatch","Value Mismatch","Matched"),IF(I933= "Tally","Missing in GST","Missing in Tally"))</f>
        <v>Missing in Tally</v>
      </c>
      <c r="M933" s="6" t="str">
        <f t="shared" si="44"/>
        <v/>
      </c>
    </row>
    <row r="934" spans="1:13" x14ac:dyDescent="0.2">
      <c r="A934" s="1" t="str">
        <v>INV2432</v>
      </c>
      <c r="B934" s="2" t="str">
        <v>12-06-2024</v>
      </c>
      <c r="C934" s="1" t="str">
        <v>24LMNOP4321K1Z7</v>
      </c>
      <c r="D934" s="4" t="str">
        <v>Patel Industries</v>
      </c>
      <c r="E934" s="6">
        <v>29276.89</v>
      </c>
      <c r="F934" s="6">
        <v>2634.92</v>
      </c>
      <c r="G934" s="6">
        <v>2634.92</v>
      </c>
      <c r="H934" s="6">
        <v>34546.730000000003</v>
      </c>
      <c r="I934" s="19" t="str">
        <v>GST</v>
      </c>
      <c r="J934" s="1" t="str">
        <f t="shared" si="42"/>
        <v>Unique</v>
      </c>
      <c r="K934" s="21" t="str">
        <f t="shared" si="43"/>
        <v/>
      </c>
      <c r="L934" s="4" t="str">
        <f>IF(COUNTIFS(A:A,A934,C:C,C934)=2,IF(K934="Mismatch","Value Mismatch","Matched"),IF(I934= "Tally","Missing in GST","Missing in Tally"))</f>
        <v>Missing in Tally</v>
      </c>
      <c r="M934" s="6" t="str">
        <f t="shared" si="44"/>
        <v/>
      </c>
    </row>
    <row r="935" spans="1:13" x14ac:dyDescent="0.2">
      <c r="A935" s="1" t="str">
        <v>INV2433</v>
      </c>
      <c r="B935" s="2" t="str">
        <v>26-05-2024</v>
      </c>
      <c r="C935" s="1" t="str">
        <v>29PQRSX5678L1Z2</v>
      </c>
      <c r="D935" s="4" t="str">
        <v>Kiran Enterprises</v>
      </c>
      <c r="E935" s="6">
        <v>7567.91</v>
      </c>
      <c r="F935" s="6">
        <v>681.11</v>
      </c>
      <c r="G935" s="6">
        <v>681.11</v>
      </c>
      <c r="H935" s="6">
        <v>8930.1299999999992</v>
      </c>
      <c r="I935" s="19" t="str">
        <v>GST</v>
      </c>
      <c r="J935" s="1" t="str">
        <f t="shared" si="42"/>
        <v>Unique</v>
      </c>
      <c r="K935" s="21" t="str">
        <f t="shared" si="43"/>
        <v/>
      </c>
      <c r="L935" s="4" t="str">
        <f>IF(COUNTIFS(A:A,A935,C:C,C935)=2,IF(K935="Mismatch","Value Mismatch","Matched"),IF(I935= "Tally","Missing in GST","Missing in Tally"))</f>
        <v>Missing in Tally</v>
      </c>
      <c r="M935" s="6" t="str">
        <f t="shared" si="44"/>
        <v/>
      </c>
    </row>
    <row r="936" spans="1:13" x14ac:dyDescent="0.2">
      <c r="A936" s="1" t="str">
        <v>INV2434</v>
      </c>
      <c r="B936" s="2" t="str">
        <v>25-04-2024</v>
      </c>
      <c r="C936" s="1" t="str">
        <v>29PQRSX5678L1Z2</v>
      </c>
      <c r="D936" s="4" t="str">
        <v>Kiran Enterprises</v>
      </c>
      <c r="E936" s="6">
        <v>6999.62</v>
      </c>
      <c r="F936" s="6">
        <v>629.97</v>
      </c>
      <c r="G936" s="6">
        <v>629.97</v>
      </c>
      <c r="H936" s="6">
        <v>8259.56</v>
      </c>
      <c r="I936" s="19" t="str">
        <v>GST</v>
      </c>
      <c r="J936" s="1" t="str">
        <f t="shared" si="42"/>
        <v>Unique</v>
      </c>
      <c r="K936" s="21" t="str">
        <f t="shared" si="43"/>
        <v/>
      </c>
      <c r="L936" s="4" t="str">
        <f>IF(COUNTIFS(A:A,A936,C:C,C936)=2,IF(K936="Mismatch","Value Mismatch","Matched"),IF(I936= "Tally","Missing in GST","Missing in Tally"))</f>
        <v>Missing in Tally</v>
      </c>
      <c r="M936" s="6" t="str">
        <f t="shared" si="44"/>
        <v/>
      </c>
    </row>
    <row r="937" spans="1:13" x14ac:dyDescent="0.2">
      <c r="A937" s="1" t="str">
        <v>INV2435</v>
      </c>
      <c r="B937" s="2" t="str">
        <v>17-06-2024</v>
      </c>
      <c r="C937" s="1" t="str">
        <v>29PQRSX5678L1Z2</v>
      </c>
      <c r="D937" s="4" t="str">
        <v>Kiran Enterprises</v>
      </c>
      <c r="E937" s="6">
        <v>16934.29</v>
      </c>
      <c r="F937" s="6">
        <v>1524.09</v>
      </c>
      <c r="G937" s="6">
        <v>1524.09</v>
      </c>
      <c r="H937" s="6">
        <v>19982.47</v>
      </c>
      <c r="I937" s="19" t="str">
        <v>GST</v>
      </c>
      <c r="J937" s="1" t="str">
        <f t="shared" si="42"/>
        <v>Unique</v>
      </c>
      <c r="K937" s="21" t="str">
        <f t="shared" si="43"/>
        <v/>
      </c>
      <c r="L937" s="4" t="str">
        <f>IF(COUNTIFS(A:A,A937,C:C,C937)=2,IF(K937="Mismatch","Value Mismatch","Matched"),IF(I937= "Tally","Missing in GST","Missing in Tally"))</f>
        <v>Missing in Tally</v>
      </c>
      <c r="M937" s="6" t="str">
        <f t="shared" si="44"/>
        <v/>
      </c>
    </row>
    <row r="938" spans="1:13" x14ac:dyDescent="0.2">
      <c r="A938" s="1" t="str">
        <v>INV2436</v>
      </c>
      <c r="B938" s="2" t="str">
        <v>30-06-2024</v>
      </c>
      <c r="C938" s="1" t="str">
        <v>07ZXCVB9876M1Z3</v>
      </c>
      <c r="D938" s="4" t="str">
        <v>Gupta Supplies</v>
      </c>
      <c r="E938" s="6">
        <v>21697.67</v>
      </c>
      <c r="F938" s="6">
        <v>1952.79</v>
      </c>
      <c r="G938" s="6">
        <v>1952.79</v>
      </c>
      <c r="H938" s="6">
        <v>25603.25</v>
      </c>
      <c r="I938" s="19" t="str">
        <v>GST</v>
      </c>
      <c r="J938" s="1" t="str">
        <f t="shared" si="42"/>
        <v>Unique</v>
      </c>
      <c r="K938" s="21" t="str">
        <f t="shared" si="43"/>
        <v/>
      </c>
      <c r="L938" s="4" t="str">
        <f>IF(COUNTIFS(A:A,A938,C:C,C938)=2,IF(K938="Mismatch","Value Mismatch","Matched"),IF(I938= "Tally","Missing in GST","Missing in Tally"))</f>
        <v>Missing in Tally</v>
      </c>
      <c r="M938" s="6" t="str">
        <f t="shared" si="44"/>
        <v/>
      </c>
    </row>
    <row r="939" spans="1:13" x14ac:dyDescent="0.2">
      <c r="A939" s="1" t="str">
        <v>INV2437</v>
      </c>
      <c r="B939" s="2" t="str">
        <v>18-04-2024</v>
      </c>
      <c r="C939" s="1" t="str">
        <v>29PQRSX5678L1Z2</v>
      </c>
      <c r="D939" s="4" t="str">
        <v>Kiran Enterprises</v>
      </c>
      <c r="E939" s="6">
        <v>11049.77</v>
      </c>
      <c r="F939" s="6">
        <v>994.48</v>
      </c>
      <c r="G939" s="6">
        <v>994.48</v>
      </c>
      <c r="H939" s="6">
        <v>13038.73</v>
      </c>
      <c r="I939" s="19" t="str">
        <v>GST</v>
      </c>
      <c r="J939" s="1" t="str">
        <f t="shared" si="42"/>
        <v>Unique</v>
      </c>
      <c r="K939" s="21" t="str">
        <f t="shared" si="43"/>
        <v/>
      </c>
      <c r="L939" s="4" t="str">
        <f>IF(COUNTIFS(A:A,A939,C:C,C939)=2,IF(K939="Mismatch","Value Mismatch","Matched"),IF(I939= "Tally","Missing in GST","Missing in Tally"))</f>
        <v>Missing in Tally</v>
      </c>
      <c r="M939" s="6" t="str">
        <f t="shared" si="44"/>
        <v/>
      </c>
    </row>
    <row r="940" spans="1:13" x14ac:dyDescent="0.2">
      <c r="A940" s="1" t="str">
        <v>INV2438</v>
      </c>
      <c r="B940" s="2" t="str">
        <v>12-06-2024</v>
      </c>
      <c r="C940" s="1" t="str">
        <v>27ABCDE1234F1Z5</v>
      </c>
      <c r="D940" s="4" t="str">
        <v>Sharma Traders</v>
      </c>
      <c r="E940" s="6">
        <v>11885.92</v>
      </c>
      <c r="F940" s="6">
        <v>1069.73</v>
      </c>
      <c r="G940" s="6">
        <v>1069.73</v>
      </c>
      <c r="H940" s="6">
        <v>14025.38</v>
      </c>
      <c r="I940" s="19" t="str">
        <v>GST</v>
      </c>
      <c r="J940" s="1" t="str">
        <f t="shared" si="42"/>
        <v>Unique</v>
      </c>
      <c r="K940" s="21" t="str">
        <f t="shared" si="43"/>
        <v/>
      </c>
      <c r="L940" s="4" t="str">
        <f>IF(COUNTIFS(A:A,A940,C:C,C940)=2,IF(K940="Mismatch","Value Mismatch","Matched"),IF(I940= "Tally","Missing in GST","Missing in Tally"))</f>
        <v>Missing in Tally</v>
      </c>
      <c r="M940" s="6" t="str">
        <f t="shared" si="44"/>
        <v/>
      </c>
    </row>
    <row r="941" spans="1:13" x14ac:dyDescent="0.2">
      <c r="A941" s="1" t="str">
        <v>INV2439</v>
      </c>
      <c r="B941" s="2" t="str">
        <v>04-06-2024</v>
      </c>
      <c r="C941" s="1" t="str">
        <v>29PQRSX5678L1Z2</v>
      </c>
      <c r="D941" s="4" t="str">
        <v>Kiran Enterprises</v>
      </c>
      <c r="E941" s="6">
        <v>1156.97</v>
      </c>
      <c r="F941" s="6">
        <v>104.13</v>
      </c>
      <c r="G941" s="6">
        <v>104.13</v>
      </c>
      <c r="H941" s="6">
        <v>1365.23</v>
      </c>
      <c r="I941" s="19" t="str">
        <v>GST</v>
      </c>
      <c r="J941" s="1" t="str">
        <f t="shared" si="42"/>
        <v>Unique</v>
      </c>
      <c r="K941" s="21" t="str">
        <f t="shared" si="43"/>
        <v/>
      </c>
      <c r="L941" s="4" t="str">
        <f>IF(COUNTIFS(A:A,A941,C:C,C941)=2,IF(K941="Mismatch","Value Mismatch","Matched"),IF(I941= "Tally","Missing in GST","Missing in Tally"))</f>
        <v>Missing in Tally</v>
      </c>
      <c r="M941" s="6" t="str">
        <f t="shared" si="44"/>
        <v/>
      </c>
    </row>
    <row r="942" spans="1:13" x14ac:dyDescent="0.2">
      <c r="A942" s="1" t="str">
        <v>INV2440</v>
      </c>
      <c r="B942" s="2" t="str">
        <v>16-06-2024</v>
      </c>
      <c r="C942" s="1" t="str">
        <v>19ASDFG2468H1Z9</v>
      </c>
      <c r="D942" s="4" t="str">
        <v>Eastern Distributors</v>
      </c>
      <c r="E942" s="6">
        <v>33088.559999999998</v>
      </c>
      <c r="F942" s="6">
        <v>2977.97</v>
      </c>
      <c r="G942" s="6">
        <v>2977.97</v>
      </c>
      <c r="H942" s="6">
        <v>39044.5</v>
      </c>
      <c r="I942" s="19" t="str">
        <v>GST</v>
      </c>
      <c r="J942" s="1" t="str">
        <f t="shared" si="42"/>
        <v>Unique</v>
      </c>
      <c r="K942" s="21" t="str">
        <f t="shared" si="43"/>
        <v/>
      </c>
      <c r="L942" s="4" t="str">
        <f>IF(COUNTIFS(A:A,A942,C:C,C942)=2,IF(K942="Mismatch","Value Mismatch","Matched"),IF(I942= "Tally","Missing in GST","Missing in Tally"))</f>
        <v>Missing in Tally</v>
      </c>
      <c r="M942" s="6" t="str">
        <f t="shared" si="44"/>
        <v/>
      </c>
    </row>
    <row r="943" spans="1:13" x14ac:dyDescent="0.2">
      <c r="A943" s="1" t="str">
        <v>INV2441</v>
      </c>
      <c r="B943" s="2" t="str">
        <v>29-05-2024</v>
      </c>
      <c r="C943" s="1" t="str">
        <v>07ZXCVB9876M1Z3</v>
      </c>
      <c r="D943" s="4" t="str">
        <v>Gupta Supplies</v>
      </c>
      <c r="E943" s="6">
        <v>18582.990000000002</v>
      </c>
      <c r="F943" s="6">
        <v>1672.47</v>
      </c>
      <c r="G943" s="6">
        <v>1672.47</v>
      </c>
      <c r="H943" s="6">
        <v>21927.93</v>
      </c>
      <c r="I943" s="19" t="str">
        <v>GST</v>
      </c>
      <c r="J943" s="1" t="str">
        <f t="shared" si="42"/>
        <v>Unique</v>
      </c>
      <c r="K943" s="21" t="str">
        <f t="shared" si="43"/>
        <v/>
      </c>
      <c r="L943" s="4" t="str">
        <f>IF(COUNTIFS(A:A,A943,C:C,C943)=2,IF(K943="Mismatch","Value Mismatch","Matched"),IF(I943= "Tally","Missing in GST","Missing in Tally"))</f>
        <v>Missing in Tally</v>
      </c>
      <c r="M943" s="6" t="str">
        <f t="shared" si="44"/>
        <v/>
      </c>
    </row>
    <row r="944" spans="1:13" x14ac:dyDescent="0.2">
      <c r="A944" s="1" t="str">
        <v>INV2442</v>
      </c>
      <c r="B944" s="2" t="str">
        <v>13-04-2024</v>
      </c>
      <c r="C944" s="1" t="str">
        <v>29PQRSX5678L1Z2</v>
      </c>
      <c r="D944" s="4" t="str">
        <v>Kiran Enterprises</v>
      </c>
      <c r="E944" s="6">
        <v>44397.57</v>
      </c>
      <c r="F944" s="6">
        <v>3995.78</v>
      </c>
      <c r="G944" s="6">
        <v>3995.78</v>
      </c>
      <c r="H944" s="6">
        <v>52389.13</v>
      </c>
      <c r="I944" s="19" t="str">
        <v>GST</v>
      </c>
      <c r="J944" s="1" t="str">
        <f t="shared" si="42"/>
        <v>Unique</v>
      </c>
      <c r="K944" s="21" t="str">
        <f t="shared" si="43"/>
        <v/>
      </c>
      <c r="L944" s="4" t="str">
        <f>IF(COUNTIFS(A:A,A944,C:C,C944)=2,IF(K944="Mismatch","Value Mismatch","Matched"),IF(I944= "Tally","Missing in GST","Missing in Tally"))</f>
        <v>Missing in Tally</v>
      </c>
      <c r="M944" s="6" t="str">
        <f t="shared" si="44"/>
        <v/>
      </c>
    </row>
    <row r="945" spans="1:13" x14ac:dyDescent="0.2">
      <c r="A945" s="1" t="str">
        <v>INV2443</v>
      </c>
      <c r="B945" s="2" t="str">
        <v>03-06-2024</v>
      </c>
      <c r="C945" s="1" t="str">
        <v>27ABCDE1234F1Z5</v>
      </c>
      <c r="D945" s="4" t="str">
        <v>Sharma Traders</v>
      </c>
      <c r="E945" s="6">
        <v>46227.86</v>
      </c>
      <c r="F945" s="6">
        <v>4160.51</v>
      </c>
      <c r="G945" s="6">
        <v>4160.51</v>
      </c>
      <c r="H945" s="6">
        <v>54548.88</v>
      </c>
      <c r="I945" s="19" t="str">
        <v>GST</v>
      </c>
      <c r="J945" s="1" t="str">
        <f t="shared" si="42"/>
        <v>Unique</v>
      </c>
      <c r="K945" s="21" t="str">
        <f t="shared" si="43"/>
        <v/>
      </c>
      <c r="L945" s="4" t="str">
        <f>IF(COUNTIFS(A:A,A945,C:C,C945)=2,IF(K945="Mismatch","Value Mismatch","Matched"),IF(I945= "Tally","Missing in GST","Missing in Tally"))</f>
        <v>Missing in Tally</v>
      </c>
      <c r="M945" s="6" t="str">
        <f t="shared" si="44"/>
        <v/>
      </c>
    </row>
    <row r="946" spans="1:13" x14ac:dyDescent="0.2">
      <c r="A946" s="1" t="str">
        <v>INV2444</v>
      </c>
      <c r="B946" s="2" t="str">
        <v>14-05-2024</v>
      </c>
      <c r="C946" s="1" t="str">
        <v>19ASDFG2468H1Z9</v>
      </c>
      <c r="D946" s="4" t="str">
        <v>Eastern Distributors</v>
      </c>
      <c r="E946" s="6">
        <v>25300.37</v>
      </c>
      <c r="F946" s="6">
        <v>2277.0300000000002</v>
      </c>
      <c r="G946" s="6">
        <v>2277.0300000000002</v>
      </c>
      <c r="H946" s="6">
        <v>29854.43</v>
      </c>
      <c r="I946" s="19" t="str">
        <v>GST</v>
      </c>
      <c r="J946" s="1" t="str">
        <f t="shared" si="42"/>
        <v>Unique</v>
      </c>
      <c r="K946" s="21" t="str">
        <f t="shared" si="43"/>
        <v/>
      </c>
      <c r="L946" s="4" t="str">
        <f>IF(COUNTIFS(A:A,A946,C:C,C946)=2,IF(K946="Mismatch","Value Mismatch","Matched"),IF(I946= "Tally","Missing in GST","Missing in Tally"))</f>
        <v>Missing in Tally</v>
      </c>
      <c r="M946" s="6" t="str">
        <f t="shared" si="44"/>
        <v/>
      </c>
    </row>
    <row r="947" spans="1:13" x14ac:dyDescent="0.2">
      <c r="A947" s="1" t="str">
        <v>INV2445</v>
      </c>
      <c r="B947" s="2" t="str">
        <v>14-04-2024</v>
      </c>
      <c r="C947" s="1" t="str">
        <v>24LMNOP4321K1Z7</v>
      </c>
      <c r="D947" s="4" t="str">
        <v>Patel Industries</v>
      </c>
      <c r="E947" s="6">
        <v>38175.47</v>
      </c>
      <c r="F947" s="6">
        <v>3435.79</v>
      </c>
      <c r="G947" s="6">
        <v>3435.79</v>
      </c>
      <c r="H947" s="6">
        <v>45047.05</v>
      </c>
      <c r="I947" s="19" t="str">
        <v>GST</v>
      </c>
      <c r="J947" s="1" t="str">
        <f t="shared" si="42"/>
        <v>Unique</v>
      </c>
      <c r="K947" s="21" t="str">
        <f t="shared" si="43"/>
        <v/>
      </c>
      <c r="L947" s="4" t="str">
        <f>IF(COUNTIFS(A:A,A947,C:C,C947)=2,IF(K947="Mismatch","Value Mismatch","Matched"),IF(I947= "Tally","Missing in GST","Missing in Tally"))</f>
        <v>Missing in Tally</v>
      </c>
      <c r="M947" s="6" t="str">
        <f t="shared" si="44"/>
        <v/>
      </c>
    </row>
    <row r="948" spans="1:13" x14ac:dyDescent="0.2">
      <c r="A948" s="1" t="str">
        <v>INV2446</v>
      </c>
      <c r="B948" s="2" t="str">
        <v>21-04-2024</v>
      </c>
      <c r="C948" s="1" t="str">
        <v>29PQRSX5678L1Z2</v>
      </c>
      <c r="D948" s="4" t="str">
        <v>Kiran Enterprises</v>
      </c>
      <c r="E948" s="6">
        <v>14124.93</v>
      </c>
      <c r="F948" s="6">
        <v>1271.24</v>
      </c>
      <c r="G948" s="6">
        <v>1271.24</v>
      </c>
      <c r="H948" s="6">
        <v>16667.41</v>
      </c>
      <c r="I948" s="19" t="str">
        <v>GST</v>
      </c>
      <c r="J948" s="1" t="str">
        <f t="shared" si="42"/>
        <v>Unique</v>
      </c>
      <c r="K948" s="21" t="str">
        <f t="shared" si="43"/>
        <v/>
      </c>
      <c r="L948" s="4" t="str">
        <f>IF(COUNTIFS(A:A,A948,C:C,C948)=2,IF(K948="Mismatch","Value Mismatch","Matched"),IF(I948= "Tally","Missing in GST","Missing in Tally"))</f>
        <v>Missing in Tally</v>
      </c>
      <c r="M948" s="6" t="str">
        <f t="shared" si="44"/>
        <v/>
      </c>
    </row>
    <row r="949" spans="1:13" x14ac:dyDescent="0.2">
      <c r="A949" s="1" t="str">
        <v>INV2447</v>
      </c>
      <c r="B949" s="2" t="str">
        <v>14-04-2024</v>
      </c>
      <c r="C949" s="1" t="str">
        <v>24LMNOP4321K1Z7</v>
      </c>
      <c r="D949" s="4" t="str">
        <v>Patel Industries</v>
      </c>
      <c r="E949" s="6">
        <v>13911.44</v>
      </c>
      <c r="F949" s="6">
        <v>1252.03</v>
      </c>
      <c r="G949" s="6">
        <v>1252.03</v>
      </c>
      <c r="H949" s="6">
        <v>16415.5</v>
      </c>
      <c r="I949" s="19" t="str">
        <v>GST</v>
      </c>
      <c r="J949" s="1" t="str">
        <f t="shared" si="42"/>
        <v>Unique</v>
      </c>
      <c r="K949" s="21" t="str">
        <f t="shared" si="43"/>
        <v/>
      </c>
      <c r="L949" s="4" t="str">
        <f>IF(COUNTIFS(A:A,A949,C:C,C949)=2,IF(K949="Mismatch","Value Mismatch","Matched"),IF(I949= "Tally","Missing in GST","Missing in Tally"))</f>
        <v>Missing in Tally</v>
      </c>
      <c r="M949" s="6" t="str">
        <f t="shared" si="44"/>
        <v/>
      </c>
    </row>
    <row r="950" spans="1:13" x14ac:dyDescent="0.2">
      <c r="A950" s="1" t="str">
        <v>INV2448</v>
      </c>
      <c r="B950" s="2" t="str">
        <v>31-05-2024</v>
      </c>
      <c r="C950" s="1" t="str">
        <v>24LMNOP4321K1Z7</v>
      </c>
      <c r="D950" s="4" t="str">
        <v>Patel Industries</v>
      </c>
      <c r="E950" s="6">
        <v>2707.6</v>
      </c>
      <c r="F950" s="6">
        <v>243.68</v>
      </c>
      <c r="G950" s="6">
        <v>243.68</v>
      </c>
      <c r="H950" s="6">
        <v>3194.96</v>
      </c>
      <c r="I950" s="19" t="str">
        <v>GST</v>
      </c>
      <c r="J950" s="1" t="str">
        <f t="shared" si="42"/>
        <v>Unique</v>
      </c>
      <c r="K950" s="21" t="str">
        <f t="shared" si="43"/>
        <v/>
      </c>
      <c r="L950" s="4" t="str">
        <f>IF(COUNTIFS(A:A,A950,C:C,C950)=2,IF(K950="Mismatch","Value Mismatch","Matched"),IF(I950= "Tally","Missing in GST","Missing in Tally"))</f>
        <v>Missing in Tally</v>
      </c>
      <c r="M950" s="6" t="str">
        <f t="shared" si="44"/>
        <v/>
      </c>
    </row>
    <row r="951" spans="1:13" x14ac:dyDescent="0.2">
      <c r="A951" s="1" t="str">
        <v>INV2449</v>
      </c>
      <c r="B951" s="2" t="str">
        <v>15-04-2024</v>
      </c>
      <c r="C951" s="1" t="str">
        <v>19ASDFG2468H1Z9</v>
      </c>
      <c r="D951" s="4" t="str">
        <v>Eastern Distributors</v>
      </c>
      <c r="E951" s="6">
        <v>4692.82</v>
      </c>
      <c r="F951" s="6">
        <v>422.35</v>
      </c>
      <c r="G951" s="6">
        <v>422.35</v>
      </c>
      <c r="H951" s="6">
        <v>5537.52</v>
      </c>
      <c r="I951" s="19" t="str">
        <v>GST</v>
      </c>
      <c r="J951" s="1" t="str">
        <f t="shared" si="42"/>
        <v>Unique</v>
      </c>
      <c r="K951" s="21" t="str">
        <f t="shared" si="43"/>
        <v/>
      </c>
      <c r="L951" s="4" t="str">
        <f>IF(COUNTIFS(A:A,A951,C:C,C951)=2,IF(K951="Mismatch","Value Mismatch","Matched"),IF(I951= "Tally","Missing in GST","Missing in Tally"))</f>
        <v>Missing in Tally</v>
      </c>
      <c r="M951" s="6" t="str">
        <f t="shared" si="44"/>
        <v/>
      </c>
    </row>
    <row r="952" spans="1:13" x14ac:dyDescent="0.2">
      <c r="A952" s="1" t="str">
        <v>INV2450</v>
      </c>
      <c r="B952" s="2" t="str">
        <v>23-05-2024</v>
      </c>
      <c r="C952" s="1" t="str">
        <v>29PQRSX5678L1Z2</v>
      </c>
      <c r="D952" s="4" t="str">
        <v>Kiran Enterprises</v>
      </c>
      <c r="E952" s="6">
        <v>31293.65</v>
      </c>
      <c r="F952" s="6">
        <v>2816.43</v>
      </c>
      <c r="G952" s="6">
        <v>2816.43</v>
      </c>
      <c r="H952" s="6">
        <v>36926.51</v>
      </c>
      <c r="I952" s="19" t="str">
        <v>GST</v>
      </c>
      <c r="J952" s="1" t="str">
        <f t="shared" si="42"/>
        <v>Unique</v>
      </c>
      <c r="K952" s="21" t="str">
        <f t="shared" si="43"/>
        <v/>
      </c>
      <c r="L952" s="4" t="str">
        <f>IF(COUNTIFS(A:A,A952,C:C,C952)=2,IF(K952="Mismatch","Value Mismatch","Matched"),IF(I952= "Tally","Missing in GST","Missing in Tally"))</f>
        <v>Missing in Tally</v>
      </c>
      <c r="M952" s="6" t="str">
        <f t="shared" si="44"/>
        <v/>
      </c>
    </row>
    <row r="953" spans="1:13" x14ac:dyDescent="0.2">
      <c r="A953" s="1" t="str">
        <v>INV2451</v>
      </c>
      <c r="B953" s="2" t="str">
        <v>30-05-2024</v>
      </c>
      <c r="C953" s="1" t="str">
        <v>29PQRSX5678L1Z2</v>
      </c>
      <c r="D953" s="4" t="str">
        <v>Kiran Enterprises</v>
      </c>
      <c r="E953" s="6">
        <v>25602.03</v>
      </c>
      <c r="F953" s="6">
        <v>2304.1799999999998</v>
      </c>
      <c r="G953" s="6">
        <v>2304.1799999999998</v>
      </c>
      <c r="H953" s="6">
        <v>30210.39</v>
      </c>
      <c r="I953" s="19" t="str">
        <v>GST</v>
      </c>
      <c r="J953" s="1" t="str">
        <f t="shared" si="42"/>
        <v>Unique</v>
      </c>
      <c r="K953" s="21" t="str">
        <f t="shared" si="43"/>
        <v/>
      </c>
      <c r="L953" s="4" t="str">
        <f>IF(COUNTIFS(A:A,A953,C:C,C953)=2,IF(K953="Mismatch","Value Mismatch","Matched"),IF(I953= "Tally","Missing in GST","Missing in Tally"))</f>
        <v>Missing in Tally</v>
      </c>
      <c r="M953" s="6" t="str">
        <f t="shared" si="44"/>
        <v/>
      </c>
    </row>
    <row r="954" spans="1:13" x14ac:dyDescent="0.2">
      <c r="A954" s="1" t="str">
        <v>INV2452</v>
      </c>
      <c r="B954" s="2" t="str">
        <v>19-04-2024</v>
      </c>
      <c r="C954" s="1" t="str">
        <v>19ASDFG2468H1Z9</v>
      </c>
      <c r="D954" s="4" t="str">
        <v>Eastern Distributors</v>
      </c>
      <c r="E954" s="6">
        <v>28038.93</v>
      </c>
      <c r="F954" s="6">
        <v>2523.5</v>
      </c>
      <c r="G954" s="6">
        <v>2523.5</v>
      </c>
      <c r="H954" s="6">
        <v>33085.93</v>
      </c>
      <c r="I954" s="19" t="str">
        <v>GST</v>
      </c>
      <c r="J954" s="1" t="str">
        <f t="shared" si="42"/>
        <v>Unique</v>
      </c>
      <c r="K954" s="21" t="str">
        <f t="shared" si="43"/>
        <v/>
      </c>
      <c r="L954" s="4" t="str">
        <f>IF(COUNTIFS(A:A,A954,C:C,C954)=2,IF(K954="Mismatch","Value Mismatch","Matched"),IF(I954= "Tally","Missing in GST","Missing in Tally"))</f>
        <v>Missing in Tally</v>
      </c>
      <c r="M954" s="6" t="str">
        <f t="shared" si="44"/>
        <v/>
      </c>
    </row>
    <row r="955" spans="1:13" x14ac:dyDescent="0.2">
      <c r="A955" s="1" t="str">
        <v>INV2453</v>
      </c>
      <c r="B955" s="2" t="str">
        <v>02-06-2024</v>
      </c>
      <c r="C955" s="1" t="str">
        <v>29PQRSX5678L1Z2</v>
      </c>
      <c r="D955" s="4" t="str">
        <v>Kiran Enterprises</v>
      </c>
      <c r="E955" s="6">
        <v>21714.880000000001</v>
      </c>
      <c r="F955" s="6">
        <v>1954.34</v>
      </c>
      <c r="G955" s="6">
        <v>1954.34</v>
      </c>
      <c r="H955" s="6">
        <v>25623.56</v>
      </c>
      <c r="I955" s="19" t="str">
        <v>GST</v>
      </c>
      <c r="J955" s="1" t="str">
        <f t="shared" si="42"/>
        <v>Unique</v>
      </c>
      <c r="K955" s="21" t="str">
        <f t="shared" si="43"/>
        <v/>
      </c>
      <c r="L955" s="4" t="str">
        <f>IF(COUNTIFS(A:A,A955,C:C,C955)=2,IF(K955="Mismatch","Value Mismatch","Matched"),IF(I955= "Tally","Missing in GST","Missing in Tally"))</f>
        <v>Missing in Tally</v>
      </c>
      <c r="M955" s="6" t="str">
        <f t="shared" si="44"/>
        <v/>
      </c>
    </row>
    <row r="956" spans="1:13" x14ac:dyDescent="0.2">
      <c r="A956" s="1" t="str">
        <v>INV2454</v>
      </c>
      <c r="B956" s="2" t="str">
        <v>25-06-2024</v>
      </c>
      <c r="C956" s="1" t="str">
        <v>19ASDFG2468H1Z9</v>
      </c>
      <c r="D956" s="4" t="str">
        <v>Eastern Distributors</v>
      </c>
      <c r="E956" s="6">
        <v>3314.77</v>
      </c>
      <c r="F956" s="6">
        <v>298.33</v>
      </c>
      <c r="G956" s="6">
        <v>298.33</v>
      </c>
      <c r="H956" s="6">
        <v>3911.43</v>
      </c>
      <c r="I956" s="19" t="str">
        <v>GST</v>
      </c>
      <c r="J956" s="1" t="str">
        <f t="shared" si="42"/>
        <v>Unique</v>
      </c>
      <c r="K956" s="21" t="str">
        <f t="shared" si="43"/>
        <v/>
      </c>
      <c r="L956" s="4" t="str">
        <f>IF(COUNTIFS(A:A,A956,C:C,C956)=2,IF(K956="Mismatch","Value Mismatch","Matched"),IF(I956= "Tally","Missing in GST","Missing in Tally"))</f>
        <v>Missing in Tally</v>
      </c>
      <c r="M956" s="6" t="str">
        <f t="shared" si="44"/>
        <v/>
      </c>
    </row>
    <row r="957" spans="1:13" x14ac:dyDescent="0.2">
      <c r="A957" s="1" t="str">
        <v>INV2455</v>
      </c>
      <c r="B957" s="2" t="str">
        <v>18-06-2024</v>
      </c>
      <c r="C957" s="1" t="str">
        <v>29PQRSX5678L1Z2</v>
      </c>
      <c r="D957" s="4" t="str">
        <v>Kiran Enterprises</v>
      </c>
      <c r="E957" s="6">
        <v>47897.2</v>
      </c>
      <c r="F957" s="6">
        <v>4310.75</v>
      </c>
      <c r="G957" s="6">
        <v>4310.75</v>
      </c>
      <c r="H957" s="6">
        <v>56518.7</v>
      </c>
      <c r="I957" s="19" t="str">
        <v>GST</v>
      </c>
      <c r="J957" s="1" t="str">
        <f t="shared" si="42"/>
        <v>Unique</v>
      </c>
      <c r="K957" s="21" t="str">
        <f t="shared" si="43"/>
        <v/>
      </c>
      <c r="L957" s="4" t="str">
        <f>IF(COUNTIFS(A:A,A957,C:C,C957)=2,IF(K957="Mismatch","Value Mismatch","Matched"),IF(I957= "Tally","Missing in GST","Missing in Tally"))</f>
        <v>Missing in Tally</v>
      </c>
      <c r="M957" s="6" t="str">
        <f t="shared" si="44"/>
        <v/>
      </c>
    </row>
    <row r="958" spans="1:13" x14ac:dyDescent="0.2">
      <c r="A958" s="1" t="str">
        <v>INV2456</v>
      </c>
      <c r="B958" s="2" t="str">
        <v>06-05-2024</v>
      </c>
      <c r="C958" s="1" t="str">
        <v>24LMNOP4321K1Z7</v>
      </c>
      <c r="D958" s="4" t="str">
        <v>Patel Industries</v>
      </c>
      <c r="E958" s="6">
        <v>15360.02</v>
      </c>
      <c r="F958" s="6">
        <v>1382.4</v>
      </c>
      <c r="G958" s="6">
        <v>1382.4</v>
      </c>
      <c r="H958" s="6">
        <v>18124.82</v>
      </c>
      <c r="I958" s="19" t="str">
        <v>GST</v>
      </c>
      <c r="J958" s="1" t="str">
        <f t="shared" si="42"/>
        <v>Unique</v>
      </c>
      <c r="K958" s="21" t="str">
        <f t="shared" si="43"/>
        <v/>
      </c>
      <c r="L958" s="4" t="str">
        <f>IF(COUNTIFS(A:A,A958,C:C,C958)=2,IF(K958="Mismatch","Value Mismatch","Matched"),IF(I958= "Tally","Missing in GST","Missing in Tally"))</f>
        <v>Missing in Tally</v>
      </c>
      <c r="M958" s="6" t="str">
        <f t="shared" si="44"/>
        <v/>
      </c>
    </row>
    <row r="959" spans="1:13" x14ac:dyDescent="0.2">
      <c r="A959" s="1" t="str">
        <v>INV2457</v>
      </c>
      <c r="B959" s="2" t="str">
        <v>03-06-2024</v>
      </c>
      <c r="C959" s="1" t="str">
        <v>24LMNOP4321K1Z7</v>
      </c>
      <c r="D959" s="4" t="str">
        <v>Patel Industries</v>
      </c>
      <c r="E959" s="6">
        <v>18655.72</v>
      </c>
      <c r="F959" s="6">
        <v>1679.01</v>
      </c>
      <c r="G959" s="6">
        <v>1679.01</v>
      </c>
      <c r="H959" s="6">
        <v>22013.74</v>
      </c>
      <c r="I959" s="19" t="str">
        <v>GST</v>
      </c>
      <c r="J959" s="1" t="str">
        <f t="shared" si="42"/>
        <v>Unique</v>
      </c>
      <c r="K959" s="21" t="str">
        <f t="shared" si="43"/>
        <v/>
      </c>
      <c r="L959" s="4" t="str">
        <f>IF(COUNTIFS(A:A,A959,C:C,C959)=2,IF(K959="Mismatch","Value Mismatch","Matched"),IF(I959= "Tally","Missing in GST","Missing in Tally"))</f>
        <v>Missing in Tally</v>
      </c>
      <c r="M959" s="6" t="str">
        <f t="shared" si="44"/>
        <v/>
      </c>
    </row>
    <row r="960" spans="1:13" x14ac:dyDescent="0.2">
      <c r="A960" s="1" t="str">
        <v>INV2458</v>
      </c>
      <c r="B960" s="2" t="str">
        <v>31-05-2024</v>
      </c>
      <c r="C960" s="1" t="str">
        <v>19ASDFG2468H1Z9</v>
      </c>
      <c r="D960" s="4" t="str">
        <v>Eastern Distributors</v>
      </c>
      <c r="E960" s="6">
        <v>5492.23</v>
      </c>
      <c r="F960" s="6">
        <v>494.3</v>
      </c>
      <c r="G960" s="6">
        <v>494.3</v>
      </c>
      <c r="H960" s="6">
        <v>6480.83</v>
      </c>
      <c r="I960" s="19" t="str">
        <v>GST</v>
      </c>
      <c r="J960" s="1" t="str">
        <f t="shared" si="42"/>
        <v>Unique</v>
      </c>
      <c r="K960" s="21" t="str">
        <f t="shared" si="43"/>
        <v/>
      </c>
      <c r="L960" s="4" t="str">
        <f>IF(COUNTIFS(A:A,A960,C:C,C960)=2,IF(K960="Mismatch","Value Mismatch","Matched"),IF(I960= "Tally","Missing in GST","Missing in Tally"))</f>
        <v>Missing in Tally</v>
      </c>
      <c r="M960" s="6" t="str">
        <f t="shared" si="44"/>
        <v/>
      </c>
    </row>
    <row r="961" spans="1:13" x14ac:dyDescent="0.2">
      <c r="A961" s="1" t="str">
        <v>INV2459</v>
      </c>
      <c r="B961" s="2" t="str">
        <v>15-05-2024</v>
      </c>
      <c r="C961" s="1" t="str">
        <v>19ASDFG2468H1Z9</v>
      </c>
      <c r="D961" s="4" t="str">
        <v>Eastern Distributors</v>
      </c>
      <c r="E961" s="6">
        <v>25101.64</v>
      </c>
      <c r="F961" s="6">
        <v>2259.15</v>
      </c>
      <c r="G961" s="6">
        <v>2259.15</v>
      </c>
      <c r="H961" s="6">
        <v>29619.94</v>
      </c>
      <c r="I961" s="19" t="str">
        <v>GST</v>
      </c>
      <c r="J961" s="1" t="str">
        <f t="shared" si="42"/>
        <v>Unique</v>
      </c>
      <c r="K961" s="21" t="str">
        <f t="shared" si="43"/>
        <v/>
      </c>
      <c r="L961" s="4" t="str">
        <f>IF(COUNTIFS(A:A,A961,C:C,C961)=2,IF(K961="Mismatch","Value Mismatch","Matched"),IF(I961= "Tally","Missing in GST","Missing in Tally"))</f>
        <v>Missing in Tally</v>
      </c>
      <c r="M961" s="6" t="str">
        <f t="shared" si="44"/>
        <v/>
      </c>
    </row>
    <row r="962" spans="1:13" x14ac:dyDescent="0.2">
      <c r="A962" s="1" t="str">
        <v>INV2460</v>
      </c>
      <c r="B962" s="2" t="str">
        <v>16-06-2024</v>
      </c>
      <c r="C962" s="1" t="str">
        <v>19ASDFG2468H1Z9</v>
      </c>
      <c r="D962" s="4" t="str">
        <v>Eastern Distributors</v>
      </c>
      <c r="E962" s="6">
        <v>33521.050000000003</v>
      </c>
      <c r="F962" s="6">
        <v>3016.89</v>
      </c>
      <c r="G962" s="6">
        <v>3016.89</v>
      </c>
      <c r="H962" s="6">
        <v>39554.83</v>
      </c>
      <c r="I962" s="19" t="str">
        <v>GST</v>
      </c>
      <c r="J962" s="1" t="str">
        <f t="shared" si="42"/>
        <v>Unique</v>
      </c>
      <c r="K962" s="21" t="str">
        <f t="shared" si="43"/>
        <v/>
      </c>
      <c r="L962" s="4" t="str">
        <f>IF(COUNTIFS(A:A,A962,C:C,C962)=2,IF(K962="Mismatch","Value Mismatch","Matched"),IF(I962= "Tally","Missing in GST","Missing in Tally"))</f>
        <v>Missing in Tally</v>
      </c>
      <c r="M962" s="6" t="str">
        <f t="shared" si="44"/>
        <v/>
      </c>
    </row>
    <row r="963" spans="1:13" x14ac:dyDescent="0.2">
      <c r="A963" s="1" t="str">
        <v>INV2461</v>
      </c>
      <c r="B963" s="2" t="str">
        <v>08-05-2024</v>
      </c>
      <c r="C963" s="1" t="str">
        <v>24LMNOP4321K1Z7</v>
      </c>
      <c r="D963" s="4" t="str">
        <v>Patel Industries</v>
      </c>
      <c r="E963" s="6">
        <v>18775.400000000001</v>
      </c>
      <c r="F963" s="6">
        <v>1689.79</v>
      </c>
      <c r="G963" s="6">
        <v>1689.79</v>
      </c>
      <c r="H963" s="6">
        <v>22154.98</v>
      </c>
      <c r="I963" s="19" t="str">
        <v>GST</v>
      </c>
      <c r="J963" s="1" t="str">
        <f t="shared" ref="J963:J1001" si="45">IF(COUNTIFS(A:A,A963,D:D,D963,I:I,I963)&gt;1,"Duplicate","Unique")</f>
        <v>Unique</v>
      </c>
      <c r="K963" s="21" t="str">
        <f t="shared" ref="K963:K1001" si="46">IF(COUNTIFS(A:A,A963,C:C,C963)=2,IF(SUMIFS(E:E,A:A,A963,C:C,C963)&lt;&gt;E963*2,"Mismatch","Matched"),"")</f>
        <v/>
      </c>
      <c r="L963" s="4" t="str">
        <f>IF(COUNTIFS(A:A,A963,C:C,C963)=2,IF(K963="Mismatch","Value Mismatch","Matched"),IF(I963= "Tally","Missing in GST","Missing in Tally"))</f>
        <v>Missing in Tally</v>
      </c>
      <c r="M963" s="6" t="str">
        <f t="shared" ref="M963:M1001" si="47">IF(COUNTIFS(A:A,A963,C:C,C963)=2,SUMIFS(E:E,A:A,A963,C:C,C963)-E963*2,"")</f>
        <v/>
      </c>
    </row>
    <row r="964" spans="1:13" x14ac:dyDescent="0.2">
      <c r="A964" s="1" t="str">
        <v>INV2462</v>
      </c>
      <c r="B964" s="2" t="str">
        <v>04-04-2024</v>
      </c>
      <c r="C964" s="1" t="str">
        <v>29PQRSX5678L1Z2</v>
      </c>
      <c r="D964" s="4" t="str">
        <v>Kiran Enterprises</v>
      </c>
      <c r="E964" s="6">
        <v>25462</v>
      </c>
      <c r="F964" s="6">
        <v>2291.58</v>
      </c>
      <c r="G964" s="6">
        <v>2291.58</v>
      </c>
      <c r="H964" s="6">
        <v>30045.16</v>
      </c>
      <c r="I964" s="19" t="str">
        <v>GST</v>
      </c>
      <c r="J964" s="1" t="str">
        <f t="shared" si="45"/>
        <v>Unique</v>
      </c>
      <c r="K964" s="21" t="str">
        <f t="shared" si="46"/>
        <v/>
      </c>
      <c r="L964" s="4" t="str">
        <f>IF(COUNTIFS(A:A,A964,C:C,C964)=2,IF(K964="Mismatch","Value Mismatch","Matched"),IF(I964= "Tally","Missing in GST","Missing in Tally"))</f>
        <v>Missing in Tally</v>
      </c>
      <c r="M964" s="6" t="str">
        <f t="shared" si="47"/>
        <v/>
      </c>
    </row>
    <row r="965" spans="1:13" x14ac:dyDescent="0.2">
      <c r="A965" s="1" t="str">
        <v>INV2463</v>
      </c>
      <c r="B965" s="2" t="str">
        <v>30-05-2024</v>
      </c>
      <c r="C965" s="1" t="str">
        <v>29PQRSX5678L1Z2</v>
      </c>
      <c r="D965" s="4" t="str">
        <v>Kiran Enterprises</v>
      </c>
      <c r="E965" s="6">
        <v>39714.26</v>
      </c>
      <c r="F965" s="6">
        <v>3574.28</v>
      </c>
      <c r="G965" s="6">
        <v>3574.28</v>
      </c>
      <c r="H965" s="6">
        <v>46862.82</v>
      </c>
      <c r="I965" s="19" t="str">
        <v>GST</v>
      </c>
      <c r="J965" s="1" t="str">
        <f t="shared" si="45"/>
        <v>Unique</v>
      </c>
      <c r="K965" s="21" t="str">
        <f t="shared" si="46"/>
        <v/>
      </c>
      <c r="L965" s="4" t="str">
        <f>IF(COUNTIFS(A:A,A965,C:C,C965)=2,IF(K965="Mismatch","Value Mismatch","Matched"),IF(I965= "Tally","Missing in GST","Missing in Tally"))</f>
        <v>Missing in Tally</v>
      </c>
      <c r="M965" s="6" t="str">
        <f t="shared" si="47"/>
        <v/>
      </c>
    </row>
    <row r="966" spans="1:13" x14ac:dyDescent="0.2">
      <c r="A966" s="1" t="str">
        <v>INV2464</v>
      </c>
      <c r="B966" s="2" t="str">
        <v>23-04-2024</v>
      </c>
      <c r="C966" s="1" t="str">
        <v>19ASDFG2468H1Z9</v>
      </c>
      <c r="D966" s="4" t="str">
        <v>Eastern Distributors</v>
      </c>
      <c r="E966" s="6">
        <v>45183.35</v>
      </c>
      <c r="F966" s="6">
        <v>4066.5</v>
      </c>
      <c r="G966" s="6">
        <v>4066.5</v>
      </c>
      <c r="H966" s="6">
        <v>53316.35</v>
      </c>
      <c r="I966" s="19" t="str">
        <v>GST</v>
      </c>
      <c r="J966" s="1" t="str">
        <f t="shared" si="45"/>
        <v>Unique</v>
      </c>
      <c r="K966" s="21" t="str">
        <f t="shared" si="46"/>
        <v/>
      </c>
      <c r="L966" s="4" t="str">
        <f>IF(COUNTIFS(A:A,A966,C:C,C966)=2,IF(K966="Mismatch","Value Mismatch","Matched"),IF(I966= "Tally","Missing in GST","Missing in Tally"))</f>
        <v>Missing in Tally</v>
      </c>
      <c r="M966" s="6" t="str">
        <f t="shared" si="47"/>
        <v/>
      </c>
    </row>
    <row r="967" spans="1:13" x14ac:dyDescent="0.2">
      <c r="A967" s="1" t="str">
        <v>INV2465</v>
      </c>
      <c r="B967" s="2" t="str">
        <v>10-05-2024</v>
      </c>
      <c r="C967" s="1" t="str">
        <v>27ABCDE1234F1Z5</v>
      </c>
      <c r="D967" s="4" t="str">
        <v>Sharma Traders</v>
      </c>
      <c r="E967" s="6">
        <v>45832.61</v>
      </c>
      <c r="F967" s="6">
        <v>4124.93</v>
      </c>
      <c r="G967" s="6">
        <v>4124.93</v>
      </c>
      <c r="H967" s="6">
        <v>54082.47</v>
      </c>
      <c r="I967" s="19" t="str">
        <v>GST</v>
      </c>
      <c r="J967" s="1" t="str">
        <f t="shared" si="45"/>
        <v>Unique</v>
      </c>
      <c r="K967" s="21" t="str">
        <f t="shared" si="46"/>
        <v/>
      </c>
      <c r="L967" s="4" t="str">
        <f>IF(COUNTIFS(A:A,A967,C:C,C967)=2,IF(K967="Mismatch","Value Mismatch","Matched"),IF(I967= "Tally","Missing in GST","Missing in Tally"))</f>
        <v>Missing in Tally</v>
      </c>
      <c r="M967" s="6" t="str">
        <f t="shared" si="47"/>
        <v/>
      </c>
    </row>
    <row r="968" spans="1:13" x14ac:dyDescent="0.2">
      <c r="A968" s="1" t="str">
        <v>INV2466</v>
      </c>
      <c r="B968" s="2" t="str">
        <v>09-04-2024</v>
      </c>
      <c r="C968" s="1" t="str">
        <v>29PQRSX5678L1Z2</v>
      </c>
      <c r="D968" s="4" t="str">
        <v>Kiran Enterprises</v>
      </c>
      <c r="E968" s="6">
        <v>25410.43</v>
      </c>
      <c r="F968" s="6">
        <v>2286.94</v>
      </c>
      <c r="G968" s="6">
        <v>2286.94</v>
      </c>
      <c r="H968" s="6">
        <v>29984.31</v>
      </c>
      <c r="I968" s="19" t="str">
        <v>GST</v>
      </c>
      <c r="J968" s="1" t="str">
        <f t="shared" si="45"/>
        <v>Unique</v>
      </c>
      <c r="K968" s="21" t="str">
        <f t="shared" si="46"/>
        <v/>
      </c>
      <c r="L968" s="4" t="str">
        <f>IF(COUNTIFS(A:A,A968,C:C,C968)=2,IF(K968="Mismatch","Value Mismatch","Matched"),IF(I968= "Tally","Missing in GST","Missing in Tally"))</f>
        <v>Missing in Tally</v>
      </c>
      <c r="M968" s="6" t="str">
        <f t="shared" si="47"/>
        <v/>
      </c>
    </row>
    <row r="969" spans="1:13" x14ac:dyDescent="0.2">
      <c r="A969" s="1" t="str">
        <v>INV2467</v>
      </c>
      <c r="B969" s="2" t="str">
        <v>20-04-2024</v>
      </c>
      <c r="C969" s="1" t="str">
        <v>19ASDFG2468H1Z9</v>
      </c>
      <c r="D969" s="4" t="str">
        <v>Eastern Distributors</v>
      </c>
      <c r="E969" s="6">
        <v>24680</v>
      </c>
      <c r="F969" s="6">
        <v>2221.1999999999998</v>
      </c>
      <c r="G969" s="6">
        <v>2221.1999999999998</v>
      </c>
      <c r="H969" s="6">
        <v>29122.400000000001</v>
      </c>
      <c r="I969" s="19" t="str">
        <v>GST</v>
      </c>
      <c r="J969" s="1" t="str">
        <f t="shared" si="45"/>
        <v>Unique</v>
      </c>
      <c r="K969" s="21" t="str">
        <f t="shared" si="46"/>
        <v/>
      </c>
      <c r="L969" s="4" t="str">
        <f>IF(COUNTIFS(A:A,A969,C:C,C969)=2,IF(K969="Mismatch","Value Mismatch","Matched"),IF(I969= "Tally","Missing in GST","Missing in Tally"))</f>
        <v>Missing in Tally</v>
      </c>
      <c r="M969" s="6" t="str">
        <f t="shared" si="47"/>
        <v/>
      </c>
    </row>
    <row r="970" spans="1:13" x14ac:dyDescent="0.2">
      <c r="A970" s="1" t="str">
        <v>INV2468</v>
      </c>
      <c r="B970" s="2" t="str">
        <v>08-05-2024</v>
      </c>
      <c r="C970" s="1" t="str">
        <v>27ABCDE1234F1Z5</v>
      </c>
      <c r="D970" s="4" t="str">
        <v>Sharma Traders</v>
      </c>
      <c r="E970" s="6">
        <v>45079.33</v>
      </c>
      <c r="F970" s="6">
        <v>4057.14</v>
      </c>
      <c r="G970" s="6">
        <v>4057.14</v>
      </c>
      <c r="H970" s="6">
        <v>53193.61</v>
      </c>
      <c r="I970" s="19" t="str">
        <v>GST</v>
      </c>
      <c r="J970" s="1" t="str">
        <f t="shared" si="45"/>
        <v>Unique</v>
      </c>
      <c r="K970" s="21" t="str">
        <f t="shared" si="46"/>
        <v/>
      </c>
      <c r="L970" s="4" t="str">
        <f>IF(COUNTIFS(A:A,A970,C:C,C970)=2,IF(K970="Mismatch","Value Mismatch","Matched"),IF(I970= "Tally","Missing in GST","Missing in Tally"))</f>
        <v>Missing in Tally</v>
      </c>
      <c r="M970" s="6" t="str">
        <f t="shared" si="47"/>
        <v/>
      </c>
    </row>
    <row r="971" spans="1:13" x14ac:dyDescent="0.2">
      <c r="A971" s="1" t="str">
        <v>INV2469</v>
      </c>
      <c r="B971" s="2" t="str">
        <v>28-04-2024</v>
      </c>
      <c r="C971" s="1" t="str">
        <v>07ZXCVB9876M1Z3</v>
      </c>
      <c r="D971" s="4" t="str">
        <v>Gupta Supplies</v>
      </c>
      <c r="E971" s="6">
        <v>17413.77</v>
      </c>
      <c r="F971" s="6">
        <v>1567.24</v>
      </c>
      <c r="G971" s="6">
        <v>1567.24</v>
      </c>
      <c r="H971" s="6">
        <v>20548.25</v>
      </c>
      <c r="I971" s="19" t="str">
        <v>GST</v>
      </c>
      <c r="J971" s="1" t="str">
        <f t="shared" si="45"/>
        <v>Unique</v>
      </c>
      <c r="K971" s="21" t="str">
        <f t="shared" si="46"/>
        <v/>
      </c>
      <c r="L971" s="4" t="str">
        <f>IF(COUNTIFS(A:A,A971,C:C,C971)=2,IF(K971="Mismatch","Value Mismatch","Matched"),IF(I971= "Tally","Missing in GST","Missing in Tally"))</f>
        <v>Missing in Tally</v>
      </c>
      <c r="M971" s="6" t="str">
        <f t="shared" si="47"/>
        <v/>
      </c>
    </row>
    <row r="972" spans="1:13" x14ac:dyDescent="0.2">
      <c r="A972" s="1" t="str">
        <v>INV2470</v>
      </c>
      <c r="B972" s="2" t="str">
        <v>22-04-2024</v>
      </c>
      <c r="C972" s="1" t="str">
        <v>19ASDFG2468H1Z9</v>
      </c>
      <c r="D972" s="4" t="str">
        <v>Eastern Distributors</v>
      </c>
      <c r="E972" s="6">
        <v>45991.4</v>
      </c>
      <c r="F972" s="6">
        <v>4139.2299999999996</v>
      </c>
      <c r="G972" s="6">
        <v>4139.2299999999996</v>
      </c>
      <c r="H972" s="6">
        <v>54269.86</v>
      </c>
      <c r="I972" s="19" t="str">
        <v>GST</v>
      </c>
      <c r="J972" s="1" t="str">
        <f t="shared" si="45"/>
        <v>Unique</v>
      </c>
      <c r="K972" s="21" t="str">
        <f t="shared" si="46"/>
        <v/>
      </c>
      <c r="L972" s="4" t="str">
        <f>IF(COUNTIFS(A:A,A972,C:C,C972)=2,IF(K972="Mismatch","Value Mismatch","Matched"),IF(I972= "Tally","Missing in GST","Missing in Tally"))</f>
        <v>Missing in Tally</v>
      </c>
      <c r="M972" s="6" t="str">
        <f t="shared" si="47"/>
        <v/>
      </c>
    </row>
    <row r="973" spans="1:13" x14ac:dyDescent="0.2">
      <c r="A973" s="1" t="str">
        <v>INV2471</v>
      </c>
      <c r="B973" s="2" t="str">
        <v>24-05-2024</v>
      </c>
      <c r="C973" s="1" t="str">
        <v>27ABCDE1234F1Z5</v>
      </c>
      <c r="D973" s="4" t="str">
        <v>Sharma Traders</v>
      </c>
      <c r="E973" s="6">
        <v>7812.27</v>
      </c>
      <c r="F973" s="6">
        <v>703.1</v>
      </c>
      <c r="G973" s="6">
        <v>703.1</v>
      </c>
      <c r="H973" s="6">
        <v>9218.4699999999993</v>
      </c>
      <c r="I973" s="19" t="str">
        <v>GST</v>
      </c>
      <c r="J973" s="1" t="str">
        <f t="shared" si="45"/>
        <v>Unique</v>
      </c>
      <c r="K973" s="21" t="str">
        <f t="shared" si="46"/>
        <v/>
      </c>
      <c r="L973" s="4" t="str">
        <f>IF(COUNTIFS(A:A,A973,C:C,C973)=2,IF(K973="Mismatch","Value Mismatch","Matched"),IF(I973= "Tally","Missing in GST","Missing in Tally"))</f>
        <v>Missing in Tally</v>
      </c>
      <c r="M973" s="6" t="str">
        <f t="shared" si="47"/>
        <v/>
      </c>
    </row>
    <row r="974" spans="1:13" x14ac:dyDescent="0.2">
      <c r="A974" s="1" t="str">
        <v>INV2472</v>
      </c>
      <c r="B974" s="2" t="str">
        <v>15-04-2024</v>
      </c>
      <c r="C974" s="1" t="str">
        <v>07ZXCVB9876M1Z3</v>
      </c>
      <c r="D974" s="4" t="str">
        <v>Gupta Supplies</v>
      </c>
      <c r="E974" s="6">
        <v>25385.95</v>
      </c>
      <c r="F974" s="6">
        <v>2284.7399999999998</v>
      </c>
      <c r="G974" s="6">
        <v>2284.7399999999998</v>
      </c>
      <c r="H974" s="6">
        <v>29955.43</v>
      </c>
      <c r="I974" s="19" t="str">
        <v>GST</v>
      </c>
      <c r="J974" s="1" t="str">
        <f t="shared" si="45"/>
        <v>Unique</v>
      </c>
      <c r="K974" s="21" t="str">
        <f t="shared" si="46"/>
        <v/>
      </c>
      <c r="L974" s="4" t="str">
        <f>IF(COUNTIFS(A:A,A974,C:C,C974)=2,IF(K974="Mismatch","Value Mismatch","Matched"),IF(I974= "Tally","Missing in GST","Missing in Tally"))</f>
        <v>Missing in Tally</v>
      </c>
      <c r="M974" s="6" t="str">
        <f t="shared" si="47"/>
        <v/>
      </c>
    </row>
    <row r="975" spans="1:13" x14ac:dyDescent="0.2">
      <c r="A975" s="1" t="str">
        <v>INV2473</v>
      </c>
      <c r="B975" s="2" t="str">
        <v>25-06-2024</v>
      </c>
      <c r="C975" s="1" t="str">
        <v>29PQRSX5678L1Z2</v>
      </c>
      <c r="D975" s="4" t="str">
        <v>Kiran Enterprises</v>
      </c>
      <c r="E975" s="6">
        <v>33830.25</v>
      </c>
      <c r="F975" s="6">
        <v>3044.72</v>
      </c>
      <c r="G975" s="6">
        <v>3044.72</v>
      </c>
      <c r="H975" s="6">
        <v>39919.69</v>
      </c>
      <c r="I975" s="19" t="str">
        <v>GST</v>
      </c>
      <c r="J975" s="1" t="str">
        <f t="shared" si="45"/>
        <v>Unique</v>
      </c>
      <c r="K975" s="21" t="str">
        <f t="shared" si="46"/>
        <v/>
      </c>
      <c r="L975" s="4" t="str">
        <f>IF(COUNTIFS(A:A,A975,C:C,C975)=2,IF(K975="Mismatch","Value Mismatch","Matched"),IF(I975= "Tally","Missing in GST","Missing in Tally"))</f>
        <v>Missing in Tally</v>
      </c>
      <c r="M975" s="6" t="str">
        <f t="shared" si="47"/>
        <v/>
      </c>
    </row>
    <row r="976" spans="1:13" x14ac:dyDescent="0.2">
      <c r="A976" s="1" t="str">
        <v>INV2474</v>
      </c>
      <c r="B976" s="2" t="str">
        <v>17-05-2024</v>
      </c>
      <c r="C976" s="1" t="str">
        <v>07ZXCVB9876M1Z3</v>
      </c>
      <c r="D976" s="4" t="str">
        <v>Gupta Supplies</v>
      </c>
      <c r="E976" s="6">
        <v>39723.129999999997</v>
      </c>
      <c r="F976" s="6">
        <v>3575.08</v>
      </c>
      <c r="G976" s="6">
        <v>3575.08</v>
      </c>
      <c r="H976" s="6">
        <v>46873.29</v>
      </c>
      <c r="I976" s="19" t="str">
        <v>GST</v>
      </c>
      <c r="J976" s="1" t="str">
        <f t="shared" si="45"/>
        <v>Unique</v>
      </c>
      <c r="K976" s="21" t="str">
        <f t="shared" si="46"/>
        <v/>
      </c>
      <c r="L976" s="4" t="str">
        <f>IF(COUNTIFS(A:A,A976,C:C,C976)=2,IF(K976="Mismatch","Value Mismatch","Matched"),IF(I976= "Tally","Missing in GST","Missing in Tally"))</f>
        <v>Missing in Tally</v>
      </c>
      <c r="M976" s="6" t="str">
        <f t="shared" si="47"/>
        <v/>
      </c>
    </row>
    <row r="977" spans="1:13" x14ac:dyDescent="0.2">
      <c r="A977" s="1" t="str">
        <v>INV2475</v>
      </c>
      <c r="B977" s="2" t="str">
        <v>09-04-2024</v>
      </c>
      <c r="C977" s="1" t="str">
        <v>19ASDFG2468H1Z9</v>
      </c>
      <c r="D977" s="4" t="str">
        <v>Eastern Distributors</v>
      </c>
      <c r="E977" s="6">
        <v>3994.09</v>
      </c>
      <c r="F977" s="6">
        <v>359.47</v>
      </c>
      <c r="G977" s="6">
        <v>359.47</v>
      </c>
      <c r="H977" s="6">
        <v>4713.03</v>
      </c>
      <c r="I977" s="19" t="str">
        <v>GST</v>
      </c>
      <c r="J977" s="1" t="str">
        <f t="shared" si="45"/>
        <v>Unique</v>
      </c>
      <c r="K977" s="21" t="str">
        <f t="shared" si="46"/>
        <v/>
      </c>
      <c r="L977" s="4" t="str">
        <f>IF(COUNTIFS(A:A,A977,C:C,C977)=2,IF(K977="Mismatch","Value Mismatch","Matched"),IF(I977= "Tally","Missing in GST","Missing in Tally"))</f>
        <v>Missing in Tally</v>
      </c>
      <c r="M977" s="6" t="str">
        <f t="shared" si="47"/>
        <v/>
      </c>
    </row>
    <row r="978" spans="1:13" x14ac:dyDescent="0.2">
      <c r="A978" s="1" t="str">
        <v>INV2476</v>
      </c>
      <c r="B978" s="2" t="str">
        <v>18-04-2024</v>
      </c>
      <c r="C978" s="1" t="str">
        <v>27ABCDE1234F1Z5</v>
      </c>
      <c r="D978" s="4" t="str">
        <v>Sharma Traders</v>
      </c>
      <c r="E978" s="6">
        <v>15935.57</v>
      </c>
      <c r="F978" s="6">
        <v>1434.2</v>
      </c>
      <c r="G978" s="6">
        <v>1434.2</v>
      </c>
      <c r="H978" s="6">
        <v>18803.97</v>
      </c>
      <c r="I978" s="19" t="str">
        <v>GST</v>
      </c>
      <c r="J978" s="1" t="str">
        <f t="shared" si="45"/>
        <v>Unique</v>
      </c>
      <c r="K978" s="21" t="str">
        <f t="shared" si="46"/>
        <v/>
      </c>
      <c r="L978" s="4" t="str">
        <f>IF(COUNTIFS(A:A,A978,C:C,C978)=2,IF(K978="Mismatch","Value Mismatch","Matched"),IF(I978= "Tally","Missing in GST","Missing in Tally"))</f>
        <v>Missing in Tally</v>
      </c>
      <c r="M978" s="6" t="str">
        <f t="shared" si="47"/>
        <v/>
      </c>
    </row>
    <row r="979" spans="1:13" x14ac:dyDescent="0.2">
      <c r="A979" s="1" t="str">
        <v>INV2477</v>
      </c>
      <c r="B979" s="2" t="str">
        <v>24-04-2024</v>
      </c>
      <c r="C979" s="1" t="str">
        <v>29PQRSX5678L1Z2</v>
      </c>
      <c r="D979" s="4" t="str">
        <v>Kiran Enterprises</v>
      </c>
      <c r="E979" s="6">
        <v>27946.51</v>
      </c>
      <c r="F979" s="6">
        <v>2515.19</v>
      </c>
      <c r="G979" s="6">
        <v>2515.19</v>
      </c>
      <c r="H979" s="6">
        <v>32976.89</v>
      </c>
      <c r="I979" s="19" t="str">
        <v>GST</v>
      </c>
      <c r="J979" s="1" t="str">
        <f t="shared" si="45"/>
        <v>Unique</v>
      </c>
      <c r="K979" s="21" t="str">
        <f t="shared" si="46"/>
        <v/>
      </c>
      <c r="L979" s="4" t="str">
        <f>IF(COUNTIFS(A:A,A979,C:C,C979)=2,IF(K979="Mismatch","Value Mismatch","Matched"),IF(I979= "Tally","Missing in GST","Missing in Tally"))</f>
        <v>Missing in Tally</v>
      </c>
      <c r="M979" s="6" t="str">
        <f t="shared" si="47"/>
        <v/>
      </c>
    </row>
    <row r="980" spans="1:13" x14ac:dyDescent="0.2">
      <c r="A980" s="1" t="str">
        <v>INV2478</v>
      </c>
      <c r="B980" s="2" t="str">
        <v>23-04-2024</v>
      </c>
      <c r="C980" s="1" t="str">
        <v>27ABCDE1234F1Z5</v>
      </c>
      <c r="D980" s="4" t="str">
        <v>Sharma Traders</v>
      </c>
      <c r="E980" s="6">
        <v>1641.62</v>
      </c>
      <c r="F980" s="6">
        <v>147.75</v>
      </c>
      <c r="G980" s="6">
        <v>147.75</v>
      </c>
      <c r="H980" s="6">
        <v>1937.12</v>
      </c>
      <c r="I980" s="19" t="str">
        <v>GST</v>
      </c>
      <c r="J980" s="1" t="str">
        <f t="shared" si="45"/>
        <v>Unique</v>
      </c>
      <c r="K980" s="21" t="str">
        <f t="shared" si="46"/>
        <v/>
      </c>
      <c r="L980" s="4" t="str">
        <f>IF(COUNTIFS(A:A,A980,C:C,C980)=2,IF(K980="Mismatch","Value Mismatch","Matched"),IF(I980= "Tally","Missing in GST","Missing in Tally"))</f>
        <v>Missing in Tally</v>
      </c>
      <c r="M980" s="6" t="str">
        <f t="shared" si="47"/>
        <v/>
      </c>
    </row>
    <row r="981" spans="1:13" x14ac:dyDescent="0.2">
      <c r="A981" s="1" t="str">
        <v>INV2479</v>
      </c>
      <c r="B981" s="2" t="str">
        <v>13-06-2024</v>
      </c>
      <c r="C981" s="1" t="str">
        <v>29PQRSX5678L1Z2</v>
      </c>
      <c r="D981" s="4" t="str">
        <v>Kiran Enterprises</v>
      </c>
      <c r="E981" s="6">
        <v>47870.49</v>
      </c>
      <c r="F981" s="6">
        <v>4308.34</v>
      </c>
      <c r="G981" s="6">
        <v>4308.34</v>
      </c>
      <c r="H981" s="6">
        <v>56487.17</v>
      </c>
      <c r="I981" s="19" t="str">
        <v>GST</v>
      </c>
      <c r="J981" s="1" t="str">
        <f t="shared" si="45"/>
        <v>Unique</v>
      </c>
      <c r="K981" s="21" t="str">
        <f t="shared" si="46"/>
        <v/>
      </c>
      <c r="L981" s="4" t="str">
        <f>IF(COUNTIFS(A:A,A981,C:C,C981)=2,IF(K981="Mismatch","Value Mismatch","Matched"),IF(I981= "Tally","Missing in GST","Missing in Tally"))</f>
        <v>Missing in Tally</v>
      </c>
      <c r="M981" s="6" t="str">
        <f t="shared" si="47"/>
        <v/>
      </c>
    </row>
    <row r="982" spans="1:13" x14ac:dyDescent="0.2">
      <c r="A982" s="1" t="str">
        <v>INV2480</v>
      </c>
      <c r="B982" s="2" t="str">
        <v>15-04-2024</v>
      </c>
      <c r="C982" s="1" t="str">
        <v>29PQRSX5678L1Z2</v>
      </c>
      <c r="D982" s="4" t="str">
        <v>Kiran Enterprises</v>
      </c>
      <c r="E982" s="6">
        <v>18285.04</v>
      </c>
      <c r="F982" s="6">
        <v>1645.65</v>
      </c>
      <c r="G982" s="6">
        <v>1645.65</v>
      </c>
      <c r="H982" s="6">
        <v>21576.34</v>
      </c>
      <c r="I982" s="19" t="str">
        <v>GST</v>
      </c>
      <c r="J982" s="1" t="str">
        <f t="shared" si="45"/>
        <v>Unique</v>
      </c>
      <c r="K982" s="21" t="str">
        <f t="shared" si="46"/>
        <v/>
      </c>
      <c r="L982" s="4" t="str">
        <f>IF(COUNTIFS(A:A,A982,C:C,C982)=2,IF(K982="Mismatch","Value Mismatch","Matched"),IF(I982= "Tally","Missing in GST","Missing in Tally"))</f>
        <v>Missing in Tally</v>
      </c>
      <c r="M982" s="6" t="str">
        <f t="shared" si="47"/>
        <v/>
      </c>
    </row>
    <row r="983" spans="1:13" x14ac:dyDescent="0.2">
      <c r="A983" s="1" t="str">
        <v>INV2481</v>
      </c>
      <c r="B983" s="2" t="str">
        <v>16-06-2024</v>
      </c>
      <c r="C983" s="1" t="str">
        <v>29PQRSX5678L1Z2</v>
      </c>
      <c r="D983" s="4" t="str">
        <v>Kiran Enterprises</v>
      </c>
      <c r="E983" s="6">
        <v>1488.12</v>
      </c>
      <c r="F983" s="6">
        <v>133.93</v>
      </c>
      <c r="G983" s="6">
        <v>133.93</v>
      </c>
      <c r="H983" s="6">
        <v>1755.98</v>
      </c>
      <c r="I983" s="19" t="str">
        <v>GST</v>
      </c>
      <c r="J983" s="1" t="str">
        <f t="shared" si="45"/>
        <v>Unique</v>
      </c>
      <c r="K983" s="21" t="str">
        <f t="shared" si="46"/>
        <v/>
      </c>
      <c r="L983" s="4" t="str">
        <f>IF(COUNTIFS(A:A,A983,C:C,C983)=2,IF(K983="Mismatch","Value Mismatch","Matched"),IF(I983= "Tally","Missing in GST","Missing in Tally"))</f>
        <v>Missing in Tally</v>
      </c>
      <c r="M983" s="6" t="str">
        <f t="shared" si="47"/>
        <v/>
      </c>
    </row>
    <row r="984" spans="1:13" x14ac:dyDescent="0.2">
      <c r="A984" s="1" t="str">
        <v>INV2482</v>
      </c>
      <c r="B984" s="2" t="str">
        <v>09-05-2024</v>
      </c>
      <c r="C984" s="1" t="str">
        <v>07ZXCVB9876M1Z3</v>
      </c>
      <c r="D984" s="4" t="str">
        <v>Gupta Supplies</v>
      </c>
      <c r="E984" s="6">
        <v>37421.440000000002</v>
      </c>
      <c r="F984" s="6">
        <v>3367.93</v>
      </c>
      <c r="G984" s="6">
        <v>3367.93</v>
      </c>
      <c r="H984" s="6">
        <v>44157.3</v>
      </c>
      <c r="I984" s="19" t="str">
        <v>GST</v>
      </c>
      <c r="J984" s="1" t="str">
        <f t="shared" si="45"/>
        <v>Unique</v>
      </c>
      <c r="K984" s="21" t="str">
        <f t="shared" si="46"/>
        <v/>
      </c>
      <c r="L984" s="4" t="str">
        <f>IF(COUNTIFS(A:A,A984,C:C,C984)=2,IF(K984="Mismatch","Value Mismatch","Matched"),IF(I984= "Tally","Missing in GST","Missing in Tally"))</f>
        <v>Missing in Tally</v>
      </c>
      <c r="M984" s="6" t="str">
        <f t="shared" si="47"/>
        <v/>
      </c>
    </row>
    <row r="985" spans="1:13" x14ac:dyDescent="0.2">
      <c r="A985" s="1" t="str">
        <v>INV2483</v>
      </c>
      <c r="B985" s="2" t="str">
        <v>30-04-2024</v>
      </c>
      <c r="C985" s="1" t="str">
        <v>27ABCDE1234F1Z5</v>
      </c>
      <c r="D985" s="4" t="str">
        <v>Sharma Traders</v>
      </c>
      <c r="E985" s="6">
        <v>37535.269999999997</v>
      </c>
      <c r="F985" s="6">
        <v>3378.17</v>
      </c>
      <c r="G985" s="6">
        <v>3378.17</v>
      </c>
      <c r="H985" s="6">
        <v>44291.61</v>
      </c>
      <c r="I985" s="19" t="str">
        <v>GST</v>
      </c>
      <c r="J985" s="1" t="str">
        <f t="shared" si="45"/>
        <v>Unique</v>
      </c>
      <c r="K985" s="21" t="str">
        <f t="shared" si="46"/>
        <v/>
      </c>
      <c r="L985" s="4" t="str">
        <f>IF(COUNTIFS(A:A,A985,C:C,C985)=2,IF(K985="Mismatch","Value Mismatch","Matched"),IF(I985= "Tally","Missing in GST","Missing in Tally"))</f>
        <v>Missing in Tally</v>
      </c>
      <c r="M985" s="6" t="str">
        <f t="shared" si="47"/>
        <v/>
      </c>
    </row>
    <row r="986" spans="1:13" x14ac:dyDescent="0.2">
      <c r="A986" s="1" t="str">
        <v>INV2484</v>
      </c>
      <c r="B986" s="2" t="str">
        <v>30-04-2024</v>
      </c>
      <c r="C986" s="1" t="str">
        <v>07ZXCVB9876M1Z3</v>
      </c>
      <c r="D986" s="4" t="str">
        <v>Gupta Supplies</v>
      </c>
      <c r="E986" s="6">
        <v>46116.38</v>
      </c>
      <c r="F986" s="6">
        <v>4150.47</v>
      </c>
      <c r="G986" s="6">
        <v>4150.47</v>
      </c>
      <c r="H986" s="6">
        <v>54417.32</v>
      </c>
      <c r="I986" s="19" t="str">
        <v>GST</v>
      </c>
      <c r="J986" s="1" t="str">
        <f t="shared" si="45"/>
        <v>Unique</v>
      </c>
      <c r="K986" s="21" t="str">
        <f t="shared" si="46"/>
        <v/>
      </c>
      <c r="L986" s="4" t="str">
        <f>IF(COUNTIFS(A:A,A986,C:C,C986)=2,IF(K986="Mismatch","Value Mismatch","Matched"),IF(I986= "Tally","Missing in GST","Missing in Tally"))</f>
        <v>Missing in Tally</v>
      </c>
      <c r="M986" s="6" t="str">
        <f t="shared" si="47"/>
        <v/>
      </c>
    </row>
    <row r="987" spans="1:13" x14ac:dyDescent="0.2">
      <c r="A987" s="1" t="str">
        <v>INV2485</v>
      </c>
      <c r="B987" s="2" t="str">
        <v>13-05-2024</v>
      </c>
      <c r="C987" s="1" t="str">
        <v>24LMNOP4321K1Z7</v>
      </c>
      <c r="D987" s="4" t="str">
        <v>Patel Industries</v>
      </c>
      <c r="E987" s="6">
        <v>36993.06</v>
      </c>
      <c r="F987" s="6">
        <v>3329.38</v>
      </c>
      <c r="G987" s="6">
        <v>3329.38</v>
      </c>
      <c r="H987" s="6">
        <v>43651.82</v>
      </c>
      <c r="I987" s="19" t="str">
        <v>GST</v>
      </c>
      <c r="J987" s="1" t="str">
        <f t="shared" si="45"/>
        <v>Unique</v>
      </c>
      <c r="K987" s="21" t="str">
        <f t="shared" si="46"/>
        <v/>
      </c>
      <c r="L987" s="4" t="str">
        <f>IF(COUNTIFS(A:A,A987,C:C,C987)=2,IF(K987="Mismatch","Value Mismatch","Matched"),IF(I987= "Tally","Missing in GST","Missing in Tally"))</f>
        <v>Missing in Tally</v>
      </c>
      <c r="M987" s="6" t="str">
        <f t="shared" si="47"/>
        <v/>
      </c>
    </row>
    <row r="988" spans="1:13" x14ac:dyDescent="0.2">
      <c r="A988" s="1" t="str">
        <v>INV2486</v>
      </c>
      <c r="B988" s="2" t="str">
        <v>31-05-2024</v>
      </c>
      <c r="C988" s="1" t="str">
        <v>07ZXCVB9876M1Z3</v>
      </c>
      <c r="D988" s="4" t="str">
        <v>Gupta Supplies</v>
      </c>
      <c r="E988" s="6">
        <v>40652.1</v>
      </c>
      <c r="F988" s="6">
        <v>3658.69</v>
      </c>
      <c r="G988" s="6">
        <v>3658.69</v>
      </c>
      <c r="H988" s="6">
        <v>47969.48</v>
      </c>
      <c r="I988" s="19" t="str">
        <v>GST</v>
      </c>
      <c r="J988" s="1" t="str">
        <f t="shared" si="45"/>
        <v>Unique</v>
      </c>
      <c r="K988" s="21" t="str">
        <f t="shared" si="46"/>
        <v/>
      </c>
      <c r="L988" s="4" t="str">
        <f>IF(COUNTIFS(A:A,A988,C:C,C988)=2,IF(K988="Mismatch","Value Mismatch","Matched"),IF(I988= "Tally","Missing in GST","Missing in Tally"))</f>
        <v>Missing in Tally</v>
      </c>
      <c r="M988" s="6" t="str">
        <f t="shared" si="47"/>
        <v/>
      </c>
    </row>
    <row r="989" spans="1:13" x14ac:dyDescent="0.2">
      <c r="A989" s="1" t="str">
        <v>INV2487</v>
      </c>
      <c r="B989" s="2" t="str">
        <v>09-05-2024</v>
      </c>
      <c r="C989" s="1" t="str">
        <v>07ZXCVB9876M1Z3</v>
      </c>
      <c r="D989" s="4" t="str">
        <v>Gupta Supplies</v>
      </c>
      <c r="E989" s="6">
        <v>8503.0499999999993</v>
      </c>
      <c r="F989" s="6">
        <v>765.27</v>
      </c>
      <c r="G989" s="6">
        <v>765.27</v>
      </c>
      <c r="H989" s="6">
        <v>10033.59</v>
      </c>
      <c r="I989" s="19" t="str">
        <v>GST</v>
      </c>
      <c r="J989" s="1" t="str">
        <f t="shared" si="45"/>
        <v>Unique</v>
      </c>
      <c r="K989" s="21" t="str">
        <f t="shared" si="46"/>
        <v/>
      </c>
      <c r="L989" s="4" t="str">
        <f>IF(COUNTIFS(A:A,A989,C:C,C989)=2,IF(K989="Mismatch","Value Mismatch","Matched"),IF(I989= "Tally","Missing in GST","Missing in Tally"))</f>
        <v>Missing in Tally</v>
      </c>
      <c r="M989" s="6" t="str">
        <f t="shared" si="47"/>
        <v/>
      </c>
    </row>
    <row r="990" spans="1:13" x14ac:dyDescent="0.2">
      <c r="A990" s="1" t="str">
        <v>INV2488</v>
      </c>
      <c r="B990" s="2" t="str">
        <v>28-04-2024</v>
      </c>
      <c r="C990" s="1" t="str">
        <v>29PQRSX5678L1Z2</v>
      </c>
      <c r="D990" s="4" t="str">
        <v>Kiran Enterprises</v>
      </c>
      <c r="E990" s="6">
        <v>13442.25</v>
      </c>
      <c r="F990" s="6">
        <v>1209.8</v>
      </c>
      <c r="G990" s="6">
        <v>1209.8</v>
      </c>
      <c r="H990" s="6">
        <v>15861.85</v>
      </c>
      <c r="I990" s="19" t="str">
        <v>GST</v>
      </c>
      <c r="J990" s="1" t="str">
        <f t="shared" si="45"/>
        <v>Unique</v>
      </c>
      <c r="K990" s="21" t="str">
        <f t="shared" si="46"/>
        <v/>
      </c>
      <c r="L990" s="4" t="str">
        <f>IF(COUNTIFS(A:A,A990,C:C,C990)=2,IF(K990="Mismatch","Value Mismatch","Matched"),IF(I990= "Tally","Missing in GST","Missing in Tally"))</f>
        <v>Missing in Tally</v>
      </c>
      <c r="M990" s="6" t="str">
        <f t="shared" si="47"/>
        <v/>
      </c>
    </row>
    <row r="991" spans="1:13" x14ac:dyDescent="0.2">
      <c r="A991" s="1" t="str">
        <v>INV2489</v>
      </c>
      <c r="B991" s="2" t="str">
        <v>02-06-2024</v>
      </c>
      <c r="C991" s="1" t="str">
        <v>19ASDFG2468H1Z9</v>
      </c>
      <c r="D991" s="4" t="str">
        <v>Eastern Distributors</v>
      </c>
      <c r="E991" s="6">
        <v>42174.79</v>
      </c>
      <c r="F991" s="6">
        <v>3795.73</v>
      </c>
      <c r="G991" s="6">
        <v>3795.73</v>
      </c>
      <c r="H991" s="6">
        <v>49766.25</v>
      </c>
      <c r="I991" s="19" t="str">
        <v>GST</v>
      </c>
      <c r="J991" s="1" t="str">
        <f t="shared" si="45"/>
        <v>Unique</v>
      </c>
      <c r="K991" s="21" t="str">
        <f t="shared" si="46"/>
        <v/>
      </c>
      <c r="L991" s="4" t="str">
        <f>IF(COUNTIFS(A:A,A991,C:C,C991)=2,IF(K991="Mismatch","Value Mismatch","Matched"),IF(I991= "Tally","Missing in GST","Missing in Tally"))</f>
        <v>Missing in Tally</v>
      </c>
      <c r="M991" s="6" t="str">
        <f t="shared" si="47"/>
        <v/>
      </c>
    </row>
    <row r="992" spans="1:13" x14ac:dyDescent="0.2">
      <c r="A992" s="1" t="str">
        <v>INV2490</v>
      </c>
      <c r="B992" s="2" t="str">
        <v>25-06-2024</v>
      </c>
      <c r="C992" s="1" t="str">
        <v>19ASDFG2468H1Z9</v>
      </c>
      <c r="D992" s="4" t="str">
        <v>Eastern Distributors</v>
      </c>
      <c r="E992" s="6">
        <v>35242.559999999998</v>
      </c>
      <c r="F992" s="6">
        <v>3171.83</v>
      </c>
      <c r="G992" s="6">
        <v>3171.83</v>
      </c>
      <c r="H992" s="6">
        <v>41586.22</v>
      </c>
      <c r="I992" s="19" t="str">
        <v>GST</v>
      </c>
      <c r="J992" s="1" t="str">
        <f t="shared" si="45"/>
        <v>Unique</v>
      </c>
      <c r="K992" s="21" t="str">
        <f t="shared" si="46"/>
        <v/>
      </c>
      <c r="L992" s="4" t="str">
        <f>IF(COUNTIFS(A:A,A992,C:C,C992)=2,IF(K992="Mismatch","Value Mismatch","Matched"),IF(I992= "Tally","Missing in GST","Missing in Tally"))</f>
        <v>Missing in Tally</v>
      </c>
      <c r="M992" s="6" t="str">
        <f t="shared" si="47"/>
        <v/>
      </c>
    </row>
    <row r="993" spans="1:13" x14ac:dyDescent="0.2">
      <c r="A993" s="1" t="str">
        <v>INV2491</v>
      </c>
      <c r="B993" s="2" t="str">
        <v>29-05-2024</v>
      </c>
      <c r="C993" s="1" t="str">
        <v>27ABCDE1234F1Z5</v>
      </c>
      <c r="D993" s="4" t="str">
        <v>Sharma Traders</v>
      </c>
      <c r="E993" s="6">
        <v>41666.57</v>
      </c>
      <c r="F993" s="6">
        <v>3749.99</v>
      </c>
      <c r="G993" s="6">
        <v>3749.99</v>
      </c>
      <c r="H993" s="6">
        <v>49166.55</v>
      </c>
      <c r="I993" s="19" t="str">
        <v>GST</v>
      </c>
      <c r="J993" s="1" t="str">
        <f t="shared" si="45"/>
        <v>Unique</v>
      </c>
      <c r="K993" s="21" t="str">
        <f t="shared" si="46"/>
        <v/>
      </c>
      <c r="L993" s="4" t="str">
        <f>IF(COUNTIFS(A:A,A993,C:C,C993)=2,IF(K993="Mismatch","Value Mismatch","Matched"),IF(I993= "Tally","Missing in GST","Missing in Tally"))</f>
        <v>Missing in Tally</v>
      </c>
      <c r="M993" s="6" t="str">
        <f t="shared" si="47"/>
        <v/>
      </c>
    </row>
    <row r="994" spans="1:13" x14ac:dyDescent="0.2">
      <c r="A994" s="1" t="str">
        <v>INV2492</v>
      </c>
      <c r="B994" s="2" t="str">
        <v>21-05-2024</v>
      </c>
      <c r="C994" s="1" t="str">
        <v>27ABCDE1234F1Z5</v>
      </c>
      <c r="D994" s="4" t="str">
        <v>Sharma Traders</v>
      </c>
      <c r="E994" s="6">
        <v>5766.54</v>
      </c>
      <c r="F994" s="6">
        <v>518.99</v>
      </c>
      <c r="G994" s="6">
        <v>518.99</v>
      </c>
      <c r="H994" s="6">
        <v>6804.52</v>
      </c>
      <c r="I994" s="19" t="str">
        <v>GST</v>
      </c>
      <c r="J994" s="1" t="str">
        <f t="shared" si="45"/>
        <v>Unique</v>
      </c>
      <c r="K994" s="21" t="str">
        <f t="shared" si="46"/>
        <v/>
      </c>
      <c r="L994" s="4" t="str">
        <f>IF(COUNTIFS(A:A,A994,C:C,C994)=2,IF(K994="Mismatch","Value Mismatch","Matched"),IF(I994= "Tally","Missing in GST","Missing in Tally"))</f>
        <v>Missing in Tally</v>
      </c>
      <c r="M994" s="6" t="str">
        <f t="shared" si="47"/>
        <v/>
      </c>
    </row>
    <row r="995" spans="1:13" x14ac:dyDescent="0.2">
      <c r="A995" s="1" t="str">
        <v>INV2493</v>
      </c>
      <c r="B995" s="2" t="str">
        <v>10-04-2024</v>
      </c>
      <c r="C995" s="1" t="str">
        <v>29PQRSX5678L1Z2</v>
      </c>
      <c r="D995" s="4" t="str">
        <v>Kiran Enterprises</v>
      </c>
      <c r="E995" s="6">
        <v>1305.82</v>
      </c>
      <c r="F995" s="6">
        <v>117.52</v>
      </c>
      <c r="G995" s="6">
        <v>117.52</v>
      </c>
      <c r="H995" s="6">
        <v>1540.86</v>
      </c>
      <c r="I995" s="19" t="str">
        <v>GST</v>
      </c>
      <c r="J995" s="1" t="str">
        <f t="shared" si="45"/>
        <v>Unique</v>
      </c>
      <c r="K995" s="21" t="str">
        <f t="shared" si="46"/>
        <v/>
      </c>
      <c r="L995" s="4" t="str">
        <f>IF(COUNTIFS(A:A,A995,C:C,C995)=2,IF(K995="Mismatch","Value Mismatch","Matched"),IF(I995= "Tally","Missing in GST","Missing in Tally"))</f>
        <v>Missing in Tally</v>
      </c>
      <c r="M995" s="6" t="str">
        <f t="shared" si="47"/>
        <v/>
      </c>
    </row>
    <row r="996" spans="1:13" x14ac:dyDescent="0.2">
      <c r="A996" s="1" t="str">
        <v>INV2494</v>
      </c>
      <c r="B996" s="2" t="str">
        <v>15-05-2024</v>
      </c>
      <c r="C996" s="1" t="str">
        <v>27ABCDE1234F1Z5</v>
      </c>
      <c r="D996" s="4" t="str">
        <v>Sharma Traders</v>
      </c>
      <c r="E996" s="6">
        <v>6166.03</v>
      </c>
      <c r="F996" s="6">
        <v>554.94000000000005</v>
      </c>
      <c r="G996" s="6">
        <v>554.94000000000005</v>
      </c>
      <c r="H996" s="6">
        <v>7275.91</v>
      </c>
      <c r="I996" s="19" t="str">
        <v>GST</v>
      </c>
      <c r="J996" s="1" t="str">
        <f t="shared" si="45"/>
        <v>Unique</v>
      </c>
      <c r="K996" s="21" t="str">
        <f t="shared" si="46"/>
        <v/>
      </c>
      <c r="L996" s="4" t="str">
        <f>IF(COUNTIFS(A:A,A996,C:C,C996)=2,IF(K996="Mismatch","Value Mismatch","Matched"),IF(I996= "Tally","Missing in GST","Missing in Tally"))</f>
        <v>Missing in Tally</v>
      </c>
      <c r="M996" s="6" t="str">
        <f t="shared" si="47"/>
        <v/>
      </c>
    </row>
    <row r="997" spans="1:13" x14ac:dyDescent="0.2">
      <c r="A997" s="1" t="str">
        <v>INV2495</v>
      </c>
      <c r="B997" s="2" t="str">
        <v>17-04-2024</v>
      </c>
      <c r="C997" s="1" t="str">
        <v>29PQRSX5678L1Z2</v>
      </c>
      <c r="D997" s="4" t="str">
        <v>Kiran Enterprises</v>
      </c>
      <c r="E997" s="6">
        <v>19816.39</v>
      </c>
      <c r="F997" s="6">
        <v>1783.48</v>
      </c>
      <c r="G997" s="6">
        <v>1783.48</v>
      </c>
      <c r="H997" s="6">
        <v>23383.35</v>
      </c>
      <c r="I997" s="19" t="str">
        <v>GST</v>
      </c>
      <c r="J997" s="1" t="str">
        <f t="shared" si="45"/>
        <v>Unique</v>
      </c>
      <c r="K997" s="21" t="str">
        <f t="shared" si="46"/>
        <v/>
      </c>
      <c r="L997" s="4" t="str">
        <f>IF(COUNTIFS(A:A,A997,C:C,C997)=2,IF(K997="Mismatch","Value Mismatch","Matched"),IF(I997= "Tally","Missing in GST","Missing in Tally"))</f>
        <v>Missing in Tally</v>
      </c>
      <c r="M997" s="6" t="str">
        <f t="shared" si="47"/>
        <v/>
      </c>
    </row>
    <row r="998" spans="1:13" x14ac:dyDescent="0.2">
      <c r="A998" s="1" t="str">
        <v>INV2496</v>
      </c>
      <c r="B998" s="2" t="str">
        <v>01-05-2024</v>
      </c>
      <c r="C998" s="1" t="str">
        <v>19ASDFG2468H1Z9</v>
      </c>
      <c r="D998" s="4" t="str">
        <v>Eastern Distributors</v>
      </c>
      <c r="E998" s="6">
        <v>40060.83</v>
      </c>
      <c r="F998" s="6">
        <v>3605.47</v>
      </c>
      <c r="G998" s="6">
        <v>3605.47</v>
      </c>
      <c r="H998" s="6">
        <v>47271.77</v>
      </c>
      <c r="I998" s="19" t="str">
        <v>GST</v>
      </c>
      <c r="J998" s="1" t="str">
        <f t="shared" si="45"/>
        <v>Unique</v>
      </c>
      <c r="K998" s="21" t="str">
        <f t="shared" si="46"/>
        <v/>
      </c>
      <c r="L998" s="4" t="str">
        <f>IF(COUNTIFS(A:A,A998,C:C,C998)=2,IF(K998="Mismatch","Value Mismatch","Matched"),IF(I998= "Tally","Missing in GST","Missing in Tally"))</f>
        <v>Missing in Tally</v>
      </c>
      <c r="M998" s="6" t="str">
        <f t="shared" si="47"/>
        <v/>
      </c>
    </row>
    <row r="999" spans="1:13" x14ac:dyDescent="0.2">
      <c r="A999" s="1" t="str">
        <v>INV2497</v>
      </c>
      <c r="B999" s="2" t="str">
        <v>25-04-2024</v>
      </c>
      <c r="C999" s="1" t="str">
        <v>24LMNOP4321K1Z7</v>
      </c>
      <c r="D999" s="4" t="str">
        <v>Patel Industries</v>
      </c>
      <c r="E999" s="6">
        <v>48124.57</v>
      </c>
      <c r="F999" s="6">
        <v>4331.21</v>
      </c>
      <c r="G999" s="6">
        <v>4331.21</v>
      </c>
      <c r="H999" s="6">
        <v>56786.99</v>
      </c>
      <c r="I999" s="19" t="str">
        <v>GST</v>
      </c>
      <c r="J999" s="1" t="str">
        <f t="shared" si="45"/>
        <v>Unique</v>
      </c>
      <c r="K999" s="21" t="str">
        <f t="shared" si="46"/>
        <v/>
      </c>
      <c r="L999" s="4" t="str">
        <f>IF(COUNTIFS(A:A,A999,C:C,C999)=2,IF(K999="Mismatch","Value Mismatch","Matched"),IF(I999= "Tally","Missing in GST","Missing in Tally"))</f>
        <v>Missing in Tally</v>
      </c>
      <c r="M999" s="6" t="str">
        <f t="shared" si="47"/>
        <v/>
      </c>
    </row>
    <row r="1000" spans="1:13" x14ac:dyDescent="0.2">
      <c r="A1000" s="1" t="str">
        <v>INV2498</v>
      </c>
      <c r="B1000" s="2" t="str">
        <v>27-05-2024</v>
      </c>
      <c r="C1000" s="1" t="str">
        <v>07ZXCVB9876M1Z3</v>
      </c>
      <c r="D1000" s="4" t="str">
        <v>Gupta Supplies</v>
      </c>
      <c r="E1000" s="6">
        <v>25185.75</v>
      </c>
      <c r="F1000" s="6">
        <v>2266.7199999999998</v>
      </c>
      <c r="G1000" s="6">
        <v>2266.7199999999998</v>
      </c>
      <c r="H1000" s="6">
        <v>29719.19</v>
      </c>
      <c r="I1000" s="19" t="str">
        <v>GST</v>
      </c>
      <c r="J1000" s="1" t="str">
        <f t="shared" si="45"/>
        <v>Unique</v>
      </c>
      <c r="K1000" s="21" t="str">
        <f t="shared" si="46"/>
        <v/>
      </c>
      <c r="L1000" s="4" t="str">
        <f>IF(COUNTIFS(A:A,A1000,C:C,C1000)=2,IF(K1000="Mismatch","Value Mismatch","Matched"),IF(I1000= "Tally","Missing in GST","Missing in Tally"))</f>
        <v>Missing in Tally</v>
      </c>
      <c r="M1000" s="6" t="str">
        <f t="shared" si="47"/>
        <v/>
      </c>
    </row>
    <row r="1001" spans="1:13" x14ac:dyDescent="0.2">
      <c r="A1001" s="1" t="str">
        <v>INV2499</v>
      </c>
      <c r="B1001" s="2" t="str">
        <v>28-04-2024</v>
      </c>
      <c r="C1001" s="1" t="str">
        <v>19ASDFG2468H1Z9</v>
      </c>
      <c r="D1001" s="4" t="str">
        <v>Eastern Distributors</v>
      </c>
      <c r="E1001" s="6">
        <v>48355</v>
      </c>
      <c r="F1001" s="6">
        <v>4351.95</v>
      </c>
      <c r="G1001" s="6">
        <v>4351.95</v>
      </c>
      <c r="H1001" s="6">
        <v>57058.9</v>
      </c>
      <c r="I1001" s="19" t="str">
        <v>GST</v>
      </c>
      <c r="J1001" s="1" t="str">
        <f t="shared" si="45"/>
        <v>Unique</v>
      </c>
      <c r="K1001" s="21" t="str">
        <f t="shared" si="46"/>
        <v/>
      </c>
      <c r="L1001" s="4" t="str">
        <f>IF(COUNTIFS(A:A,A1001,C:C,C1001)=2,IF(K1001="Mismatch","Value Mismatch","Matched"),IF(I1001= "Tally","Missing in GST","Missing in Tally"))</f>
        <v>Missing in Tally</v>
      </c>
      <c r="M1001" s="6" t="str">
        <f t="shared" si="47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464D-8635-4B17-A43A-474CCA4E0847}">
  <sheetPr>
    <tabColor rgb="FF002060"/>
  </sheetPr>
  <dimension ref="A3:B17"/>
  <sheetViews>
    <sheetView workbookViewId="0">
      <selection activeCell="C43" sqref="C43"/>
    </sheetView>
  </sheetViews>
  <sheetFormatPr defaultRowHeight="15" x14ac:dyDescent="0.2"/>
  <cols>
    <col min="1" max="1" width="23.13671875" customWidth="1"/>
    <col min="2" max="2" width="18.5625" bestFit="1" customWidth="1"/>
    <col min="3" max="3" width="23.80859375" bestFit="1" customWidth="1"/>
  </cols>
  <sheetData>
    <row r="3" spans="1:2" x14ac:dyDescent="0.2">
      <c r="A3" s="12" t="s">
        <v>1012</v>
      </c>
      <c r="B3" t="s">
        <v>1013</v>
      </c>
    </row>
    <row r="4" spans="1:2" x14ac:dyDescent="0.2">
      <c r="A4" t="s">
        <v>1014</v>
      </c>
      <c r="B4" s="13">
        <v>78</v>
      </c>
    </row>
    <row r="5" spans="1:2" x14ac:dyDescent="0.2">
      <c r="A5" t="s">
        <v>1015</v>
      </c>
      <c r="B5" s="13">
        <v>452</v>
      </c>
    </row>
    <row r="6" spans="1:2" x14ac:dyDescent="0.2">
      <c r="A6" t="s">
        <v>1016</v>
      </c>
      <c r="B6" s="13">
        <v>452</v>
      </c>
    </row>
    <row r="7" spans="1:2" x14ac:dyDescent="0.2">
      <c r="A7" t="s">
        <v>1017</v>
      </c>
      <c r="B7" s="13">
        <v>18</v>
      </c>
    </row>
    <row r="8" spans="1:2" x14ac:dyDescent="0.2">
      <c r="A8" t="s">
        <v>1018</v>
      </c>
      <c r="B8" s="13">
        <v>1000</v>
      </c>
    </row>
    <row r="14" spans="1:2" x14ac:dyDescent="0.2">
      <c r="A14" s="12" t="s">
        <v>1019</v>
      </c>
      <c r="B14" t="s">
        <v>1013</v>
      </c>
    </row>
    <row r="15" spans="1:2" x14ac:dyDescent="0.2">
      <c r="A15" t="s">
        <v>1020</v>
      </c>
      <c r="B15" s="13">
        <v>12</v>
      </c>
    </row>
    <row r="16" spans="1:2" x14ac:dyDescent="0.2">
      <c r="A16" t="s">
        <v>1021</v>
      </c>
      <c r="B16" s="13">
        <v>988</v>
      </c>
    </row>
    <row r="17" spans="1:2" x14ac:dyDescent="0.2">
      <c r="A17" t="s">
        <v>1018</v>
      </c>
      <c r="B17" s="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Tally_Data</vt:lpstr>
      <vt:lpstr>GST_Portal_Data</vt:lpstr>
      <vt:lpstr>Reconciliation_Data</vt:lpstr>
      <vt:lpstr>Summary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pritesh padye</cp:lastModifiedBy>
  <cp:revision/>
  <dcterms:created xsi:type="dcterms:W3CDTF">2026-02-17T02:37:46Z</dcterms:created>
  <dcterms:modified xsi:type="dcterms:W3CDTF">2026-02-17T14:32:12Z</dcterms:modified>
  <cp:category/>
  <cp:contentStatus/>
</cp:coreProperties>
</file>